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C:\Users\NALINI KARNATI\Downloads\"/>
    </mc:Choice>
  </mc:AlternateContent>
  <xr:revisionPtr revIDLastSave="0" documentId="13_ncr:1_{8507B87F-5778-4B7A-BB8E-5B3C346F68E7}" xr6:coauthVersionLast="47" xr6:coauthVersionMax="47" xr10:uidLastSave="{00000000-0000-0000-0000-000000000000}"/>
  <bookViews>
    <workbookView xWindow="-108" yWindow="-108" windowWidth="23256" windowHeight="12456" activeTab="2" xr2:uid="{CBEE43C1-2389-4F9E-BA31-3D07C2AA493D}"/>
  </bookViews>
  <sheets>
    <sheet name="SalesData" sheetId="1" r:id="rId1"/>
    <sheet name="PivotTable" sheetId="2" r:id="rId2"/>
    <sheet name="Dashboard" sheetId="3" r:id="rId3"/>
  </sheets>
  <definedNames>
    <definedName name="Slicer_Region">#N/A</definedName>
  </definedNames>
  <calcPr calcId="19102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6" i="3" l="1"/>
  <c r="D6" i="3"/>
  <c r="H6" i="3"/>
  <c r="N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002" i="1"/>
  <c r="N2003" i="1"/>
  <c r="N2004" i="1"/>
  <c r="N2005" i="1"/>
  <c r="N2006" i="1"/>
  <c r="N2007" i="1"/>
  <c r="N2008" i="1"/>
  <c r="N2009" i="1"/>
  <c r="N2010" i="1"/>
  <c r="N2011" i="1"/>
  <c r="N2012" i="1"/>
  <c r="N2013" i="1"/>
  <c r="N2014" i="1"/>
  <c r="N2015" i="1"/>
  <c r="N2016" i="1"/>
  <c r="N2017" i="1"/>
  <c r="N2018" i="1"/>
  <c r="N2019" i="1"/>
  <c r="N2020" i="1"/>
  <c r="N2021" i="1"/>
  <c r="N2022" i="1"/>
  <c r="N2023" i="1"/>
  <c r="N2024" i="1"/>
  <c r="N2025" i="1"/>
  <c r="N2026" i="1"/>
  <c r="N2027" i="1"/>
  <c r="N2028" i="1"/>
  <c r="N2029" i="1"/>
  <c r="N2030" i="1"/>
  <c r="N2031" i="1"/>
  <c r="N2032" i="1"/>
  <c r="N2033" i="1"/>
  <c r="N2034" i="1"/>
  <c r="N2035" i="1"/>
  <c r="N2036" i="1"/>
  <c r="N2037" i="1"/>
  <c r="N2038" i="1"/>
  <c r="N2039" i="1"/>
  <c r="N2040" i="1"/>
  <c r="N2041" i="1"/>
  <c r="N2042" i="1"/>
  <c r="N2043" i="1"/>
  <c r="N2044" i="1"/>
  <c r="N2045" i="1"/>
  <c r="N2046" i="1"/>
  <c r="N2047" i="1"/>
  <c r="N2048" i="1"/>
  <c r="N2049" i="1"/>
  <c r="N2050" i="1"/>
  <c r="N2051" i="1"/>
  <c r="N2052" i="1"/>
  <c r="N2053" i="1"/>
  <c r="N2054" i="1"/>
  <c r="N2055" i="1"/>
  <c r="N2056" i="1"/>
  <c r="N2057" i="1"/>
  <c r="N2058" i="1"/>
  <c r="N2059" i="1"/>
  <c r="N2060" i="1"/>
  <c r="N2061" i="1"/>
  <c r="N2062" i="1"/>
  <c r="N2063" i="1"/>
  <c r="N2064" i="1"/>
  <c r="N2065" i="1"/>
  <c r="N2066" i="1"/>
  <c r="N2067" i="1"/>
  <c r="N2068" i="1"/>
  <c r="N2069" i="1"/>
  <c r="N2070" i="1"/>
  <c r="N2071" i="1"/>
  <c r="N2072" i="1"/>
  <c r="N2073" i="1"/>
  <c r="N2074" i="1"/>
  <c r="N2075" i="1"/>
  <c r="N2076" i="1"/>
  <c r="N2077" i="1"/>
  <c r="N2078" i="1"/>
  <c r="N2079" i="1"/>
  <c r="N2080" i="1"/>
  <c r="N2081" i="1"/>
  <c r="N2082" i="1"/>
  <c r="N2083" i="1"/>
  <c r="N2084" i="1"/>
  <c r="N2085" i="1"/>
  <c r="N2086" i="1"/>
  <c r="N2087" i="1"/>
  <c r="N2088" i="1"/>
  <c r="N2089" i="1"/>
  <c r="N2090" i="1"/>
  <c r="N2091" i="1"/>
  <c r="N2092" i="1"/>
  <c r="N2093" i="1"/>
  <c r="N2094" i="1"/>
  <c r="N2095" i="1"/>
  <c r="N2096" i="1"/>
  <c r="N2097" i="1"/>
  <c r="N2098" i="1"/>
  <c r="N2099" i="1"/>
  <c r="N2100" i="1"/>
  <c r="N2101" i="1"/>
  <c r="N2102" i="1"/>
  <c r="N2103" i="1"/>
  <c r="N2104" i="1"/>
  <c r="N2105" i="1"/>
  <c r="N2106" i="1"/>
  <c r="N2107" i="1"/>
  <c r="N2108" i="1"/>
  <c r="N2109" i="1"/>
  <c r="N2110" i="1"/>
  <c r="N2111" i="1"/>
  <c r="N2112" i="1"/>
  <c r="N2113" i="1"/>
  <c r="N2114" i="1"/>
  <c r="N2115" i="1"/>
  <c r="N2116" i="1"/>
  <c r="N2117" i="1"/>
  <c r="N2118" i="1"/>
  <c r="N2119" i="1"/>
  <c r="N2120" i="1"/>
  <c r="N2121" i="1"/>
  <c r="N2122" i="1"/>
  <c r="N2123" i="1"/>
  <c r="N2124" i="1"/>
  <c r="N2125" i="1"/>
  <c r="N2126" i="1"/>
  <c r="N2127" i="1"/>
  <c r="N2128" i="1"/>
  <c r="N2129" i="1"/>
  <c r="N2130" i="1"/>
  <c r="N2131" i="1"/>
  <c r="N2132" i="1"/>
  <c r="N2133" i="1"/>
  <c r="N2134" i="1"/>
  <c r="N2135" i="1"/>
  <c r="N2136" i="1"/>
  <c r="N2137" i="1"/>
  <c r="N2138" i="1"/>
  <c r="N2139" i="1"/>
  <c r="N2140" i="1"/>
  <c r="N2141" i="1"/>
  <c r="N2142" i="1"/>
  <c r="N2143" i="1"/>
  <c r="N2144" i="1"/>
  <c r="N2145" i="1"/>
  <c r="N2146" i="1"/>
  <c r="N2147" i="1"/>
  <c r="N2148" i="1"/>
  <c r="N2149" i="1"/>
  <c r="N2150" i="1"/>
  <c r="N2151" i="1"/>
  <c r="N2152" i="1"/>
  <c r="N2153" i="1"/>
  <c r="N2154" i="1"/>
  <c r="N2155" i="1"/>
  <c r="N2156" i="1"/>
  <c r="N2157" i="1"/>
  <c r="N2158" i="1"/>
  <c r="N2159" i="1"/>
  <c r="N2160" i="1"/>
  <c r="N2161" i="1"/>
  <c r="N2162" i="1"/>
  <c r="N2163" i="1"/>
  <c r="N2164" i="1"/>
  <c r="N2165" i="1"/>
  <c r="N2166" i="1"/>
  <c r="N2167" i="1"/>
  <c r="N2168" i="1"/>
  <c r="N2169" i="1"/>
  <c r="N2170" i="1"/>
  <c r="N2171" i="1"/>
  <c r="N2172" i="1"/>
  <c r="N2173" i="1"/>
  <c r="N2174" i="1"/>
  <c r="N2175" i="1"/>
  <c r="N2176" i="1"/>
  <c r="N2177" i="1"/>
  <c r="N2178" i="1"/>
  <c r="N2179" i="1"/>
  <c r="N2180" i="1"/>
  <c r="N2181" i="1"/>
  <c r="N2182" i="1"/>
  <c r="N2183" i="1"/>
  <c r="N2184" i="1"/>
  <c r="N2185" i="1"/>
  <c r="N2186" i="1"/>
  <c r="N2187" i="1"/>
  <c r="N2188" i="1"/>
  <c r="N2189" i="1"/>
  <c r="N2190" i="1"/>
  <c r="N2191" i="1"/>
  <c r="N2192" i="1"/>
  <c r="N2193" i="1"/>
  <c r="N2194" i="1"/>
  <c r="N2195" i="1"/>
  <c r="N2196" i="1"/>
  <c r="N2197" i="1"/>
  <c r="N2198" i="1"/>
  <c r="N2199" i="1"/>
  <c r="N2200" i="1"/>
  <c r="N2201" i="1"/>
  <c r="N2202" i="1"/>
  <c r="N2203" i="1"/>
  <c r="N2204" i="1"/>
  <c r="N2205" i="1"/>
  <c r="N2206" i="1"/>
  <c r="N2207" i="1"/>
  <c r="N2208" i="1"/>
  <c r="N2209" i="1"/>
  <c r="N2210" i="1"/>
  <c r="N2211" i="1"/>
  <c r="N2212" i="1"/>
  <c r="N2213" i="1"/>
  <c r="N2214" i="1"/>
  <c r="N2215" i="1"/>
  <c r="N2216" i="1"/>
  <c r="N2217" i="1"/>
  <c r="N2218" i="1"/>
  <c r="N2219" i="1"/>
  <c r="N2220" i="1"/>
  <c r="N2221" i="1"/>
  <c r="N2222" i="1"/>
  <c r="N2223" i="1"/>
  <c r="N2224" i="1"/>
  <c r="N2225" i="1"/>
  <c r="N2226" i="1"/>
  <c r="N2227" i="1"/>
  <c r="N2228" i="1"/>
  <c r="N2229" i="1"/>
  <c r="N2230" i="1"/>
  <c r="N2231" i="1"/>
  <c r="N2232" i="1"/>
  <c r="N2233" i="1"/>
  <c r="N2234" i="1"/>
  <c r="N2235" i="1"/>
  <c r="N2236" i="1"/>
  <c r="N2237" i="1"/>
  <c r="N2238" i="1"/>
  <c r="N2239" i="1"/>
  <c r="N2240" i="1"/>
  <c r="N2241" i="1"/>
  <c r="N2242" i="1"/>
  <c r="N2243" i="1"/>
  <c r="N2244" i="1"/>
  <c r="N2245" i="1"/>
  <c r="N2246" i="1"/>
  <c r="N2247" i="1"/>
  <c r="N2248" i="1"/>
  <c r="N2249" i="1"/>
  <c r="N2250" i="1"/>
  <c r="N2251" i="1"/>
  <c r="N2252" i="1"/>
  <c r="N2253" i="1"/>
  <c r="N2254" i="1"/>
  <c r="N2255" i="1"/>
  <c r="N2256" i="1"/>
  <c r="N2257" i="1"/>
  <c r="N2258" i="1"/>
  <c r="N2259" i="1"/>
  <c r="N2260" i="1"/>
  <c r="N2261" i="1"/>
  <c r="N2262" i="1"/>
  <c r="N2263" i="1"/>
  <c r="N2264" i="1"/>
  <c r="N2265" i="1"/>
  <c r="N2266" i="1"/>
  <c r="N2267" i="1"/>
  <c r="N2268" i="1"/>
  <c r="N2269" i="1"/>
  <c r="N2270" i="1"/>
  <c r="N2271" i="1"/>
  <c r="N2272" i="1"/>
  <c r="N2273" i="1"/>
  <c r="N2274" i="1"/>
  <c r="N2275" i="1"/>
  <c r="N2276" i="1"/>
  <c r="N2277" i="1"/>
  <c r="N2278" i="1"/>
  <c r="N2279" i="1"/>
  <c r="N2280" i="1"/>
  <c r="N2281" i="1"/>
  <c r="N2282" i="1"/>
  <c r="N2283" i="1"/>
  <c r="N2284" i="1"/>
  <c r="N2285" i="1"/>
  <c r="N2286" i="1"/>
  <c r="N2287" i="1"/>
  <c r="N2288" i="1"/>
  <c r="N2289" i="1"/>
  <c r="N2290" i="1"/>
  <c r="N2291" i="1"/>
  <c r="N2292" i="1"/>
  <c r="N2293" i="1"/>
  <c r="N2294" i="1"/>
  <c r="N2295" i="1"/>
  <c r="N2296" i="1"/>
  <c r="N2297" i="1"/>
  <c r="N2298" i="1"/>
  <c r="N2299" i="1"/>
  <c r="N2300" i="1"/>
  <c r="N2301" i="1"/>
  <c r="N2302" i="1"/>
  <c r="N2303" i="1"/>
  <c r="N2304" i="1"/>
  <c r="N2305" i="1"/>
  <c r="N2306" i="1"/>
  <c r="N2307" i="1"/>
  <c r="N2308" i="1"/>
  <c r="N2309" i="1"/>
  <c r="N2310" i="1"/>
  <c r="N2311" i="1"/>
  <c r="N2312" i="1"/>
  <c r="N2313" i="1"/>
  <c r="N2314" i="1"/>
  <c r="N2315" i="1"/>
  <c r="N2316" i="1"/>
  <c r="N2317" i="1"/>
  <c r="N2318" i="1"/>
  <c r="N2319" i="1"/>
  <c r="N2320" i="1"/>
  <c r="N2321" i="1"/>
  <c r="N2322" i="1"/>
  <c r="N2323" i="1"/>
  <c r="N2324" i="1"/>
  <c r="N2325" i="1"/>
  <c r="N2326" i="1"/>
  <c r="N2327" i="1"/>
  <c r="N2328" i="1"/>
  <c r="N2329" i="1"/>
  <c r="N2330" i="1"/>
  <c r="N2331" i="1"/>
  <c r="N2332" i="1"/>
  <c r="N2333" i="1"/>
  <c r="N2334" i="1"/>
  <c r="N2335" i="1"/>
  <c r="N2336" i="1"/>
  <c r="N2337" i="1"/>
  <c r="N2338" i="1"/>
  <c r="N2339" i="1"/>
  <c r="N2340" i="1"/>
  <c r="N2341" i="1"/>
  <c r="N2342" i="1"/>
  <c r="N2343" i="1"/>
  <c r="N2344" i="1"/>
  <c r="N2345" i="1"/>
  <c r="N2346" i="1"/>
  <c r="N2347" i="1"/>
  <c r="N2348" i="1"/>
  <c r="N2349" i="1"/>
  <c r="N2350" i="1"/>
  <c r="N2351" i="1"/>
  <c r="N2352" i="1"/>
  <c r="N2353" i="1"/>
  <c r="N2354" i="1"/>
  <c r="N2355" i="1"/>
  <c r="N2356" i="1"/>
  <c r="N2357" i="1"/>
  <c r="N2358" i="1"/>
  <c r="N2359" i="1"/>
  <c r="N2360" i="1"/>
  <c r="N2361" i="1"/>
  <c r="N2362" i="1"/>
  <c r="N2363" i="1"/>
  <c r="N2364" i="1"/>
  <c r="N2365" i="1"/>
  <c r="N2366" i="1"/>
  <c r="N2367" i="1"/>
  <c r="N2368" i="1"/>
  <c r="N2369" i="1"/>
  <c r="N2370" i="1"/>
  <c r="N2371" i="1"/>
  <c r="N2372" i="1"/>
  <c r="N2373" i="1"/>
  <c r="N2374" i="1"/>
  <c r="N2375" i="1"/>
  <c r="N2376" i="1"/>
  <c r="N2377" i="1"/>
  <c r="N2378" i="1"/>
  <c r="N2379" i="1"/>
  <c r="N2380" i="1"/>
  <c r="N2381" i="1"/>
  <c r="N2382" i="1"/>
  <c r="N2383" i="1"/>
  <c r="N2384" i="1"/>
  <c r="N2385" i="1"/>
  <c r="N2386" i="1"/>
  <c r="N2387" i="1"/>
  <c r="N2388" i="1"/>
  <c r="N2389" i="1"/>
  <c r="N2390" i="1"/>
  <c r="N2391" i="1"/>
  <c r="N2392" i="1"/>
  <c r="N2393" i="1"/>
  <c r="N2394" i="1"/>
  <c r="N2395" i="1"/>
  <c r="N2396" i="1"/>
  <c r="N2397" i="1"/>
  <c r="N2398" i="1"/>
  <c r="N2399" i="1"/>
  <c r="N2400" i="1"/>
  <c r="N2401" i="1"/>
  <c r="N2402" i="1"/>
  <c r="N2403" i="1"/>
  <c r="N2404" i="1"/>
  <c r="N2405" i="1"/>
  <c r="N2406" i="1"/>
  <c r="N2407" i="1"/>
  <c r="N2408" i="1"/>
  <c r="N2409" i="1"/>
  <c r="N2410" i="1"/>
  <c r="N2411" i="1"/>
  <c r="N2412" i="1"/>
  <c r="N2413" i="1"/>
  <c r="N2414" i="1"/>
  <c r="N2415" i="1"/>
  <c r="N2416" i="1"/>
  <c r="N2417" i="1"/>
  <c r="N2418" i="1"/>
  <c r="N2419" i="1"/>
  <c r="N2420" i="1"/>
  <c r="N2421" i="1"/>
  <c r="N2422" i="1"/>
  <c r="N2423" i="1"/>
  <c r="N2424" i="1"/>
  <c r="N2425" i="1"/>
  <c r="N2426" i="1"/>
  <c r="N2427" i="1"/>
  <c r="N2428" i="1"/>
  <c r="N2429" i="1"/>
  <c r="N2430" i="1"/>
  <c r="N2431" i="1"/>
  <c r="N2432" i="1"/>
  <c r="N2433" i="1"/>
  <c r="N2434" i="1"/>
  <c r="N2435" i="1"/>
  <c r="N2436" i="1"/>
  <c r="N2437" i="1"/>
  <c r="N2438" i="1"/>
  <c r="N2439" i="1"/>
  <c r="N2440" i="1"/>
  <c r="N2441" i="1"/>
  <c r="N2442" i="1"/>
  <c r="N2443" i="1"/>
  <c r="N2444" i="1"/>
  <c r="N2445" i="1"/>
  <c r="N2446" i="1"/>
  <c r="N2447" i="1"/>
  <c r="N2448" i="1"/>
  <c r="N2449" i="1"/>
  <c r="N2450" i="1"/>
  <c r="N2451" i="1"/>
  <c r="N2452" i="1"/>
  <c r="N2453" i="1"/>
  <c r="N2454" i="1"/>
  <c r="N2455" i="1"/>
  <c r="N2456" i="1"/>
  <c r="N2457" i="1"/>
  <c r="N2458" i="1"/>
  <c r="N2459" i="1"/>
  <c r="N2460" i="1"/>
  <c r="N2461" i="1"/>
  <c r="N2462" i="1"/>
  <c r="N2463" i="1"/>
  <c r="N2464" i="1"/>
  <c r="N2465" i="1"/>
  <c r="N2466" i="1"/>
  <c r="N2467" i="1"/>
  <c r="N2468" i="1"/>
  <c r="N2469" i="1"/>
  <c r="N2470" i="1"/>
  <c r="N2471" i="1"/>
  <c r="N2472" i="1"/>
  <c r="N2473" i="1"/>
  <c r="N2474" i="1"/>
  <c r="N2475" i="1"/>
  <c r="N2476" i="1"/>
  <c r="N2477" i="1"/>
  <c r="N2478" i="1"/>
  <c r="N2479" i="1"/>
  <c r="N2480" i="1"/>
  <c r="N2481" i="1"/>
  <c r="N2482" i="1"/>
  <c r="N2483" i="1"/>
  <c r="N2484" i="1"/>
  <c r="N2485" i="1"/>
  <c r="N2486" i="1"/>
  <c r="N2487" i="1"/>
  <c r="N2488" i="1"/>
  <c r="N2489" i="1"/>
  <c r="N2490" i="1"/>
  <c r="N2491" i="1"/>
  <c r="N2492" i="1"/>
  <c r="N2493" i="1"/>
  <c r="N2494" i="1"/>
  <c r="N2495" i="1"/>
  <c r="N2496" i="1"/>
  <c r="N2497" i="1"/>
  <c r="N2498" i="1"/>
  <c r="N2499" i="1"/>
  <c r="N2500" i="1"/>
  <c r="N2501" i="1"/>
  <c r="N2502" i="1"/>
  <c r="N2503" i="1"/>
  <c r="N2504" i="1"/>
  <c r="N2505" i="1"/>
  <c r="N2506" i="1"/>
  <c r="N2507" i="1"/>
  <c r="N2508" i="1"/>
  <c r="N2509" i="1"/>
  <c r="N2510" i="1"/>
  <c r="N2511" i="1"/>
  <c r="N2512" i="1"/>
  <c r="N2513" i="1"/>
  <c r="N2514" i="1"/>
  <c r="N2515" i="1"/>
  <c r="N2516" i="1"/>
  <c r="N2517" i="1"/>
  <c r="N2518" i="1"/>
  <c r="N2519" i="1"/>
  <c r="N2520" i="1"/>
  <c r="N2521" i="1"/>
  <c r="N2522" i="1"/>
  <c r="N2523" i="1"/>
  <c r="N2524" i="1"/>
  <c r="N2525" i="1"/>
  <c r="N2526" i="1"/>
  <c r="N2527" i="1"/>
  <c r="N2528" i="1"/>
  <c r="N2529" i="1"/>
  <c r="N2530" i="1"/>
  <c r="N2531" i="1"/>
  <c r="N2532" i="1"/>
  <c r="N2533" i="1"/>
  <c r="N2534" i="1"/>
  <c r="N2535" i="1"/>
  <c r="N2536" i="1"/>
  <c r="N2537" i="1"/>
  <c r="N2538" i="1"/>
  <c r="N2539" i="1"/>
  <c r="N2540" i="1"/>
  <c r="N2541" i="1"/>
  <c r="N2542" i="1"/>
  <c r="N2543" i="1"/>
  <c r="N2544" i="1"/>
  <c r="N2545" i="1"/>
  <c r="N2546" i="1"/>
  <c r="N2547" i="1"/>
  <c r="N2548" i="1"/>
  <c r="N2549" i="1"/>
  <c r="N2550" i="1"/>
  <c r="N2551" i="1"/>
  <c r="N2552" i="1"/>
  <c r="N2553" i="1"/>
  <c r="N2554" i="1"/>
  <c r="N2555" i="1"/>
  <c r="N2556" i="1"/>
  <c r="N2557" i="1"/>
  <c r="N2558" i="1"/>
  <c r="N2559" i="1"/>
  <c r="N2560" i="1"/>
  <c r="N2561" i="1"/>
  <c r="N2562" i="1"/>
  <c r="N2563" i="1"/>
  <c r="N2564" i="1"/>
  <c r="N2565" i="1"/>
  <c r="N2566" i="1"/>
  <c r="N2567" i="1"/>
  <c r="N2568" i="1"/>
  <c r="N2569" i="1"/>
  <c r="N2570" i="1"/>
  <c r="N2571" i="1"/>
  <c r="N2572" i="1"/>
  <c r="N2573" i="1"/>
  <c r="N2574" i="1"/>
  <c r="N2575" i="1"/>
  <c r="N2576" i="1"/>
  <c r="N2577" i="1"/>
  <c r="N2578" i="1"/>
  <c r="N2579" i="1"/>
  <c r="N2580" i="1"/>
  <c r="N2581" i="1"/>
  <c r="N2582" i="1"/>
  <c r="N2583" i="1"/>
  <c r="N2584" i="1"/>
  <c r="N2585" i="1"/>
  <c r="N2586" i="1"/>
  <c r="N2587" i="1"/>
  <c r="N2588" i="1"/>
  <c r="N2589" i="1"/>
  <c r="N2590" i="1"/>
  <c r="N2591" i="1"/>
  <c r="N2592" i="1"/>
  <c r="N2593" i="1"/>
  <c r="N2594" i="1"/>
  <c r="N2595" i="1"/>
  <c r="N2596" i="1"/>
  <c r="N2597" i="1"/>
  <c r="N2598" i="1"/>
  <c r="N2599" i="1"/>
  <c r="N2600" i="1"/>
  <c r="N2601" i="1"/>
  <c r="N2602" i="1"/>
  <c r="N2603" i="1"/>
  <c r="N2604" i="1"/>
  <c r="N2605" i="1"/>
  <c r="N2606" i="1"/>
  <c r="N2607" i="1"/>
  <c r="N2608" i="1"/>
  <c r="N2609" i="1"/>
  <c r="N2610" i="1"/>
  <c r="N2611" i="1"/>
  <c r="N2612" i="1"/>
  <c r="N2613" i="1"/>
  <c r="N2614" i="1"/>
  <c r="N2615" i="1"/>
  <c r="N2616" i="1"/>
  <c r="N2617" i="1"/>
  <c r="N2618" i="1"/>
  <c r="N2619" i="1"/>
  <c r="N2620" i="1"/>
  <c r="N2621" i="1"/>
  <c r="N2622" i="1"/>
  <c r="N2623" i="1"/>
  <c r="N2624" i="1"/>
  <c r="N2625" i="1"/>
  <c r="N2626" i="1"/>
  <c r="N2627" i="1"/>
  <c r="N2628" i="1"/>
  <c r="N2629" i="1"/>
  <c r="N2630" i="1"/>
  <c r="N2631" i="1"/>
  <c r="N2632" i="1"/>
  <c r="N2633" i="1"/>
  <c r="N2634" i="1"/>
  <c r="N2635" i="1"/>
  <c r="N2636" i="1"/>
  <c r="N2637" i="1"/>
  <c r="N2638" i="1"/>
  <c r="N2639" i="1"/>
  <c r="N2640" i="1"/>
  <c r="N2641" i="1"/>
  <c r="N2642" i="1"/>
  <c r="N2643" i="1"/>
  <c r="N2644" i="1"/>
  <c r="N2645" i="1"/>
  <c r="N2646" i="1"/>
  <c r="N2647" i="1"/>
  <c r="N2648" i="1"/>
  <c r="N2649" i="1"/>
  <c r="N2650" i="1"/>
  <c r="N2651" i="1"/>
  <c r="N2652" i="1"/>
  <c r="N2653" i="1"/>
  <c r="N2654" i="1"/>
  <c r="N2655" i="1"/>
  <c r="N2656" i="1"/>
  <c r="N2657" i="1"/>
  <c r="N2658" i="1"/>
  <c r="N2659" i="1"/>
  <c r="N2660" i="1"/>
  <c r="N2661" i="1"/>
  <c r="N2662" i="1"/>
  <c r="N2663" i="1"/>
  <c r="N2664" i="1"/>
  <c r="N2665" i="1"/>
  <c r="N2666" i="1"/>
  <c r="N2667" i="1"/>
  <c r="N2668" i="1"/>
  <c r="N2669" i="1"/>
  <c r="N2670" i="1"/>
  <c r="N2671" i="1"/>
  <c r="N2672" i="1"/>
  <c r="N2673" i="1"/>
  <c r="N2674" i="1"/>
  <c r="N2675" i="1"/>
  <c r="N2676" i="1"/>
  <c r="N2677" i="1"/>
  <c r="N2678" i="1"/>
  <c r="N2679" i="1"/>
  <c r="N2680" i="1"/>
  <c r="N2681" i="1"/>
  <c r="N2682" i="1"/>
  <c r="N2683" i="1"/>
  <c r="N2684" i="1"/>
  <c r="N2685" i="1"/>
  <c r="N2686" i="1"/>
  <c r="N2687" i="1"/>
  <c r="N2688" i="1"/>
  <c r="N2689" i="1"/>
  <c r="N2690" i="1"/>
  <c r="N2691" i="1"/>
  <c r="N2692" i="1"/>
  <c r="N2693" i="1"/>
  <c r="N2694" i="1"/>
  <c r="N2695" i="1"/>
  <c r="N2696" i="1"/>
  <c r="N2697" i="1"/>
  <c r="N2698" i="1"/>
  <c r="N2699" i="1"/>
  <c r="N2700" i="1"/>
  <c r="N2701" i="1"/>
  <c r="N2702" i="1"/>
  <c r="N2703" i="1"/>
  <c r="N2704" i="1"/>
  <c r="N2705" i="1"/>
  <c r="N2706" i="1"/>
  <c r="N2707" i="1"/>
  <c r="N2708" i="1"/>
  <c r="N2709" i="1"/>
  <c r="N2710" i="1"/>
  <c r="N2711" i="1"/>
  <c r="N2712" i="1"/>
  <c r="N2713" i="1"/>
  <c r="N2714" i="1"/>
  <c r="N2715" i="1"/>
  <c r="N2716" i="1"/>
  <c r="N2717" i="1"/>
  <c r="N2718" i="1"/>
  <c r="N2719" i="1"/>
  <c r="N2720" i="1"/>
  <c r="N2721" i="1"/>
  <c r="N2722" i="1"/>
  <c r="N2723" i="1"/>
  <c r="N2724" i="1"/>
  <c r="N2725" i="1"/>
  <c r="N2726" i="1"/>
  <c r="N2727" i="1"/>
  <c r="N2728" i="1"/>
  <c r="N2729" i="1"/>
  <c r="N2730" i="1"/>
  <c r="N2731" i="1"/>
  <c r="N2732" i="1"/>
  <c r="N2733" i="1"/>
  <c r="N2734" i="1"/>
  <c r="N2735" i="1"/>
  <c r="N2736" i="1"/>
  <c r="N2737" i="1"/>
  <c r="N2738" i="1"/>
  <c r="N2739" i="1"/>
  <c r="N2740" i="1"/>
  <c r="N2741" i="1"/>
  <c r="N2742" i="1"/>
  <c r="N2743" i="1"/>
  <c r="N2744" i="1"/>
  <c r="N2745" i="1"/>
  <c r="N2746" i="1"/>
  <c r="N2747" i="1"/>
  <c r="N2748" i="1"/>
  <c r="N2749" i="1"/>
  <c r="N2750" i="1"/>
  <c r="N2751" i="1"/>
  <c r="N2752" i="1"/>
  <c r="N2753" i="1"/>
  <c r="N2754" i="1"/>
  <c r="N2755" i="1"/>
  <c r="N2756" i="1"/>
  <c r="N2757" i="1"/>
  <c r="N2758" i="1"/>
  <c r="N2759" i="1"/>
  <c r="N2760" i="1"/>
  <c r="N2761" i="1"/>
  <c r="N2762" i="1"/>
  <c r="N2763" i="1"/>
  <c r="N2764" i="1"/>
  <c r="N2765" i="1"/>
  <c r="N2766" i="1"/>
  <c r="N2767" i="1"/>
  <c r="N2768" i="1"/>
  <c r="N2769" i="1"/>
  <c r="N2770" i="1"/>
  <c r="N2771" i="1"/>
  <c r="N2772" i="1"/>
  <c r="N2773" i="1"/>
  <c r="N2774" i="1"/>
  <c r="N2775" i="1"/>
  <c r="N2776" i="1"/>
  <c r="N2777" i="1"/>
  <c r="N2778" i="1"/>
  <c r="N2779" i="1"/>
  <c r="N2780" i="1"/>
  <c r="N2781" i="1"/>
  <c r="N2782" i="1"/>
  <c r="N2783" i="1"/>
  <c r="N2784" i="1"/>
  <c r="N2785" i="1"/>
  <c r="N2786" i="1"/>
  <c r="N2787" i="1"/>
  <c r="N2788" i="1"/>
  <c r="N2789" i="1"/>
  <c r="N2790" i="1"/>
  <c r="N2791" i="1"/>
  <c r="N2792" i="1"/>
  <c r="N2793" i="1"/>
  <c r="N2794" i="1"/>
  <c r="N2795" i="1"/>
  <c r="N2796" i="1"/>
  <c r="N2797" i="1"/>
  <c r="N2798" i="1"/>
  <c r="N2799" i="1"/>
  <c r="N2800" i="1"/>
  <c r="N2801" i="1"/>
  <c r="N2802" i="1"/>
  <c r="N2803" i="1"/>
  <c r="N2804" i="1"/>
  <c r="N2805" i="1"/>
  <c r="N2806" i="1"/>
  <c r="N2807" i="1"/>
  <c r="N2808" i="1"/>
  <c r="N2809" i="1"/>
  <c r="N2810" i="1"/>
  <c r="N2811" i="1"/>
  <c r="N2812" i="1"/>
  <c r="N2813" i="1"/>
  <c r="N2814" i="1"/>
  <c r="N2815" i="1"/>
  <c r="N2816" i="1"/>
  <c r="N2817" i="1"/>
  <c r="N2818" i="1"/>
  <c r="N2819" i="1"/>
  <c r="N2820" i="1"/>
  <c r="N2821" i="1"/>
  <c r="N2822" i="1"/>
  <c r="N2823" i="1"/>
  <c r="N2824" i="1"/>
  <c r="N2825" i="1"/>
  <c r="N2826" i="1"/>
  <c r="N2827" i="1"/>
  <c r="N2828" i="1"/>
  <c r="N2829" i="1"/>
  <c r="N2830" i="1"/>
  <c r="N2831" i="1"/>
  <c r="N2832" i="1"/>
  <c r="N2833" i="1"/>
  <c r="N2834" i="1"/>
  <c r="N2835" i="1"/>
  <c r="N2836" i="1"/>
  <c r="N2837" i="1"/>
  <c r="N2838" i="1"/>
  <c r="N2839" i="1"/>
  <c r="N2840" i="1"/>
  <c r="N2841" i="1"/>
  <c r="N2842" i="1"/>
  <c r="N2843" i="1"/>
  <c r="N2844" i="1"/>
  <c r="N2845" i="1"/>
  <c r="N2846" i="1"/>
  <c r="N2847" i="1"/>
  <c r="N2848" i="1"/>
  <c r="N2849" i="1"/>
  <c r="N2850" i="1"/>
  <c r="N2851" i="1"/>
  <c r="N2852" i="1"/>
  <c r="N2853" i="1"/>
  <c r="N2854" i="1"/>
  <c r="N2855" i="1"/>
  <c r="N2856" i="1"/>
  <c r="N2857" i="1"/>
  <c r="N2858" i="1"/>
  <c r="N2859" i="1"/>
  <c r="N2860" i="1"/>
  <c r="N2861" i="1"/>
  <c r="N2862" i="1"/>
  <c r="N2863" i="1"/>
  <c r="N2864" i="1"/>
  <c r="N2865" i="1"/>
  <c r="N2866" i="1"/>
  <c r="N2867" i="1"/>
  <c r="N2868" i="1"/>
  <c r="N2869" i="1"/>
  <c r="N2870" i="1"/>
  <c r="N2871" i="1"/>
  <c r="N2872" i="1"/>
  <c r="N2873" i="1"/>
  <c r="N2874" i="1"/>
  <c r="N2875" i="1"/>
  <c r="N2876" i="1"/>
  <c r="N2877" i="1"/>
  <c r="N2878" i="1"/>
  <c r="N2879" i="1"/>
  <c r="N2880" i="1"/>
  <c r="N2881" i="1"/>
  <c r="N2882" i="1"/>
  <c r="N2883" i="1"/>
  <c r="N2884" i="1"/>
  <c r="N2885" i="1"/>
  <c r="N2886" i="1"/>
  <c r="N2887" i="1"/>
  <c r="N2888" i="1"/>
  <c r="N2889" i="1"/>
  <c r="N2890" i="1"/>
  <c r="N2891" i="1"/>
  <c r="N2892" i="1"/>
  <c r="N2893" i="1"/>
  <c r="N2894" i="1"/>
  <c r="N2895" i="1"/>
  <c r="N2896" i="1"/>
  <c r="N2897" i="1"/>
  <c r="N2898" i="1"/>
  <c r="N2899" i="1"/>
  <c r="N2900" i="1"/>
  <c r="N2901" i="1"/>
  <c r="N2902" i="1"/>
  <c r="N2903" i="1"/>
  <c r="N2904" i="1"/>
  <c r="N2905" i="1"/>
  <c r="N2906" i="1"/>
  <c r="N2907" i="1"/>
  <c r="N2908" i="1"/>
  <c r="N2909" i="1"/>
  <c r="N2910" i="1"/>
  <c r="N2911" i="1"/>
  <c r="N2912" i="1"/>
  <c r="N2913" i="1"/>
  <c r="N2914" i="1"/>
  <c r="N2915" i="1"/>
  <c r="N2916" i="1"/>
  <c r="N2917" i="1"/>
  <c r="N2918" i="1"/>
  <c r="N2919" i="1"/>
  <c r="N2920" i="1"/>
  <c r="N2921" i="1"/>
  <c r="N2922" i="1"/>
  <c r="N2923" i="1"/>
  <c r="N2924" i="1"/>
  <c r="N2925" i="1"/>
  <c r="N2926" i="1"/>
  <c r="N2927" i="1"/>
  <c r="N2928" i="1"/>
  <c r="N2929" i="1"/>
  <c r="N2930" i="1"/>
  <c r="N2931" i="1"/>
  <c r="N2932" i="1"/>
  <c r="N2933" i="1"/>
  <c r="N2934" i="1"/>
  <c r="N2935" i="1"/>
  <c r="N2936" i="1"/>
  <c r="N2937" i="1"/>
  <c r="N2938" i="1"/>
  <c r="N2939" i="1"/>
  <c r="N2940" i="1"/>
  <c r="N2941" i="1"/>
  <c r="N2942" i="1"/>
  <c r="N2943" i="1"/>
  <c r="N2944" i="1"/>
  <c r="N2945" i="1"/>
  <c r="N2946" i="1"/>
  <c r="N2947" i="1"/>
  <c r="N2948" i="1"/>
  <c r="N2949" i="1"/>
  <c r="N2950" i="1"/>
  <c r="N2951" i="1"/>
  <c r="N2952" i="1"/>
  <c r="N2953" i="1"/>
  <c r="N2954" i="1"/>
  <c r="N2955" i="1"/>
  <c r="N2956" i="1"/>
  <c r="N2957" i="1"/>
  <c r="N2958" i="1"/>
  <c r="N2959" i="1"/>
  <c r="N2960" i="1"/>
  <c r="N2961" i="1"/>
  <c r="N2962" i="1"/>
  <c r="N2963" i="1"/>
  <c r="N2964" i="1"/>
  <c r="N2965" i="1"/>
  <c r="N2966" i="1"/>
  <c r="N2967" i="1"/>
  <c r="N2968" i="1"/>
  <c r="N2969" i="1"/>
  <c r="N2970" i="1"/>
  <c r="N2971" i="1"/>
  <c r="N2972" i="1"/>
  <c r="N2973" i="1"/>
  <c r="N2974" i="1"/>
  <c r="N2975" i="1"/>
  <c r="N2976" i="1"/>
  <c r="N2977" i="1"/>
  <c r="N2978" i="1"/>
  <c r="N2979" i="1"/>
  <c r="N2980" i="1"/>
  <c r="N2981" i="1"/>
  <c r="N2982" i="1"/>
  <c r="N2983" i="1"/>
  <c r="N2984" i="1"/>
  <c r="N2985" i="1"/>
  <c r="N2986" i="1"/>
  <c r="N2987" i="1"/>
  <c r="N2988" i="1"/>
  <c r="N2989" i="1"/>
  <c r="N2990" i="1"/>
  <c r="N2991" i="1"/>
  <c r="N2992" i="1"/>
  <c r="N2993" i="1"/>
  <c r="N2994" i="1"/>
  <c r="N2995" i="1"/>
  <c r="N2996" i="1"/>
  <c r="N2997" i="1"/>
  <c r="N2998" i="1"/>
  <c r="N2999" i="1"/>
  <c r="N3000" i="1"/>
  <c r="N3001" i="1"/>
  <c r="M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2002" i="1"/>
  <c r="M2003" i="1"/>
  <c r="M2004" i="1"/>
  <c r="M2005" i="1"/>
  <c r="M2006" i="1"/>
  <c r="M2007" i="1"/>
  <c r="M2008" i="1"/>
  <c r="M2009" i="1"/>
  <c r="M2010" i="1"/>
  <c r="M2011" i="1"/>
  <c r="M2012" i="1"/>
  <c r="M2013" i="1"/>
  <c r="M2014" i="1"/>
  <c r="M2015" i="1"/>
  <c r="M2016" i="1"/>
  <c r="M2017" i="1"/>
  <c r="M2018" i="1"/>
  <c r="M2019" i="1"/>
  <c r="M2020" i="1"/>
  <c r="M2021" i="1"/>
  <c r="M2022" i="1"/>
  <c r="M2023" i="1"/>
  <c r="M2024" i="1"/>
  <c r="M2025" i="1"/>
  <c r="M2026" i="1"/>
  <c r="M2027" i="1"/>
  <c r="M2028" i="1"/>
  <c r="M2029" i="1"/>
  <c r="M2030" i="1"/>
  <c r="M2031" i="1"/>
  <c r="M2032" i="1"/>
  <c r="M2033" i="1"/>
  <c r="M2034" i="1"/>
  <c r="M2035" i="1"/>
  <c r="M2036" i="1"/>
  <c r="M2037" i="1"/>
  <c r="M2038" i="1"/>
  <c r="M2039" i="1"/>
  <c r="M2040" i="1"/>
  <c r="M2041" i="1"/>
  <c r="M2042" i="1"/>
  <c r="M2043" i="1"/>
  <c r="M2044" i="1"/>
  <c r="M2045" i="1"/>
  <c r="M2046" i="1"/>
  <c r="M2047" i="1"/>
  <c r="M2048" i="1"/>
  <c r="M2049" i="1"/>
  <c r="M2050" i="1"/>
  <c r="M2051" i="1"/>
  <c r="M2052" i="1"/>
  <c r="M2053" i="1"/>
  <c r="M2054" i="1"/>
  <c r="M2055" i="1"/>
  <c r="M2056" i="1"/>
  <c r="M2057" i="1"/>
  <c r="M2058" i="1"/>
  <c r="M2059" i="1"/>
  <c r="M2060" i="1"/>
  <c r="M2061" i="1"/>
  <c r="M2062" i="1"/>
  <c r="M2063" i="1"/>
  <c r="M2064" i="1"/>
  <c r="M2065" i="1"/>
  <c r="M2066" i="1"/>
  <c r="M2067" i="1"/>
  <c r="M2068" i="1"/>
  <c r="M2069" i="1"/>
  <c r="M2070" i="1"/>
  <c r="M2071" i="1"/>
  <c r="M2072" i="1"/>
  <c r="M2073" i="1"/>
  <c r="M2074" i="1"/>
  <c r="M2075" i="1"/>
  <c r="M2076" i="1"/>
  <c r="M2077" i="1"/>
  <c r="M2078" i="1"/>
  <c r="M2079" i="1"/>
  <c r="M2080" i="1"/>
  <c r="M2081" i="1"/>
  <c r="M2082" i="1"/>
  <c r="M2083" i="1"/>
  <c r="M2084" i="1"/>
  <c r="M2085" i="1"/>
  <c r="M2086" i="1"/>
  <c r="M2087" i="1"/>
  <c r="M2088" i="1"/>
  <c r="M2089" i="1"/>
  <c r="M2090" i="1"/>
  <c r="M2091" i="1"/>
  <c r="M2092" i="1"/>
  <c r="M2093" i="1"/>
  <c r="M2094" i="1"/>
  <c r="M2095" i="1"/>
  <c r="M2096" i="1"/>
  <c r="M2097" i="1"/>
  <c r="M2098" i="1"/>
  <c r="M2099" i="1"/>
  <c r="M2100" i="1"/>
  <c r="M2101" i="1"/>
  <c r="M2102" i="1"/>
  <c r="M2103" i="1"/>
  <c r="M2104" i="1"/>
  <c r="M2105" i="1"/>
  <c r="M2106" i="1"/>
  <c r="M2107" i="1"/>
  <c r="M2108" i="1"/>
  <c r="M2109" i="1"/>
  <c r="M2110" i="1"/>
  <c r="M2111" i="1"/>
  <c r="M2112" i="1"/>
  <c r="M2113" i="1"/>
  <c r="M2114" i="1"/>
  <c r="M2115" i="1"/>
  <c r="M2116" i="1"/>
  <c r="M2117" i="1"/>
  <c r="M2118" i="1"/>
  <c r="M2119" i="1"/>
  <c r="M2120" i="1"/>
  <c r="M2121" i="1"/>
  <c r="M2122" i="1"/>
  <c r="M2123" i="1"/>
  <c r="M2124" i="1"/>
  <c r="M2125" i="1"/>
  <c r="M2126" i="1"/>
  <c r="M2127" i="1"/>
  <c r="M2128" i="1"/>
  <c r="M2129" i="1"/>
  <c r="M2130" i="1"/>
  <c r="M2131" i="1"/>
  <c r="M2132" i="1"/>
  <c r="M2133" i="1"/>
  <c r="M2134" i="1"/>
  <c r="M2135" i="1"/>
  <c r="M2136" i="1"/>
  <c r="M2137" i="1"/>
  <c r="M2138" i="1"/>
  <c r="M2139" i="1"/>
  <c r="M2140" i="1"/>
  <c r="M2141" i="1"/>
  <c r="M2142" i="1"/>
  <c r="M2143" i="1"/>
  <c r="M2144" i="1"/>
  <c r="M2145" i="1"/>
  <c r="M2146" i="1"/>
  <c r="M2147" i="1"/>
  <c r="M2148" i="1"/>
  <c r="M2149" i="1"/>
  <c r="M2150" i="1"/>
  <c r="M2151" i="1"/>
  <c r="M2152" i="1"/>
  <c r="M2153" i="1"/>
  <c r="M2154" i="1"/>
  <c r="M2155" i="1"/>
  <c r="M2156" i="1"/>
  <c r="M2157" i="1"/>
  <c r="M2158" i="1"/>
  <c r="M2159" i="1"/>
  <c r="M2160" i="1"/>
  <c r="M2161" i="1"/>
  <c r="M2162" i="1"/>
  <c r="M2163" i="1"/>
  <c r="M2164" i="1"/>
  <c r="M2165" i="1"/>
  <c r="M2166" i="1"/>
  <c r="M2167" i="1"/>
  <c r="M2168" i="1"/>
  <c r="M2169" i="1"/>
  <c r="M2170" i="1"/>
  <c r="M2171" i="1"/>
  <c r="M2172" i="1"/>
  <c r="M2173" i="1"/>
  <c r="M2174" i="1"/>
  <c r="M2175" i="1"/>
  <c r="M2176" i="1"/>
  <c r="M2177" i="1"/>
  <c r="M2178" i="1"/>
  <c r="M2179" i="1"/>
  <c r="M2180" i="1"/>
  <c r="M2181" i="1"/>
  <c r="M2182" i="1"/>
  <c r="M2183" i="1"/>
  <c r="M2184" i="1"/>
  <c r="M2185" i="1"/>
  <c r="M2186" i="1"/>
  <c r="M2187" i="1"/>
  <c r="M2188" i="1"/>
  <c r="M2189" i="1"/>
  <c r="M2190" i="1"/>
  <c r="M2191" i="1"/>
  <c r="M2192" i="1"/>
  <c r="M2193" i="1"/>
  <c r="M2194" i="1"/>
  <c r="M2195" i="1"/>
  <c r="M2196" i="1"/>
  <c r="M2197" i="1"/>
  <c r="M2198" i="1"/>
  <c r="M2199" i="1"/>
  <c r="M2200" i="1"/>
  <c r="M2201" i="1"/>
  <c r="M2202" i="1"/>
  <c r="M2203" i="1"/>
  <c r="M2204" i="1"/>
  <c r="M2205" i="1"/>
  <c r="M2206" i="1"/>
  <c r="M2207" i="1"/>
  <c r="M2208" i="1"/>
  <c r="M2209" i="1"/>
  <c r="M2210" i="1"/>
  <c r="M2211" i="1"/>
  <c r="M2212" i="1"/>
  <c r="M2213" i="1"/>
  <c r="M2214" i="1"/>
  <c r="M2215" i="1"/>
  <c r="M2216" i="1"/>
  <c r="M2217" i="1"/>
  <c r="M2218" i="1"/>
  <c r="M2219" i="1"/>
  <c r="M2220" i="1"/>
  <c r="M2221" i="1"/>
  <c r="M2222" i="1"/>
  <c r="M2223" i="1"/>
  <c r="M2224" i="1"/>
  <c r="M2225" i="1"/>
  <c r="M2226" i="1"/>
  <c r="M2227" i="1"/>
  <c r="M2228" i="1"/>
  <c r="M2229" i="1"/>
  <c r="M2230" i="1"/>
  <c r="M2231" i="1"/>
  <c r="M2232" i="1"/>
  <c r="M2233" i="1"/>
  <c r="M2234" i="1"/>
  <c r="M2235" i="1"/>
  <c r="M2236" i="1"/>
  <c r="M2237" i="1"/>
  <c r="M2238" i="1"/>
  <c r="M2239" i="1"/>
  <c r="M2240" i="1"/>
  <c r="M2241" i="1"/>
  <c r="M2242" i="1"/>
  <c r="M2243" i="1"/>
  <c r="M2244" i="1"/>
  <c r="M2245" i="1"/>
  <c r="M2246" i="1"/>
  <c r="M2247" i="1"/>
  <c r="M2248" i="1"/>
  <c r="M2249" i="1"/>
  <c r="M2250" i="1"/>
  <c r="M2251" i="1"/>
  <c r="M2252" i="1"/>
  <c r="M2253" i="1"/>
  <c r="M2254" i="1"/>
  <c r="M2255" i="1"/>
  <c r="M2256" i="1"/>
  <c r="M2257" i="1"/>
  <c r="M2258" i="1"/>
  <c r="M2259" i="1"/>
  <c r="M2260" i="1"/>
  <c r="M2261" i="1"/>
  <c r="M2262" i="1"/>
  <c r="M2263" i="1"/>
  <c r="M2264" i="1"/>
  <c r="M2265" i="1"/>
  <c r="M2266" i="1"/>
  <c r="M2267" i="1"/>
  <c r="M2268" i="1"/>
  <c r="M2269" i="1"/>
  <c r="M2270" i="1"/>
  <c r="M2271" i="1"/>
  <c r="M2272" i="1"/>
  <c r="M2273" i="1"/>
  <c r="M2274" i="1"/>
  <c r="M2275" i="1"/>
  <c r="M2276" i="1"/>
  <c r="M2277" i="1"/>
  <c r="M2278" i="1"/>
  <c r="M2279" i="1"/>
  <c r="M2280" i="1"/>
  <c r="M2281" i="1"/>
  <c r="M2282" i="1"/>
  <c r="M2283" i="1"/>
  <c r="M2284" i="1"/>
  <c r="M2285" i="1"/>
  <c r="M2286" i="1"/>
  <c r="M2287" i="1"/>
  <c r="M2288" i="1"/>
  <c r="M2289" i="1"/>
  <c r="M2290" i="1"/>
  <c r="M2291" i="1"/>
  <c r="M2292" i="1"/>
  <c r="M2293" i="1"/>
  <c r="M2294" i="1"/>
  <c r="M2295" i="1"/>
  <c r="M2296" i="1"/>
  <c r="M2297" i="1"/>
  <c r="M2298" i="1"/>
  <c r="M2299" i="1"/>
  <c r="M2300" i="1"/>
  <c r="M2301" i="1"/>
  <c r="M2302" i="1"/>
  <c r="M2303" i="1"/>
  <c r="M2304" i="1"/>
  <c r="M2305" i="1"/>
  <c r="M2306" i="1"/>
  <c r="M2307" i="1"/>
  <c r="M2308" i="1"/>
  <c r="M2309" i="1"/>
  <c r="M2310" i="1"/>
  <c r="M2311" i="1"/>
  <c r="M2312" i="1"/>
  <c r="M2313" i="1"/>
  <c r="M2314" i="1"/>
  <c r="M2315" i="1"/>
  <c r="M2316" i="1"/>
  <c r="M2317" i="1"/>
  <c r="M2318" i="1"/>
  <c r="M2319" i="1"/>
  <c r="M2320" i="1"/>
  <c r="M2321" i="1"/>
  <c r="M2322" i="1"/>
  <c r="M2323" i="1"/>
  <c r="M2324" i="1"/>
  <c r="M2325" i="1"/>
  <c r="M2326" i="1"/>
  <c r="M2327" i="1"/>
  <c r="M2328" i="1"/>
  <c r="M2329" i="1"/>
  <c r="M2330" i="1"/>
  <c r="M2331" i="1"/>
  <c r="M2332" i="1"/>
  <c r="M2333" i="1"/>
  <c r="M2334" i="1"/>
  <c r="M2335" i="1"/>
  <c r="M2336" i="1"/>
  <c r="M2337" i="1"/>
  <c r="M2338" i="1"/>
  <c r="M2339" i="1"/>
  <c r="M2340" i="1"/>
  <c r="M2341" i="1"/>
  <c r="M2342" i="1"/>
  <c r="M2343" i="1"/>
  <c r="M2344" i="1"/>
  <c r="M2345" i="1"/>
  <c r="M2346" i="1"/>
  <c r="M2347" i="1"/>
  <c r="M2348" i="1"/>
  <c r="M2349" i="1"/>
  <c r="M2350" i="1"/>
  <c r="M2351" i="1"/>
  <c r="M2352" i="1"/>
  <c r="M2353" i="1"/>
  <c r="M2354" i="1"/>
  <c r="M2355" i="1"/>
  <c r="M2356" i="1"/>
  <c r="M2357" i="1"/>
  <c r="M2358" i="1"/>
  <c r="M2359" i="1"/>
  <c r="M2360" i="1"/>
  <c r="M2361" i="1"/>
  <c r="M2362" i="1"/>
  <c r="M2363" i="1"/>
  <c r="M2364" i="1"/>
  <c r="M2365" i="1"/>
  <c r="M2366" i="1"/>
  <c r="M2367" i="1"/>
  <c r="M2368" i="1"/>
  <c r="M2369" i="1"/>
  <c r="M2370" i="1"/>
  <c r="M2371" i="1"/>
  <c r="M2372" i="1"/>
  <c r="M2373" i="1"/>
  <c r="M2374" i="1"/>
  <c r="M2375" i="1"/>
  <c r="M2376" i="1"/>
  <c r="M2377" i="1"/>
  <c r="M2378" i="1"/>
  <c r="M2379" i="1"/>
  <c r="M2380" i="1"/>
  <c r="M2381" i="1"/>
  <c r="M2382" i="1"/>
  <c r="M2383" i="1"/>
  <c r="M2384" i="1"/>
  <c r="M2385" i="1"/>
  <c r="M2386" i="1"/>
  <c r="M2387" i="1"/>
  <c r="M2388" i="1"/>
  <c r="M2389" i="1"/>
  <c r="M2390" i="1"/>
  <c r="M2391" i="1"/>
  <c r="M2392" i="1"/>
  <c r="M2393" i="1"/>
  <c r="M2394" i="1"/>
  <c r="M2395" i="1"/>
  <c r="M2396" i="1"/>
  <c r="M2397" i="1"/>
  <c r="M2398" i="1"/>
  <c r="M2399" i="1"/>
  <c r="M2400" i="1"/>
  <c r="M2401" i="1"/>
  <c r="M2402" i="1"/>
  <c r="M2403" i="1"/>
  <c r="M2404" i="1"/>
  <c r="M2405" i="1"/>
  <c r="M2406" i="1"/>
  <c r="M2407" i="1"/>
  <c r="M2408" i="1"/>
  <c r="M2409" i="1"/>
  <c r="M2410" i="1"/>
  <c r="M2411" i="1"/>
  <c r="M2412" i="1"/>
  <c r="M2413" i="1"/>
  <c r="M2414" i="1"/>
  <c r="M2415" i="1"/>
  <c r="M2416" i="1"/>
  <c r="M2417" i="1"/>
  <c r="M2418" i="1"/>
  <c r="M2419" i="1"/>
  <c r="M2420" i="1"/>
  <c r="M2421" i="1"/>
  <c r="M2422" i="1"/>
  <c r="M2423" i="1"/>
  <c r="M2424" i="1"/>
  <c r="M2425" i="1"/>
  <c r="M2426" i="1"/>
  <c r="M2427" i="1"/>
  <c r="M2428" i="1"/>
  <c r="M2429" i="1"/>
  <c r="M2430" i="1"/>
  <c r="M2431" i="1"/>
  <c r="M2432" i="1"/>
  <c r="M2433" i="1"/>
  <c r="M2434" i="1"/>
  <c r="M2435" i="1"/>
  <c r="M2436" i="1"/>
  <c r="M2437" i="1"/>
  <c r="M2438" i="1"/>
  <c r="M2439" i="1"/>
  <c r="M2440" i="1"/>
  <c r="M2441" i="1"/>
  <c r="M2442" i="1"/>
  <c r="M2443" i="1"/>
  <c r="M2444" i="1"/>
  <c r="M2445" i="1"/>
  <c r="M2446" i="1"/>
  <c r="M2447" i="1"/>
  <c r="M2448" i="1"/>
  <c r="M2449" i="1"/>
  <c r="M2450" i="1"/>
  <c r="M2451" i="1"/>
  <c r="M2452" i="1"/>
  <c r="M2453" i="1"/>
  <c r="M2454" i="1"/>
  <c r="M2455" i="1"/>
  <c r="M2456" i="1"/>
  <c r="M2457" i="1"/>
  <c r="M2458" i="1"/>
  <c r="M2459" i="1"/>
  <c r="M2460" i="1"/>
  <c r="M2461" i="1"/>
  <c r="M2462" i="1"/>
  <c r="M2463" i="1"/>
  <c r="M2464" i="1"/>
  <c r="M2465" i="1"/>
  <c r="M2466" i="1"/>
  <c r="M2467" i="1"/>
  <c r="M2468" i="1"/>
  <c r="M2469" i="1"/>
  <c r="M2470" i="1"/>
  <c r="M2471" i="1"/>
  <c r="M2472" i="1"/>
  <c r="M2473" i="1"/>
  <c r="M2474" i="1"/>
  <c r="M2475" i="1"/>
  <c r="M2476" i="1"/>
  <c r="M2477" i="1"/>
  <c r="M2478" i="1"/>
  <c r="M2479" i="1"/>
  <c r="M2480" i="1"/>
  <c r="M2481" i="1"/>
  <c r="M2482" i="1"/>
  <c r="M2483" i="1"/>
  <c r="M2484" i="1"/>
  <c r="M2485" i="1"/>
  <c r="M2486" i="1"/>
  <c r="M2487" i="1"/>
  <c r="M2488" i="1"/>
  <c r="M2489" i="1"/>
  <c r="M2490" i="1"/>
  <c r="M2491" i="1"/>
  <c r="M2492" i="1"/>
  <c r="M2493" i="1"/>
  <c r="M2494" i="1"/>
  <c r="M2495" i="1"/>
  <c r="M2496" i="1"/>
  <c r="M2497" i="1"/>
  <c r="M2498" i="1"/>
  <c r="M2499" i="1"/>
  <c r="M2500" i="1"/>
  <c r="M2501" i="1"/>
  <c r="M2502" i="1"/>
  <c r="M2503" i="1"/>
  <c r="M2504" i="1"/>
  <c r="M2505" i="1"/>
  <c r="M2506" i="1"/>
  <c r="M2507" i="1"/>
  <c r="M2508" i="1"/>
  <c r="M2509" i="1"/>
  <c r="M2510" i="1"/>
  <c r="M2511" i="1"/>
  <c r="M2512" i="1"/>
  <c r="M2513" i="1"/>
  <c r="M2514" i="1"/>
  <c r="M2515" i="1"/>
  <c r="M2516" i="1"/>
  <c r="M2517" i="1"/>
  <c r="M2518" i="1"/>
  <c r="M2519" i="1"/>
  <c r="M2520" i="1"/>
  <c r="M2521" i="1"/>
  <c r="M2522" i="1"/>
  <c r="M2523" i="1"/>
  <c r="M2524" i="1"/>
  <c r="M2525" i="1"/>
  <c r="M2526" i="1"/>
  <c r="M2527" i="1"/>
  <c r="M2528" i="1"/>
  <c r="M2529" i="1"/>
  <c r="M2530" i="1"/>
  <c r="M2531" i="1"/>
  <c r="M2532" i="1"/>
  <c r="M2533" i="1"/>
  <c r="M2534" i="1"/>
  <c r="M2535" i="1"/>
  <c r="M2536" i="1"/>
  <c r="M2537" i="1"/>
  <c r="M2538" i="1"/>
  <c r="M2539" i="1"/>
  <c r="M2540" i="1"/>
  <c r="M2541" i="1"/>
  <c r="M2542" i="1"/>
  <c r="M2543" i="1"/>
  <c r="M2544" i="1"/>
  <c r="M2545" i="1"/>
  <c r="M2546" i="1"/>
  <c r="M2547" i="1"/>
  <c r="M2548" i="1"/>
  <c r="M2549" i="1"/>
  <c r="M2550" i="1"/>
  <c r="M2551" i="1"/>
  <c r="M2552" i="1"/>
  <c r="M2553" i="1"/>
  <c r="M2554" i="1"/>
  <c r="M2555" i="1"/>
  <c r="M2556" i="1"/>
  <c r="M2557" i="1"/>
  <c r="M2558" i="1"/>
  <c r="M2559" i="1"/>
  <c r="M2560" i="1"/>
  <c r="M2561" i="1"/>
  <c r="M2562" i="1"/>
  <c r="M2563" i="1"/>
  <c r="M2564" i="1"/>
  <c r="M2565" i="1"/>
  <c r="M2566" i="1"/>
  <c r="M2567" i="1"/>
  <c r="M2568" i="1"/>
  <c r="M2569" i="1"/>
  <c r="M2570" i="1"/>
  <c r="M2571" i="1"/>
  <c r="M2572" i="1"/>
  <c r="M2573" i="1"/>
  <c r="M2574" i="1"/>
  <c r="M2575" i="1"/>
  <c r="M2576" i="1"/>
  <c r="M2577" i="1"/>
  <c r="M2578" i="1"/>
  <c r="M2579" i="1"/>
  <c r="M2580" i="1"/>
  <c r="M2581" i="1"/>
  <c r="M2582" i="1"/>
  <c r="M2583" i="1"/>
  <c r="M2584" i="1"/>
  <c r="M2585" i="1"/>
  <c r="M2586" i="1"/>
  <c r="M2587" i="1"/>
  <c r="M2588" i="1"/>
  <c r="M2589" i="1"/>
  <c r="M2590" i="1"/>
  <c r="M2591" i="1"/>
  <c r="M2592" i="1"/>
  <c r="M2593" i="1"/>
  <c r="M2594" i="1"/>
  <c r="M2595" i="1"/>
  <c r="M2596" i="1"/>
  <c r="M2597" i="1"/>
  <c r="M2598" i="1"/>
  <c r="M2599" i="1"/>
  <c r="M2600" i="1"/>
  <c r="M2601" i="1"/>
  <c r="M2602" i="1"/>
  <c r="M2603" i="1"/>
  <c r="M2604" i="1"/>
  <c r="M2605" i="1"/>
  <c r="M2606" i="1"/>
  <c r="M2607" i="1"/>
  <c r="M2608" i="1"/>
  <c r="M2609" i="1"/>
  <c r="M2610" i="1"/>
  <c r="M2611" i="1"/>
  <c r="M2612" i="1"/>
  <c r="M2613" i="1"/>
  <c r="M2614" i="1"/>
  <c r="M2615" i="1"/>
  <c r="M2616" i="1"/>
  <c r="M2617" i="1"/>
  <c r="M2618" i="1"/>
  <c r="M2619" i="1"/>
  <c r="M2620" i="1"/>
  <c r="M2621" i="1"/>
  <c r="M2622" i="1"/>
  <c r="M2623" i="1"/>
  <c r="M2624" i="1"/>
  <c r="M2625" i="1"/>
  <c r="M2626" i="1"/>
  <c r="M2627" i="1"/>
  <c r="M2628" i="1"/>
  <c r="M2629" i="1"/>
  <c r="M2630" i="1"/>
  <c r="M2631" i="1"/>
  <c r="M2632" i="1"/>
  <c r="M2633" i="1"/>
  <c r="M2634" i="1"/>
  <c r="M2635" i="1"/>
  <c r="M2636" i="1"/>
  <c r="M2637" i="1"/>
  <c r="M2638" i="1"/>
  <c r="M2639" i="1"/>
  <c r="M2640" i="1"/>
  <c r="M2641" i="1"/>
  <c r="M2642" i="1"/>
  <c r="M2643" i="1"/>
  <c r="M2644" i="1"/>
  <c r="M2645" i="1"/>
  <c r="M2646" i="1"/>
  <c r="M2647" i="1"/>
  <c r="M2648" i="1"/>
  <c r="M2649" i="1"/>
  <c r="M2650" i="1"/>
  <c r="M2651" i="1"/>
  <c r="M2652" i="1"/>
  <c r="M2653" i="1"/>
  <c r="M2654" i="1"/>
  <c r="M2655" i="1"/>
  <c r="M2656" i="1"/>
  <c r="M2657" i="1"/>
  <c r="M2658" i="1"/>
  <c r="M2659" i="1"/>
  <c r="M2660" i="1"/>
  <c r="M2661" i="1"/>
  <c r="M2662" i="1"/>
  <c r="M2663" i="1"/>
  <c r="M2664" i="1"/>
  <c r="M2665" i="1"/>
  <c r="M2666" i="1"/>
  <c r="M2667" i="1"/>
  <c r="M2668" i="1"/>
  <c r="M2669" i="1"/>
  <c r="M2670" i="1"/>
  <c r="M2671" i="1"/>
  <c r="M2672" i="1"/>
  <c r="M2673" i="1"/>
  <c r="M2674" i="1"/>
  <c r="M2675" i="1"/>
  <c r="M2676" i="1"/>
  <c r="M2677" i="1"/>
  <c r="M2678" i="1"/>
  <c r="M2679" i="1"/>
  <c r="M2680" i="1"/>
  <c r="M2681" i="1"/>
  <c r="M2682" i="1"/>
  <c r="M2683" i="1"/>
  <c r="M2684" i="1"/>
  <c r="M2685" i="1"/>
  <c r="M2686" i="1"/>
  <c r="M2687" i="1"/>
  <c r="M2688" i="1"/>
  <c r="M2689" i="1"/>
  <c r="M2690" i="1"/>
  <c r="M2691" i="1"/>
  <c r="M2692" i="1"/>
  <c r="M2693" i="1"/>
  <c r="M2694" i="1"/>
  <c r="M2695" i="1"/>
  <c r="M2696" i="1"/>
  <c r="M2697" i="1"/>
  <c r="M2698" i="1"/>
  <c r="M2699" i="1"/>
  <c r="M2700" i="1"/>
  <c r="M2701" i="1"/>
  <c r="M2702" i="1"/>
  <c r="M2703" i="1"/>
  <c r="M2704" i="1"/>
  <c r="M2705" i="1"/>
  <c r="M2706" i="1"/>
  <c r="M2707" i="1"/>
  <c r="M2708" i="1"/>
  <c r="M2709" i="1"/>
  <c r="M2710" i="1"/>
  <c r="M2711" i="1"/>
  <c r="M2712" i="1"/>
  <c r="M2713" i="1"/>
  <c r="M2714" i="1"/>
  <c r="M2715" i="1"/>
  <c r="M2716" i="1"/>
  <c r="M2717" i="1"/>
  <c r="M2718" i="1"/>
  <c r="M2719" i="1"/>
  <c r="M2720" i="1"/>
  <c r="M2721" i="1"/>
  <c r="M2722" i="1"/>
  <c r="M2723" i="1"/>
  <c r="M2724" i="1"/>
  <c r="M2725" i="1"/>
  <c r="M2726" i="1"/>
  <c r="M2727" i="1"/>
  <c r="M2728" i="1"/>
  <c r="M2729" i="1"/>
  <c r="M2730" i="1"/>
  <c r="M2731" i="1"/>
  <c r="M2732" i="1"/>
  <c r="M2733" i="1"/>
  <c r="M2734" i="1"/>
  <c r="M2735" i="1"/>
  <c r="M2736" i="1"/>
  <c r="M2737" i="1"/>
  <c r="M2738" i="1"/>
  <c r="M2739" i="1"/>
  <c r="M2740" i="1"/>
  <c r="M2741" i="1"/>
  <c r="M2742" i="1"/>
  <c r="M2743" i="1"/>
  <c r="M2744" i="1"/>
  <c r="M2745" i="1"/>
  <c r="M2746" i="1"/>
  <c r="M2747" i="1"/>
  <c r="M2748" i="1"/>
  <c r="M2749" i="1"/>
  <c r="M2750" i="1"/>
  <c r="M2751" i="1"/>
  <c r="M2752" i="1"/>
  <c r="M2753" i="1"/>
  <c r="M2754" i="1"/>
  <c r="M2755" i="1"/>
  <c r="M2756" i="1"/>
  <c r="M2757" i="1"/>
  <c r="M2758" i="1"/>
  <c r="M2759" i="1"/>
  <c r="M2760" i="1"/>
  <c r="M2761" i="1"/>
  <c r="M2762" i="1"/>
  <c r="M2763" i="1"/>
  <c r="M2764" i="1"/>
  <c r="M2765" i="1"/>
  <c r="M2766" i="1"/>
  <c r="M2767" i="1"/>
  <c r="M2768" i="1"/>
  <c r="M2769" i="1"/>
  <c r="M2770" i="1"/>
  <c r="M2771" i="1"/>
  <c r="M2772" i="1"/>
  <c r="M2773" i="1"/>
  <c r="M2774" i="1"/>
  <c r="M2775" i="1"/>
  <c r="M2776" i="1"/>
  <c r="M2777" i="1"/>
  <c r="M2778" i="1"/>
  <c r="M2779" i="1"/>
  <c r="M2780" i="1"/>
  <c r="M2781" i="1"/>
  <c r="M2782" i="1"/>
  <c r="M2783" i="1"/>
  <c r="M2784" i="1"/>
  <c r="M2785" i="1"/>
  <c r="M2786" i="1"/>
  <c r="M2787" i="1"/>
  <c r="M2788" i="1"/>
  <c r="M2789" i="1"/>
  <c r="M2790" i="1"/>
  <c r="M2791" i="1"/>
  <c r="M2792" i="1"/>
  <c r="M2793" i="1"/>
  <c r="M2794" i="1"/>
  <c r="M2795" i="1"/>
  <c r="M2796" i="1"/>
  <c r="M2797" i="1"/>
  <c r="M2798" i="1"/>
  <c r="M2799" i="1"/>
  <c r="M2800" i="1"/>
  <c r="M2801" i="1"/>
  <c r="M2802" i="1"/>
  <c r="M2803" i="1"/>
  <c r="M2804" i="1"/>
  <c r="M2805" i="1"/>
  <c r="M2806" i="1"/>
  <c r="M2807" i="1"/>
  <c r="M2808" i="1"/>
  <c r="M2809" i="1"/>
  <c r="M2810" i="1"/>
  <c r="M2811" i="1"/>
  <c r="M2812" i="1"/>
  <c r="M2813" i="1"/>
  <c r="M2814" i="1"/>
  <c r="M2815" i="1"/>
  <c r="M2816" i="1"/>
  <c r="M2817" i="1"/>
  <c r="M2818" i="1"/>
  <c r="M2819" i="1"/>
  <c r="M2820" i="1"/>
  <c r="M2821" i="1"/>
  <c r="M2822" i="1"/>
  <c r="M2823" i="1"/>
  <c r="M2824" i="1"/>
  <c r="M2825" i="1"/>
  <c r="M2826" i="1"/>
  <c r="M2827" i="1"/>
  <c r="M2828" i="1"/>
  <c r="M2829" i="1"/>
  <c r="M2830" i="1"/>
  <c r="M2831" i="1"/>
  <c r="M2832" i="1"/>
  <c r="M2833" i="1"/>
  <c r="M2834" i="1"/>
  <c r="M2835" i="1"/>
  <c r="M2836" i="1"/>
  <c r="M2837" i="1"/>
  <c r="M2838" i="1"/>
  <c r="M2839" i="1"/>
  <c r="M2840" i="1"/>
  <c r="M2841" i="1"/>
  <c r="M2842" i="1"/>
  <c r="M2843" i="1"/>
  <c r="M2844" i="1"/>
  <c r="M2845" i="1"/>
  <c r="M2846" i="1"/>
  <c r="M2847" i="1"/>
  <c r="M2848" i="1"/>
  <c r="M2849" i="1"/>
  <c r="M2850" i="1"/>
  <c r="M2851" i="1"/>
  <c r="M2852" i="1"/>
  <c r="M2853" i="1"/>
  <c r="M2854" i="1"/>
  <c r="M2855" i="1"/>
  <c r="M2856" i="1"/>
  <c r="M2857" i="1"/>
  <c r="M2858" i="1"/>
  <c r="M2859" i="1"/>
  <c r="M2860" i="1"/>
  <c r="M2861" i="1"/>
  <c r="M2862" i="1"/>
  <c r="M2863" i="1"/>
  <c r="M2864" i="1"/>
  <c r="M2865" i="1"/>
  <c r="M2866" i="1"/>
  <c r="M2867" i="1"/>
  <c r="M2868" i="1"/>
  <c r="M2869" i="1"/>
  <c r="M2870" i="1"/>
  <c r="M2871" i="1"/>
  <c r="M2872" i="1"/>
  <c r="M2873" i="1"/>
  <c r="M2874" i="1"/>
  <c r="M2875" i="1"/>
  <c r="M2876" i="1"/>
  <c r="M2877" i="1"/>
  <c r="M2878" i="1"/>
  <c r="M2879" i="1"/>
  <c r="M2880" i="1"/>
  <c r="M2881" i="1"/>
  <c r="M2882" i="1"/>
  <c r="M2883" i="1"/>
  <c r="M2884" i="1"/>
  <c r="M2885" i="1"/>
  <c r="M2886" i="1"/>
  <c r="M2887" i="1"/>
  <c r="M2888" i="1"/>
  <c r="M2889" i="1"/>
  <c r="M2890" i="1"/>
  <c r="M2891" i="1"/>
  <c r="M2892" i="1"/>
  <c r="M2893" i="1"/>
  <c r="M2894" i="1"/>
  <c r="M2895" i="1"/>
  <c r="M2896" i="1"/>
  <c r="M2897" i="1"/>
  <c r="M2898" i="1"/>
  <c r="M2899" i="1"/>
  <c r="M2900" i="1"/>
  <c r="M2901" i="1"/>
  <c r="M2902" i="1"/>
  <c r="M2903" i="1"/>
  <c r="M2904" i="1"/>
  <c r="M2905" i="1"/>
  <c r="M2906" i="1"/>
  <c r="M2907" i="1"/>
  <c r="M2908" i="1"/>
  <c r="M2909" i="1"/>
  <c r="M2910" i="1"/>
  <c r="M2911" i="1"/>
  <c r="M2912" i="1"/>
  <c r="M2913" i="1"/>
  <c r="M2914" i="1"/>
  <c r="M2915" i="1"/>
  <c r="M2916" i="1"/>
  <c r="M2917" i="1"/>
  <c r="M2918" i="1"/>
  <c r="M2919" i="1"/>
  <c r="M2920" i="1"/>
  <c r="M2921" i="1"/>
  <c r="M2922" i="1"/>
  <c r="M2923" i="1"/>
  <c r="M2924" i="1"/>
  <c r="M2925" i="1"/>
  <c r="M2926" i="1"/>
  <c r="M2927" i="1"/>
  <c r="M2928" i="1"/>
  <c r="M2929" i="1"/>
  <c r="M2930" i="1"/>
  <c r="M2931" i="1"/>
  <c r="M2932" i="1"/>
  <c r="M2933" i="1"/>
  <c r="M2934" i="1"/>
  <c r="M2935" i="1"/>
  <c r="M2936" i="1"/>
  <c r="M2937" i="1"/>
  <c r="M2938" i="1"/>
  <c r="M2939" i="1"/>
  <c r="M2940" i="1"/>
  <c r="M2941" i="1"/>
  <c r="M2942" i="1"/>
  <c r="M2943" i="1"/>
  <c r="M2944" i="1"/>
  <c r="M2945" i="1"/>
  <c r="M2946" i="1"/>
  <c r="M2947" i="1"/>
  <c r="M2948" i="1"/>
  <c r="M2949" i="1"/>
  <c r="M2950" i="1"/>
  <c r="M2951" i="1"/>
  <c r="M2952" i="1"/>
  <c r="M2953" i="1"/>
  <c r="M2954" i="1"/>
  <c r="M2955" i="1"/>
  <c r="M2956" i="1"/>
  <c r="M2957" i="1"/>
  <c r="M2958" i="1"/>
  <c r="M2959" i="1"/>
  <c r="M2960" i="1"/>
  <c r="M2961" i="1"/>
  <c r="M2962" i="1"/>
  <c r="M2963" i="1"/>
  <c r="M2964" i="1"/>
  <c r="M2965" i="1"/>
  <c r="M2966" i="1"/>
  <c r="M2967" i="1"/>
  <c r="M2968" i="1"/>
  <c r="M2969" i="1"/>
  <c r="M2970" i="1"/>
  <c r="M2971" i="1"/>
  <c r="M2972" i="1"/>
  <c r="M2973" i="1"/>
  <c r="M2974" i="1"/>
  <c r="M2975" i="1"/>
  <c r="M2976" i="1"/>
  <c r="M2977" i="1"/>
  <c r="M2978" i="1"/>
  <c r="M2979" i="1"/>
  <c r="M2980" i="1"/>
  <c r="M2981" i="1"/>
  <c r="M2982" i="1"/>
  <c r="M2983" i="1"/>
  <c r="M2984" i="1"/>
  <c r="M2985" i="1"/>
  <c r="M2986" i="1"/>
  <c r="M2987" i="1"/>
  <c r="M2988" i="1"/>
  <c r="M2989" i="1"/>
  <c r="M2990" i="1"/>
  <c r="M2991" i="1"/>
  <c r="M2992" i="1"/>
  <c r="M2993" i="1"/>
  <c r="M2994" i="1"/>
  <c r="M2995" i="1"/>
  <c r="M2996" i="1"/>
  <c r="M2997" i="1"/>
  <c r="M2998" i="1"/>
  <c r="M2999" i="1"/>
  <c r="M3000" i="1"/>
  <c r="M3001" i="1"/>
  <c r="L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1459" i="1"/>
  <c r="L1460" i="1"/>
  <c r="L1461" i="1"/>
  <c r="L1462" i="1"/>
  <c r="L1463" i="1"/>
  <c r="L1464" i="1"/>
  <c r="L1465" i="1"/>
  <c r="L1466" i="1"/>
  <c r="L1467" i="1"/>
  <c r="L1468" i="1"/>
  <c r="L1469" i="1"/>
  <c r="L1470" i="1"/>
  <c r="L1471" i="1"/>
  <c r="L1472" i="1"/>
  <c r="L1473" i="1"/>
  <c r="L1474" i="1"/>
  <c r="L1475" i="1"/>
  <c r="L1476" i="1"/>
  <c r="L1477" i="1"/>
  <c r="L1478" i="1"/>
  <c r="L1479" i="1"/>
  <c r="L1480" i="1"/>
  <c r="L1481" i="1"/>
  <c r="L1482" i="1"/>
  <c r="L1483" i="1"/>
  <c r="L1484" i="1"/>
  <c r="L1485" i="1"/>
  <c r="L1486" i="1"/>
  <c r="L1487" i="1"/>
  <c r="L1488" i="1"/>
  <c r="L1489" i="1"/>
  <c r="L1490" i="1"/>
  <c r="L1491" i="1"/>
  <c r="L1492" i="1"/>
  <c r="L1493" i="1"/>
  <c r="L1494" i="1"/>
  <c r="L1495" i="1"/>
  <c r="L1496" i="1"/>
  <c r="L1497" i="1"/>
  <c r="L1498" i="1"/>
  <c r="L1499" i="1"/>
  <c r="L1500" i="1"/>
  <c r="L1501" i="1"/>
  <c r="L1502" i="1"/>
  <c r="L1503" i="1"/>
  <c r="L1504" i="1"/>
  <c r="L1505" i="1"/>
  <c r="L1506" i="1"/>
  <c r="L1507" i="1"/>
  <c r="L1508" i="1"/>
  <c r="L1509" i="1"/>
  <c r="L1510" i="1"/>
  <c r="L1511" i="1"/>
  <c r="L1512" i="1"/>
  <c r="L1513" i="1"/>
  <c r="L1514" i="1"/>
  <c r="L1515" i="1"/>
  <c r="L1516" i="1"/>
  <c r="L1517" i="1"/>
  <c r="L1518" i="1"/>
  <c r="L1519" i="1"/>
  <c r="L1520" i="1"/>
  <c r="L1521" i="1"/>
  <c r="L1522" i="1"/>
  <c r="L1523" i="1"/>
  <c r="L1524" i="1"/>
  <c r="L1525" i="1"/>
  <c r="L1526" i="1"/>
  <c r="L1527" i="1"/>
  <c r="L1528" i="1"/>
  <c r="L1529" i="1"/>
  <c r="L1530" i="1"/>
  <c r="L1531" i="1"/>
  <c r="L1532" i="1"/>
  <c r="L1533" i="1"/>
  <c r="L1534" i="1"/>
  <c r="L1535" i="1"/>
  <c r="L1536" i="1"/>
  <c r="L1537" i="1"/>
  <c r="L1538" i="1"/>
  <c r="L1539" i="1"/>
  <c r="L1540" i="1"/>
  <c r="L1541" i="1"/>
  <c r="L1542" i="1"/>
  <c r="L1543" i="1"/>
  <c r="L1544" i="1"/>
  <c r="L1545" i="1"/>
  <c r="L1546" i="1"/>
  <c r="L1547" i="1"/>
  <c r="L1548" i="1"/>
  <c r="L1549" i="1"/>
  <c r="L1550" i="1"/>
  <c r="L1551" i="1"/>
  <c r="L1552" i="1"/>
  <c r="L1553" i="1"/>
  <c r="L1554" i="1"/>
  <c r="L1555" i="1"/>
  <c r="L1556" i="1"/>
  <c r="L1557" i="1"/>
  <c r="L1558" i="1"/>
  <c r="L1559" i="1"/>
  <c r="L1560" i="1"/>
  <c r="L1561" i="1"/>
  <c r="L1562" i="1"/>
  <c r="L1563" i="1"/>
  <c r="L1564" i="1"/>
  <c r="L1565" i="1"/>
  <c r="L1566" i="1"/>
  <c r="L1567" i="1"/>
  <c r="L1568" i="1"/>
  <c r="L1569" i="1"/>
  <c r="L1570" i="1"/>
  <c r="L1571" i="1"/>
  <c r="L1572" i="1"/>
  <c r="L1573" i="1"/>
  <c r="L1574" i="1"/>
  <c r="L1575" i="1"/>
  <c r="L1576" i="1"/>
  <c r="L1577" i="1"/>
  <c r="L1578" i="1"/>
  <c r="L1579" i="1"/>
  <c r="L1580" i="1"/>
  <c r="L1581" i="1"/>
  <c r="L1582" i="1"/>
  <c r="L1583" i="1"/>
  <c r="L1584" i="1"/>
  <c r="L1585" i="1"/>
  <c r="L1586" i="1"/>
  <c r="L1587" i="1"/>
  <c r="L1588" i="1"/>
  <c r="L1589" i="1"/>
  <c r="L1590" i="1"/>
  <c r="L1591" i="1"/>
  <c r="L1592" i="1"/>
  <c r="L1593" i="1"/>
  <c r="L1594" i="1"/>
  <c r="L1595" i="1"/>
  <c r="L1596" i="1"/>
  <c r="L1597" i="1"/>
  <c r="L1598" i="1"/>
  <c r="L1599" i="1"/>
  <c r="L1600" i="1"/>
  <c r="L1601" i="1"/>
  <c r="L1602" i="1"/>
  <c r="L1603" i="1"/>
  <c r="L1604" i="1"/>
  <c r="L1605" i="1"/>
  <c r="L1606" i="1"/>
  <c r="L1607" i="1"/>
  <c r="L1608" i="1"/>
  <c r="L1609" i="1"/>
  <c r="L1610" i="1"/>
  <c r="L1611" i="1"/>
  <c r="L1612" i="1"/>
  <c r="L1613" i="1"/>
  <c r="L1614" i="1"/>
  <c r="L1615" i="1"/>
  <c r="L1616" i="1"/>
  <c r="L1617" i="1"/>
  <c r="L1618" i="1"/>
  <c r="L1619" i="1"/>
  <c r="L1620" i="1"/>
  <c r="L1621" i="1"/>
  <c r="L1622" i="1"/>
  <c r="L1623" i="1"/>
  <c r="L1624" i="1"/>
  <c r="L1625" i="1"/>
  <c r="L1626" i="1"/>
  <c r="L1627" i="1"/>
  <c r="L1628" i="1"/>
  <c r="L1629" i="1"/>
  <c r="L1630" i="1"/>
  <c r="L1631" i="1"/>
  <c r="L1632" i="1"/>
  <c r="L1633" i="1"/>
  <c r="L1634" i="1"/>
  <c r="L1635" i="1"/>
  <c r="L1636" i="1"/>
  <c r="L1637" i="1"/>
  <c r="L1638" i="1"/>
  <c r="L1639" i="1"/>
  <c r="L1640" i="1"/>
  <c r="L1641" i="1"/>
  <c r="L1642" i="1"/>
  <c r="L1643" i="1"/>
  <c r="L1644" i="1"/>
  <c r="L1645" i="1"/>
  <c r="L1646" i="1"/>
  <c r="L1647" i="1"/>
  <c r="L1648" i="1"/>
  <c r="L1649" i="1"/>
  <c r="L1650" i="1"/>
  <c r="L1651" i="1"/>
  <c r="L1652" i="1"/>
  <c r="L1653" i="1"/>
  <c r="L1654" i="1"/>
  <c r="L1655" i="1"/>
  <c r="L1656" i="1"/>
  <c r="L1657" i="1"/>
  <c r="L1658" i="1"/>
  <c r="L1659" i="1"/>
  <c r="L1660" i="1"/>
  <c r="L1661" i="1"/>
  <c r="L1662" i="1"/>
  <c r="L1663" i="1"/>
  <c r="L1664" i="1"/>
  <c r="L1665" i="1"/>
  <c r="L1666" i="1"/>
  <c r="L1667" i="1"/>
  <c r="L1668" i="1"/>
  <c r="L1669" i="1"/>
  <c r="L1670" i="1"/>
  <c r="L1671" i="1"/>
  <c r="L1672" i="1"/>
  <c r="L1673" i="1"/>
  <c r="L1674" i="1"/>
  <c r="L1675" i="1"/>
  <c r="L1676" i="1"/>
  <c r="L1677" i="1"/>
  <c r="L1678" i="1"/>
  <c r="L1679" i="1"/>
  <c r="L1680" i="1"/>
  <c r="L1681" i="1"/>
  <c r="L1682" i="1"/>
  <c r="L1683" i="1"/>
  <c r="L1684" i="1"/>
  <c r="L1685" i="1"/>
  <c r="L1686" i="1"/>
  <c r="L1687" i="1"/>
  <c r="L1688" i="1"/>
  <c r="L1689" i="1"/>
  <c r="L1690" i="1"/>
  <c r="L1691" i="1"/>
  <c r="L1692" i="1"/>
  <c r="L1693" i="1"/>
  <c r="L1694" i="1"/>
  <c r="L1695" i="1"/>
  <c r="L1696" i="1"/>
  <c r="L1697" i="1"/>
  <c r="L1698" i="1"/>
  <c r="L1699" i="1"/>
  <c r="L1700" i="1"/>
  <c r="L1701" i="1"/>
  <c r="L1702" i="1"/>
  <c r="L1703" i="1"/>
  <c r="L1704" i="1"/>
  <c r="L1705" i="1"/>
  <c r="L1706" i="1"/>
  <c r="L1707" i="1"/>
  <c r="L1708" i="1"/>
  <c r="L1709" i="1"/>
  <c r="L1710" i="1"/>
  <c r="L1711" i="1"/>
  <c r="L1712" i="1"/>
  <c r="L1713" i="1"/>
  <c r="L1714" i="1"/>
  <c r="L1715" i="1"/>
  <c r="L1716" i="1"/>
  <c r="L1717" i="1"/>
  <c r="L1718" i="1"/>
  <c r="L1719" i="1"/>
  <c r="L1720" i="1"/>
  <c r="L1721" i="1"/>
  <c r="L1722" i="1"/>
  <c r="L1723" i="1"/>
  <c r="L1724" i="1"/>
  <c r="L1725" i="1"/>
  <c r="L1726" i="1"/>
  <c r="L1727" i="1"/>
  <c r="L1728" i="1"/>
  <c r="L1729" i="1"/>
  <c r="L1730" i="1"/>
  <c r="L1731" i="1"/>
  <c r="L1732" i="1"/>
  <c r="L1733" i="1"/>
  <c r="L1734" i="1"/>
  <c r="L1735" i="1"/>
  <c r="L1736" i="1"/>
  <c r="L1737" i="1"/>
  <c r="L1738" i="1"/>
  <c r="L1739" i="1"/>
  <c r="L1740" i="1"/>
  <c r="L1741" i="1"/>
  <c r="L1742" i="1"/>
  <c r="L1743" i="1"/>
  <c r="L1744" i="1"/>
  <c r="L1745" i="1"/>
  <c r="L1746" i="1"/>
  <c r="L1747" i="1"/>
  <c r="L1748" i="1"/>
  <c r="L1749" i="1"/>
  <c r="L1750" i="1"/>
  <c r="L1751" i="1"/>
  <c r="L1752" i="1"/>
  <c r="L1753" i="1"/>
  <c r="L1754" i="1"/>
  <c r="L1755" i="1"/>
  <c r="L1756" i="1"/>
  <c r="L1757" i="1"/>
  <c r="L1758" i="1"/>
  <c r="L1759" i="1"/>
  <c r="L1760" i="1"/>
  <c r="L1761" i="1"/>
  <c r="L1762" i="1"/>
  <c r="L1763" i="1"/>
  <c r="L1764" i="1"/>
  <c r="L1765" i="1"/>
  <c r="L1766" i="1"/>
  <c r="L1767" i="1"/>
  <c r="L1768" i="1"/>
  <c r="L1769" i="1"/>
  <c r="L1770" i="1"/>
  <c r="L1771" i="1"/>
  <c r="L1772" i="1"/>
  <c r="L1773" i="1"/>
  <c r="L1774" i="1"/>
  <c r="L1775" i="1"/>
  <c r="L1776" i="1"/>
  <c r="L1777" i="1"/>
  <c r="L1778" i="1"/>
  <c r="L1779" i="1"/>
  <c r="L1780" i="1"/>
  <c r="L1781" i="1"/>
  <c r="L1782" i="1"/>
  <c r="L1783" i="1"/>
  <c r="L1784" i="1"/>
  <c r="L1785" i="1"/>
  <c r="L1786" i="1"/>
  <c r="L1787" i="1"/>
  <c r="L1788" i="1"/>
  <c r="L1789" i="1"/>
  <c r="L1790" i="1"/>
  <c r="L1791" i="1"/>
  <c r="L1792" i="1"/>
  <c r="L1793" i="1"/>
  <c r="L1794" i="1"/>
  <c r="L1795" i="1"/>
  <c r="L1796" i="1"/>
  <c r="L1797" i="1"/>
  <c r="L1798" i="1"/>
  <c r="L1799" i="1"/>
  <c r="L1800" i="1"/>
  <c r="L1801" i="1"/>
  <c r="L1802" i="1"/>
  <c r="L1803" i="1"/>
  <c r="L1804" i="1"/>
  <c r="L1805" i="1"/>
  <c r="L1806" i="1"/>
  <c r="L1807" i="1"/>
  <c r="L1808" i="1"/>
  <c r="L1809" i="1"/>
  <c r="L1810" i="1"/>
  <c r="L1811" i="1"/>
  <c r="L1812" i="1"/>
  <c r="L1813" i="1"/>
  <c r="L1814" i="1"/>
  <c r="L1815" i="1"/>
  <c r="L1816" i="1"/>
  <c r="L1817" i="1"/>
  <c r="L1818" i="1"/>
  <c r="L1819" i="1"/>
  <c r="L1820" i="1"/>
  <c r="L1821" i="1"/>
  <c r="L1822" i="1"/>
  <c r="L1823" i="1"/>
  <c r="L1824" i="1"/>
  <c r="L1825" i="1"/>
  <c r="L1826" i="1"/>
  <c r="L1827" i="1"/>
  <c r="L1828" i="1"/>
  <c r="L1829" i="1"/>
  <c r="L1830" i="1"/>
  <c r="L1831" i="1"/>
  <c r="L1832" i="1"/>
  <c r="L1833" i="1"/>
  <c r="L1834" i="1"/>
  <c r="L1835" i="1"/>
  <c r="L1836" i="1"/>
  <c r="L1837" i="1"/>
  <c r="L1838" i="1"/>
  <c r="L1839" i="1"/>
  <c r="L1840" i="1"/>
  <c r="L1841" i="1"/>
  <c r="L1842" i="1"/>
  <c r="L1843" i="1"/>
  <c r="L1844" i="1"/>
  <c r="L1845" i="1"/>
  <c r="L1846" i="1"/>
  <c r="L1847" i="1"/>
  <c r="L1848" i="1"/>
  <c r="L1849" i="1"/>
  <c r="L1850" i="1"/>
  <c r="L1851" i="1"/>
  <c r="L1852" i="1"/>
  <c r="L1853" i="1"/>
  <c r="L1854" i="1"/>
  <c r="L1855" i="1"/>
  <c r="L1856" i="1"/>
  <c r="L1857" i="1"/>
  <c r="L1858" i="1"/>
  <c r="L1859" i="1"/>
  <c r="L1860" i="1"/>
  <c r="L1861" i="1"/>
  <c r="L1862" i="1"/>
  <c r="L1863" i="1"/>
  <c r="L1864" i="1"/>
  <c r="L1865" i="1"/>
  <c r="L1866" i="1"/>
  <c r="L1867" i="1"/>
  <c r="L1868" i="1"/>
  <c r="L1869" i="1"/>
  <c r="L1870" i="1"/>
  <c r="L1871" i="1"/>
  <c r="L1872" i="1"/>
  <c r="L1873" i="1"/>
  <c r="L1874" i="1"/>
  <c r="L1875" i="1"/>
  <c r="L1876" i="1"/>
  <c r="L1877" i="1"/>
  <c r="L1878" i="1"/>
  <c r="L1879" i="1"/>
  <c r="L1880" i="1"/>
  <c r="L1881" i="1"/>
  <c r="L1882" i="1"/>
  <c r="L1883" i="1"/>
  <c r="L1884" i="1"/>
  <c r="L1885" i="1"/>
  <c r="L1886" i="1"/>
  <c r="L1887" i="1"/>
  <c r="L1888" i="1"/>
  <c r="L1889" i="1"/>
  <c r="L1890" i="1"/>
  <c r="L1891" i="1"/>
  <c r="L1892" i="1"/>
  <c r="L1893" i="1"/>
  <c r="L1894" i="1"/>
  <c r="L1895" i="1"/>
  <c r="L1896" i="1"/>
  <c r="L1897" i="1"/>
  <c r="L1898" i="1"/>
  <c r="L1899" i="1"/>
  <c r="L1900" i="1"/>
  <c r="L1901" i="1"/>
  <c r="L1902" i="1"/>
  <c r="L1903" i="1"/>
  <c r="L1904" i="1"/>
  <c r="L1905" i="1"/>
  <c r="L1906" i="1"/>
  <c r="L1907" i="1"/>
  <c r="L1908" i="1"/>
  <c r="L1909" i="1"/>
  <c r="L1910" i="1"/>
  <c r="L1911" i="1"/>
  <c r="L1912" i="1"/>
  <c r="L1913" i="1"/>
  <c r="L1914" i="1"/>
  <c r="L1915" i="1"/>
  <c r="L1916" i="1"/>
  <c r="L1917" i="1"/>
  <c r="L1918" i="1"/>
  <c r="L1919" i="1"/>
  <c r="L1920" i="1"/>
  <c r="L1921" i="1"/>
  <c r="L1922" i="1"/>
  <c r="L1923" i="1"/>
  <c r="L1924" i="1"/>
  <c r="L1925" i="1"/>
  <c r="L1926" i="1"/>
  <c r="L1927" i="1"/>
  <c r="L1928" i="1"/>
  <c r="L1929" i="1"/>
  <c r="L1930" i="1"/>
  <c r="L1931" i="1"/>
  <c r="L1932" i="1"/>
  <c r="L1933" i="1"/>
  <c r="L1934" i="1"/>
  <c r="L1935" i="1"/>
  <c r="L1936" i="1"/>
  <c r="L1937" i="1"/>
  <c r="L1938" i="1"/>
  <c r="L1939" i="1"/>
  <c r="L1940" i="1"/>
  <c r="L1941" i="1"/>
  <c r="L1942" i="1"/>
  <c r="L1943" i="1"/>
  <c r="L1944" i="1"/>
  <c r="L1945" i="1"/>
  <c r="L1946" i="1"/>
  <c r="L1947" i="1"/>
  <c r="L1948" i="1"/>
  <c r="L1949" i="1"/>
  <c r="L1950" i="1"/>
  <c r="L1951" i="1"/>
  <c r="L1952" i="1"/>
  <c r="L1953" i="1"/>
  <c r="L1954" i="1"/>
  <c r="L1955" i="1"/>
  <c r="L1956" i="1"/>
  <c r="L1957" i="1"/>
  <c r="L1958" i="1"/>
  <c r="L1959" i="1"/>
  <c r="L1960" i="1"/>
  <c r="L1961" i="1"/>
  <c r="L1962" i="1"/>
  <c r="L1963" i="1"/>
  <c r="L1964" i="1"/>
  <c r="L1965" i="1"/>
  <c r="L1966" i="1"/>
  <c r="L1967" i="1"/>
  <c r="L1968" i="1"/>
  <c r="L1969" i="1"/>
  <c r="L1970" i="1"/>
  <c r="L1971" i="1"/>
  <c r="L1972" i="1"/>
  <c r="L1973" i="1"/>
  <c r="L1974" i="1"/>
  <c r="L1975" i="1"/>
  <c r="L1976" i="1"/>
  <c r="L1977" i="1"/>
  <c r="L1978" i="1"/>
  <c r="L1979" i="1"/>
  <c r="L1980" i="1"/>
  <c r="L1981" i="1"/>
  <c r="L1982" i="1"/>
  <c r="L1983" i="1"/>
  <c r="L1984" i="1"/>
  <c r="L1985" i="1"/>
  <c r="L1986" i="1"/>
  <c r="L1987" i="1"/>
  <c r="L1988" i="1"/>
  <c r="L1989" i="1"/>
  <c r="L1990" i="1"/>
  <c r="L1991" i="1"/>
  <c r="L1992" i="1"/>
  <c r="L1993" i="1"/>
  <c r="L1994" i="1"/>
  <c r="L1995" i="1"/>
  <c r="L1996" i="1"/>
  <c r="L1997" i="1"/>
  <c r="L1998" i="1"/>
  <c r="L1999" i="1"/>
  <c r="L2000" i="1"/>
  <c r="L2001" i="1"/>
  <c r="L2002" i="1"/>
  <c r="L2003" i="1"/>
  <c r="L2004" i="1"/>
  <c r="L2005" i="1"/>
  <c r="L2006" i="1"/>
  <c r="L2007" i="1"/>
  <c r="L2008" i="1"/>
  <c r="L2009" i="1"/>
  <c r="L2010" i="1"/>
  <c r="L2011" i="1"/>
  <c r="L2012" i="1"/>
  <c r="L2013" i="1"/>
  <c r="L2014" i="1"/>
  <c r="L2015" i="1"/>
  <c r="L2016" i="1"/>
  <c r="L2017" i="1"/>
  <c r="L2018" i="1"/>
  <c r="L2019" i="1"/>
  <c r="L2020" i="1"/>
  <c r="L2021" i="1"/>
  <c r="L2022" i="1"/>
  <c r="L2023" i="1"/>
  <c r="L2024" i="1"/>
  <c r="L2025" i="1"/>
  <c r="L2026" i="1"/>
  <c r="L2027" i="1"/>
  <c r="L2028" i="1"/>
  <c r="L2029" i="1"/>
  <c r="L2030" i="1"/>
  <c r="L2031" i="1"/>
  <c r="L2032" i="1"/>
  <c r="L2033" i="1"/>
  <c r="L2034" i="1"/>
  <c r="L2035" i="1"/>
  <c r="L2036" i="1"/>
  <c r="L2037" i="1"/>
  <c r="L2038" i="1"/>
  <c r="L2039" i="1"/>
  <c r="L2040" i="1"/>
  <c r="L2041" i="1"/>
  <c r="L2042" i="1"/>
  <c r="L2043" i="1"/>
  <c r="L2044" i="1"/>
  <c r="L2045" i="1"/>
  <c r="L2046" i="1"/>
  <c r="L2047" i="1"/>
  <c r="L2048" i="1"/>
  <c r="L2049" i="1"/>
  <c r="L2050" i="1"/>
  <c r="L2051" i="1"/>
  <c r="L2052" i="1"/>
  <c r="L2053" i="1"/>
  <c r="L2054" i="1"/>
  <c r="L2055" i="1"/>
  <c r="L2056" i="1"/>
  <c r="L2057" i="1"/>
  <c r="L2058" i="1"/>
  <c r="L2059" i="1"/>
  <c r="L2060" i="1"/>
  <c r="L2061" i="1"/>
  <c r="L2062" i="1"/>
  <c r="L2063" i="1"/>
  <c r="L2064" i="1"/>
  <c r="L2065" i="1"/>
  <c r="L2066" i="1"/>
  <c r="L2067" i="1"/>
  <c r="L2068" i="1"/>
  <c r="L2069" i="1"/>
  <c r="L2070" i="1"/>
  <c r="L2071" i="1"/>
  <c r="L2072" i="1"/>
  <c r="L2073" i="1"/>
  <c r="L2074" i="1"/>
  <c r="L2075" i="1"/>
  <c r="L2076" i="1"/>
  <c r="L2077" i="1"/>
  <c r="L2078" i="1"/>
  <c r="L2079" i="1"/>
  <c r="L2080" i="1"/>
  <c r="L2081" i="1"/>
  <c r="L2082" i="1"/>
  <c r="L2083" i="1"/>
  <c r="L2084" i="1"/>
  <c r="L2085" i="1"/>
  <c r="L2086" i="1"/>
  <c r="L2087" i="1"/>
  <c r="L2088" i="1"/>
  <c r="L2089" i="1"/>
  <c r="L2090" i="1"/>
  <c r="L2091" i="1"/>
  <c r="L2092" i="1"/>
  <c r="L2093" i="1"/>
  <c r="L2094" i="1"/>
  <c r="L2095" i="1"/>
  <c r="L2096" i="1"/>
  <c r="L2097" i="1"/>
  <c r="L2098" i="1"/>
  <c r="L2099" i="1"/>
  <c r="L2100" i="1"/>
  <c r="L2101" i="1"/>
  <c r="L2102" i="1"/>
  <c r="L2103" i="1"/>
  <c r="L2104" i="1"/>
  <c r="L2105" i="1"/>
  <c r="L2106" i="1"/>
  <c r="L2107" i="1"/>
  <c r="L2108" i="1"/>
  <c r="L2109" i="1"/>
  <c r="L2110" i="1"/>
  <c r="L2111" i="1"/>
  <c r="L2112" i="1"/>
  <c r="L2113" i="1"/>
  <c r="L2114" i="1"/>
  <c r="L2115" i="1"/>
  <c r="L2116" i="1"/>
  <c r="L2117" i="1"/>
  <c r="L2118" i="1"/>
  <c r="L2119" i="1"/>
  <c r="L2120" i="1"/>
  <c r="L2121" i="1"/>
  <c r="L2122" i="1"/>
  <c r="L2123" i="1"/>
  <c r="L2124" i="1"/>
  <c r="L2125" i="1"/>
  <c r="L2126" i="1"/>
  <c r="L2127" i="1"/>
  <c r="L2128" i="1"/>
  <c r="L2129" i="1"/>
  <c r="L2130" i="1"/>
  <c r="L2131" i="1"/>
  <c r="L2132" i="1"/>
  <c r="L2133" i="1"/>
  <c r="L2134" i="1"/>
  <c r="L2135" i="1"/>
  <c r="L2136" i="1"/>
  <c r="L2137" i="1"/>
  <c r="L2138" i="1"/>
  <c r="L2139" i="1"/>
  <c r="L2140" i="1"/>
  <c r="L2141" i="1"/>
  <c r="L2142" i="1"/>
  <c r="L2143" i="1"/>
  <c r="L2144" i="1"/>
  <c r="L2145" i="1"/>
  <c r="L2146" i="1"/>
  <c r="L2147" i="1"/>
  <c r="L2148" i="1"/>
  <c r="L2149" i="1"/>
  <c r="L2150" i="1"/>
  <c r="L2151" i="1"/>
  <c r="L2152" i="1"/>
  <c r="L2153" i="1"/>
  <c r="L2154" i="1"/>
  <c r="L2155" i="1"/>
  <c r="L2156" i="1"/>
  <c r="L2157" i="1"/>
  <c r="L2158" i="1"/>
  <c r="L2159" i="1"/>
  <c r="L2160" i="1"/>
  <c r="L2161" i="1"/>
  <c r="L2162" i="1"/>
  <c r="L2163" i="1"/>
  <c r="L2164" i="1"/>
  <c r="L2165" i="1"/>
  <c r="L2166" i="1"/>
  <c r="L2167" i="1"/>
  <c r="L2168" i="1"/>
  <c r="L2169" i="1"/>
  <c r="L2170" i="1"/>
  <c r="L2171" i="1"/>
  <c r="L2172" i="1"/>
  <c r="L2173" i="1"/>
  <c r="L2174" i="1"/>
  <c r="L2175" i="1"/>
  <c r="L2176" i="1"/>
  <c r="L2177" i="1"/>
  <c r="L2178" i="1"/>
  <c r="L2179" i="1"/>
  <c r="L2180" i="1"/>
  <c r="L2181" i="1"/>
  <c r="L2182" i="1"/>
  <c r="L2183" i="1"/>
  <c r="L2184" i="1"/>
  <c r="L2185" i="1"/>
  <c r="L2186" i="1"/>
  <c r="L2187" i="1"/>
  <c r="L2188" i="1"/>
  <c r="L2189" i="1"/>
  <c r="L2190" i="1"/>
  <c r="L2191" i="1"/>
  <c r="L2192" i="1"/>
  <c r="L2193" i="1"/>
  <c r="L2194" i="1"/>
  <c r="L2195" i="1"/>
  <c r="L2196" i="1"/>
  <c r="L2197" i="1"/>
  <c r="L2198" i="1"/>
  <c r="L2199" i="1"/>
  <c r="L2200" i="1"/>
  <c r="L2201" i="1"/>
  <c r="L2202" i="1"/>
  <c r="L2203" i="1"/>
  <c r="L2204" i="1"/>
  <c r="L2205" i="1"/>
  <c r="L2206" i="1"/>
  <c r="L2207" i="1"/>
  <c r="L2208" i="1"/>
  <c r="L2209" i="1"/>
  <c r="L2210" i="1"/>
  <c r="L2211" i="1"/>
  <c r="L2212" i="1"/>
  <c r="L2213" i="1"/>
  <c r="L2214" i="1"/>
  <c r="L2215" i="1"/>
  <c r="L2216" i="1"/>
  <c r="L2217" i="1"/>
  <c r="L2218" i="1"/>
  <c r="L2219" i="1"/>
  <c r="L2220" i="1"/>
  <c r="L2221" i="1"/>
  <c r="L2222" i="1"/>
  <c r="L2223" i="1"/>
  <c r="L2224" i="1"/>
  <c r="L2225" i="1"/>
  <c r="L2226" i="1"/>
  <c r="L2227" i="1"/>
  <c r="L2228" i="1"/>
  <c r="L2229" i="1"/>
  <c r="L2230" i="1"/>
  <c r="L2231" i="1"/>
  <c r="L2232" i="1"/>
  <c r="L2233" i="1"/>
  <c r="L2234" i="1"/>
  <c r="L2235" i="1"/>
  <c r="L2236" i="1"/>
  <c r="L2237" i="1"/>
  <c r="L2238" i="1"/>
  <c r="L2239" i="1"/>
  <c r="L2240" i="1"/>
  <c r="L2241" i="1"/>
  <c r="L2242" i="1"/>
  <c r="L2243" i="1"/>
  <c r="L2244" i="1"/>
  <c r="L2245" i="1"/>
  <c r="L2246" i="1"/>
  <c r="L2247" i="1"/>
  <c r="L2248" i="1"/>
  <c r="L2249" i="1"/>
  <c r="L2250" i="1"/>
  <c r="L2251" i="1"/>
  <c r="L2252" i="1"/>
  <c r="L2253" i="1"/>
  <c r="L2254" i="1"/>
  <c r="L2255" i="1"/>
  <c r="L2256" i="1"/>
  <c r="L2257" i="1"/>
  <c r="L2258" i="1"/>
  <c r="L2259" i="1"/>
  <c r="L2260" i="1"/>
  <c r="L2261" i="1"/>
  <c r="L2262" i="1"/>
  <c r="L2263" i="1"/>
  <c r="L2264" i="1"/>
  <c r="L2265" i="1"/>
  <c r="L2266" i="1"/>
  <c r="L2267" i="1"/>
  <c r="L2268" i="1"/>
  <c r="L2269" i="1"/>
  <c r="L2270" i="1"/>
  <c r="L2271" i="1"/>
  <c r="L2272" i="1"/>
  <c r="L2273" i="1"/>
  <c r="L2274" i="1"/>
  <c r="L2275" i="1"/>
  <c r="L2276" i="1"/>
  <c r="L2277" i="1"/>
  <c r="L2278" i="1"/>
  <c r="L2279" i="1"/>
  <c r="L2280" i="1"/>
  <c r="L2281" i="1"/>
  <c r="L2282" i="1"/>
  <c r="L2283" i="1"/>
  <c r="L2284" i="1"/>
  <c r="L2285" i="1"/>
  <c r="L2286" i="1"/>
  <c r="L2287" i="1"/>
  <c r="L2288" i="1"/>
  <c r="L2289" i="1"/>
  <c r="L2290" i="1"/>
  <c r="L2291" i="1"/>
  <c r="L2292" i="1"/>
  <c r="L2293" i="1"/>
  <c r="L2294" i="1"/>
  <c r="L2295" i="1"/>
  <c r="L2296" i="1"/>
  <c r="L2297" i="1"/>
  <c r="L2298" i="1"/>
  <c r="L2299" i="1"/>
  <c r="L2300" i="1"/>
  <c r="L2301" i="1"/>
  <c r="L2302" i="1"/>
  <c r="L2303" i="1"/>
  <c r="L2304" i="1"/>
  <c r="L2305" i="1"/>
  <c r="L2306" i="1"/>
  <c r="L2307" i="1"/>
  <c r="L2308" i="1"/>
  <c r="L2309" i="1"/>
  <c r="L2310" i="1"/>
  <c r="L2311" i="1"/>
  <c r="L2312" i="1"/>
  <c r="L2313" i="1"/>
  <c r="L2314" i="1"/>
  <c r="L2315" i="1"/>
  <c r="L2316" i="1"/>
  <c r="L2317" i="1"/>
  <c r="L2318" i="1"/>
  <c r="L2319" i="1"/>
  <c r="L2320" i="1"/>
  <c r="L2321" i="1"/>
  <c r="L2322" i="1"/>
  <c r="L2323" i="1"/>
  <c r="L2324" i="1"/>
  <c r="L2325" i="1"/>
  <c r="L2326" i="1"/>
  <c r="L2327" i="1"/>
  <c r="L2328" i="1"/>
  <c r="L2329" i="1"/>
  <c r="L2330" i="1"/>
  <c r="L2331" i="1"/>
  <c r="L2332" i="1"/>
  <c r="L2333" i="1"/>
  <c r="L2334" i="1"/>
  <c r="L2335" i="1"/>
  <c r="L2336" i="1"/>
  <c r="L2337" i="1"/>
  <c r="L2338" i="1"/>
  <c r="L2339" i="1"/>
  <c r="L2340" i="1"/>
  <c r="L2341" i="1"/>
  <c r="L2342" i="1"/>
  <c r="L2343" i="1"/>
  <c r="L2344" i="1"/>
  <c r="L2345" i="1"/>
  <c r="L2346" i="1"/>
  <c r="L2347" i="1"/>
  <c r="L2348" i="1"/>
  <c r="L2349" i="1"/>
  <c r="L2350" i="1"/>
  <c r="L2351" i="1"/>
  <c r="L2352" i="1"/>
  <c r="L2353" i="1"/>
  <c r="L2354" i="1"/>
  <c r="L2355" i="1"/>
  <c r="L2356" i="1"/>
  <c r="L2357" i="1"/>
  <c r="L2358" i="1"/>
  <c r="L2359" i="1"/>
  <c r="L2360" i="1"/>
  <c r="L2361" i="1"/>
  <c r="L2362" i="1"/>
  <c r="L2363" i="1"/>
  <c r="L2364" i="1"/>
  <c r="L2365" i="1"/>
  <c r="L2366" i="1"/>
  <c r="L2367" i="1"/>
  <c r="L2368" i="1"/>
  <c r="L2369" i="1"/>
  <c r="L2370" i="1"/>
  <c r="L2371" i="1"/>
  <c r="L2372" i="1"/>
  <c r="L2373" i="1"/>
  <c r="L2374" i="1"/>
  <c r="L2375" i="1"/>
  <c r="L2376" i="1"/>
  <c r="L2377" i="1"/>
  <c r="L2378" i="1"/>
  <c r="L2379" i="1"/>
  <c r="L2380" i="1"/>
  <c r="L2381" i="1"/>
  <c r="L2382" i="1"/>
  <c r="L2383" i="1"/>
  <c r="L2384" i="1"/>
  <c r="L2385" i="1"/>
  <c r="L2386" i="1"/>
  <c r="L2387" i="1"/>
  <c r="L2388" i="1"/>
  <c r="L2389" i="1"/>
  <c r="L2390" i="1"/>
  <c r="L2391" i="1"/>
  <c r="L2392" i="1"/>
  <c r="L2393" i="1"/>
  <c r="L2394" i="1"/>
  <c r="L2395" i="1"/>
  <c r="L2396" i="1"/>
  <c r="L2397" i="1"/>
  <c r="L2398" i="1"/>
  <c r="L2399" i="1"/>
  <c r="L2400" i="1"/>
  <c r="L2401" i="1"/>
  <c r="L2402" i="1"/>
  <c r="L2403" i="1"/>
  <c r="L2404" i="1"/>
  <c r="L2405" i="1"/>
  <c r="L2406" i="1"/>
  <c r="L2407" i="1"/>
  <c r="L2408" i="1"/>
  <c r="L2409" i="1"/>
  <c r="L2410" i="1"/>
  <c r="L2411" i="1"/>
  <c r="L2412" i="1"/>
  <c r="L2413" i="1"/>
  <c r="L2414" i="1"/>
  <c r="L2415" i="1"/>
  <c r="L2416" i="1"/>
  <c r="L2417" i="1"/>
  <c r="L2418" i="1"/>
  <c r="L2419" i="1"/>
  <c r="L2420" i="1"/>
  <c r="L2421" i="1"/>
  <c r="L2422" i="1"/>
  <c r="L2423" i="1"/>
  <c r="L2424" i="1"/>
  <c r="L2425" i="1"/>
  <c r="L2426" i="1"/>
  <c r="L2427" i="1"/>
  <c r="L2428" i="1"/>
  <c r="L2429" i="1"/>
  <c r="L2430" i="1"/>
  <c r="L2431" i="1"/>
  <c r="L2432" i="1"/>
  <c r="L2433" i="1"/>
  <c r="L2434" i="1"/>
  <c r="L2435" i="1"/>
  <c r="L2436" i="1"/>
  <c r="L2437" i="1"/>
  <c r="L2438" i="1"/>
  <c r="L2439" i="1"/>
  <c r="L2440" i="1"/>
  <c r="L2441" i="1"/>
  <c r="L2442" i="1"/>
  <c r="L2443" i="1"/>
  <c r="L2444" i="1"/>
  <c r="L2445" i="1"/>
  <c r="L2446" i="1"/>
  <c r="L2447" i="1"/>
  <c r="L2448" i="1"/>
  <c r="L2449" i="1"/>
  <c r="L2450" i="1"/>
  <c r="L2451" i="1"/>
  <c r="L2452" i="1"/>
  <c r="L2453" i="1"/>
  <c r="L2454" i="1"/>
  <c r="L2455" i="1"/>
  <c r="L2456" i="1"/>
  <c r="L2457" i="1"/>
  <c r="L2458" i="1"/>
  <c r="L2459" i="1"/>
  <c r="L2460" i="1"/>
  <c r="L2461" i="1"/>
  <c r="L2462" i="1"/>
  <c r="L2463" i="1"/>
  <c r="L2464" i="1"/>
  <c r="L2465" i="1"/>
  <c r="L2466" i="1"/>
  <c r="L2467" i="1"/>
  <c r="L2468" i="1"/>
  <c r="L2469" i="1"/>
  <c r="L2470" i="1"/>
  <c r="L2471" i="1"/>
  <c r="L2472" i="1"/>
  <c r="L2473" i="1"/>
  <c r="L2474" i="1"/>
  <c r="L2475" i="1"/>
  <c r="L2476" i="1"/>
  <c r="L2477" i="1"/>
  <c r="L2478" i="1"/>
  <c r="L2479" i="1"/>
  <c r="L2480" i="1"/>
  <c r="L2481" i="1"/>
  <c r="L2482" i="1"/>
  <c r="L2483" i="1"/>
  <c r="L2484" i="1"/>
  <c r="L2485" i="1"/>
  <c r="L2486" i="1"/>
  <c r="L2487" i="1"/>
  <c r="L2488" i="1"/>
  <c r="L2489" i="1"/>
  <c r="L2490" i="1"/>
  <c r="L2491" i="1"/>
  <c r="L2492" i="1"/>
  <c r="L2493" i="1"/>
  <c r="L2494" i="1"/>
  <c r="L2495" i="1"/>
  <c r="L2496" i="1"/>
  <c r="L2497" i="1"/>
  <c r="L2498" i="1"/>
  <c r="L2499" i="1"/>
  <c r="L2500" i="1"/>
  <c r="L2501" i="1"/>
  <c r="L2502" i="1"/>
  <c r="L2503" i="1"/>
  <c r="L2504" i="1"/>
  <c r="L2505" i="1"/>
  <c r="L2506" i="1"/>
  <c r="L2507" i="1"/>
  <c r="L2508" i="1"/>
  <c r="L2509" i="1"/>
  <c r="L2510" i="1"/>
  <c r="L2511" i="1"/>
  <c r="L2512" i="1"/>
  <c r="L2513" i="1"/>
  <c r="L2514" i="1"/>
  <c r="L2515" i="1"/>
  <c r="L2516" i="1"/>
  <c r="L2517" i="1"/>
  <c r="L2518" i="1"/>
  <c r="L2519" i="1"/>
  <c r="L2520" i="1"/>
  <c r="L2521" i="1"/>
  <c r="L2522" i="1"/>
  <c r="L2523" i="1"/>
  <c r="L2524" i="1"/>
  <c r="L2525" i="1"/>
  <c r="L2526" i="1"/>
  <c r="L2527" i="1"/>
  <c r="L2528" i="1"/>
  <c r="L2529" i="1"/>
  <c r="L2530" i="1"/>
  <c r="L2531" i="1"/>
  <c r="L2532" i="1"/>
  <c r="L2533" i="1"/>
  <c r="L2534" i="1"/>
  <c r="L2535" i="1"/>
  <c r="L2536" i="1"/>
  <c r="L2537" i="1"/>
  <c r="L2538" i="1"/>
  <c r="L2539" i="1"/>
  <c r="L2540" i="1"/>
  <c r="L2541" i="1"/>
  <c r="L2542" i="1"/>
  <c r="L2543" i="1"/>
  <c r="L2544" i="1"/>
  <c r="L2545" i="1"/>
  <c r="L2546" i="1"/>
  <c r="L2547" i="1"/>
  <c r="L2548" i="1"/>
  <c r="L2549" i="1"/>
  <c r="L2550" i="1"/>
  <c r="L2551" i="1"/>
  <c r="L2552" i="1"/>
  <c r="L2553" i="1"/>
  <c r="L2554" i="1"/>
  <c r="L2555" i="1"/>
  <c r="L2556" i="1"/>
  <c r="L2557" i="1"/>
  <c r="L2558" i="1"/>
  <c r="L2559" i="1"/>
  <c r="L2560" i="1"/>
  <c r="L2561" i="1"/>
  <c r="L2562" i="1"/>
  <c r="L2563" i="1"/>
  <c r="L2564" i="1"/>
  <c r="L2565" i="1"/>
  <c r="L2566" i="1"/>
  <c r="L2567" i="1"/>
  <c r="L2568" i="1"/>
  <c r="L2569" i="1"/>
  <c r="L2570" i="1"/>
  <c r="L2571" i="1"/>
  <c r="L2572" i="1"/>
  <c r="L2573" i="1"/>
  <c r="L2574" i="1"/>
  <c r="L2575" i="1"/>
  <c r="L2576" i="1"/>
  <c r="L2577" i="1"/>
  <c r="L2578" i="1"/>
  <c r="L2579" i="1"/>
  <c r="L2580" i="1"/>
  <c r="L2581" i="1"/>
  <c r="L2582" i="1"/>
  <c r="L2583" i="1"/>
  <c r="L2584" i="1"/>
  <c r="L2585" i="1"/>
  <c r="L2586" i="1"/>
  <c r="L2587" i="1"/>
  <c r="L2588" i="1"/>
  <c r="L2589" i="1"/>
  <c r="L2590" i="1"/>
  <c r="L2591" i="1"/>
  <c r="L2592" i="1"/>
  <c r="L2593" i="1"/>
  <c r="L2594" i="1"/>
  <c r="L2595" i="1"/>
  <c r="L2596" i="1"/>
  <c r="L2597" i="1"/>
  <c r="L2598" i="1"/>
  <c r="L2599" i="1"/>
  <c r="L2600" i="1"/>
  <c r="L2601" i="1"/>
  <c r="L2602" i="1"/>
  <c r="L2603" i="1"/>
  <c r="L2604" i="1"/>
  <c r="L2605" i="1"/>
  <c r="L2606" i="1"/>
  <c r="L2607" i="1"/>
  <c r="L2608" i="1"/>
  <c r="L2609" i="1"/>
  <c r="L2610" i="1"/>
  <c r="L2611" i="1"/>
  <c r="L2612" i="1"/>
  <c r="L2613" i="1"/>
  <c r="L2614" i="1"/>
  <c r="L2615" i="1"/>
  <c r="L2616" i="1"/>
  <c r="L2617" i="1"/>
  <c r="L2618" i="1"/>
  <c r="L2619" i="1"/>
  <c r="L2620" i="1"/>
  <c r="L2621" i="1"/>
  <c r="L2622" i="1"/>
  <c r="L2623" i="1"/>
  <c r="L2624" i="1"/>
  <c r="L2625" i="1"/>
  <c r="L2626" i="1"/>
  <c r="L2627" i="1"/>
  <c r="L2628" i="1"/>
  <c r="L2629" i="1"/>
  <c r="L2630" i="1"/>
  <c r="L2631" i="1"/>
  <c r="L2632" i="1"/>
  <c r="L2633" i="1"/>
  <c r="L2634" i="1"/>
  <c r="L2635" i="1"/>
  <c r="L2636" i="1"/>
  <c r="L2637" i="1"/>
  <c r="L2638" i="1"/>
  <c r="L2639" i="1"/>
  <c r="L2640" i="1"/>
  <c r="L2641" i="1"/>
  <c r="L2642" i="1"/>
  <c r="L2643" i="1"/>
  <c r="L2644" i="1"/>
  <c r="L2645" i="1"/>
  <c r="L2646" i="1"/>
  <c r="L2647" i="1"/>
  <c r="L2648" i="1"/>
  <c r="L2649" i="1"/>
  <c r="L2650" i="1"/>
  <c r="L2651" i="1"/>
  <c r="L2652" i="1"/>
  <c r="L2653" i="1"/>
  <c r="L2654" i="1"/>
  <c r="L2655" i="1"/>
  <c r="L2656" i="1"/>
  <c r="L2657" i="1"/>
  <c r="L2658" i="1"/>
  <c r="L2659" i="1"/>
  <c r="L2660" i="1"/>
  <c r="L2661" i="1"/>
  <c r="L2662" i="1"/>
  <c r="L2663" i="1"/>
  <c r="L2664" i="1"/>
  <c r="L2665" i="1"/>
  <c r="L2666" i="1"/>
  <c r="L2667" i="1"/>
  <c r="L2668" i="1"/>
  <c r="L2669" i="1"/>
  <c r="L2670" i="1"/>
  <c r="L2671" i="1"/>
  <c r="L2672" i="1"/>
  <c r="L2673" i="1"/>
  <c r="L2674" i="1"/>
  <c r="L2675" i="1"/>
  <c r="L2676" i="1"/>
  <c r="L2677" i="1"/>
  <c r="L2678" i="1"/>
  <c r="L2679" i="1"/>
  <c r="L2680" i="1"/>
  <c r="L2681" i="1"/>
  <c r="L2682" i="1"/>
  <c r="L2683" i="1"/>
  <c r="L2684" i="1"/>
  <c r="L2685" i="1"/>
  <c r="L2686" i="1"/>
  <c r="L2687" i="1"/>
  <c r="L2688" i="1"/>
  <c r="L2689" i="1"/>
  <c r="L2690" i="1"/>
  <c r="L2691" i="1"/>
  <c r="L2692" i="1"/>
  <c r="L2693" i="1"/>
  <c r="L2694" i="1"/>
  <c r="L2695" i="1"/>
  <c r="L2696" i="1"/>
  <c r="L2697" i="1"/>
  <c r="L2698" i="1"/>
  <c r="L2699" i="1"/>
  <c r="L2700" i="1"/>
  <c r="L2701" i="1"/>
  <c r="L2702" i="1"/>
  <c r="L2703" i="1"/>
  <c r="L2704" i="1"/>
  <c r="L2705" i="1"/>
  <c r="L2706" i="1"/>
  <c r="L2707" i="1"/>
  <c r="L2708" i="1"/>
  <c r="L2709" i="1"/>
  <c r="L2710" i="1"/>
  <c r="L2711" i="1"/>
  <c r="L2712" i="1"/>
  <c r="L2713" i="1"/>
  <c r="L2714" i="1"/>
  <c r="L2715" i="1"/>
  <c r="L2716" i="1"/>
  <c r="L2717" i="1"/>
  <c r="L2718" i="1"/>
  <c r="L2719" i="1"/>
  <c r="L2720" i="1"/>
  <c r="L2721" i="1"/>
  <c r="L2722" i="1"/>
  <c r="L2723" i="1"/>
  <c r="L2724" i="1"/>
  <c r="L2725" i="1"/>
  <c r="L2726" i="1"/>
  <c r="L2727" i="1"/>
  <c r="L2728" i="1"/>
  <c r="L2729" i="1"/>
  <c r="L2730" i="1"/>
  <c r="L2731" i="1"/>
  <c r="L2732" i="1"/>
  <c r="L2733" i="1"/>
  <c r="L2734" i="1"/>
  <c r="L2735" i="1"/>
  <c r="L2736" i="1"/>
  <c r="L2737" i="1"/>
  <c r="L2738" i="1"/>
  <c r="L2739" i="1"/>
  <c r="L2740" i="1"/>
  <c r="L2741" i="1"/>
  <c r="L2742" i="1"/>
  <c r="L2743" i="1"/>
  <c r="L2744" i="1"/>
  <c r="L2745" i="1"/>
  <c r="L2746" i="1"/>
  <c r="L2747" i="1"/>
  <c r="L2748" i="1"/>
  <c r="L2749" i="1"/>
  <c r="L2750" i="1"/>
  <c r="L2751" i="1"/>
  <c r="L2752" i="1"/>
  <c r="L2753" i="1"/>
  <c r="L2754" i="1"/>
  <c r="L2755" i="1"/>
  <c r="L2756" i="1"/>
  <c r="L2757" i="1"/>
  <c r="L2758" i="1"/>
  <c r="L2759" i="1"/>
  <c r="L2760" i="1"/>
  <c r="L2761" i="1"/>
  <c r="L2762" i="1"/>
  <c r="L2763" i="1"/>
  <c r="L2764" i="1"/>
  <c r="L2765" i="1"/>
  <c r="L2766" i="1"/>
  <c r="L2767" i="1"/>
  <c r="L2768" i="1"/>
  <c r="L2769" i="1"/>
  <c r="L2770" i="1"/>
  <c r="L2771" i="1"/>
  <c r="L2772" i="1"/>
  <c r="L2773" i="1"/>
  <c r="L2774" i="1"/>
  <c r="L2775" i="1"/>
  <c r="L2776" i="1"/>
  <c r="L2777" i="1"/>
  <c r="L2778" i="1"/>
  <c r="L2779" i="1"/>
  <c r="L2780" i="1"/>
  <c r="L2781" i="1"/>
  <c r="L2782" i="1"/>
  <c r="L2783" i="1"/>
  <c r="L2784" i="1"/>
  <c r="L2785" i="1"/>
  <c r="L2786" i="1"/>
  <c r="L2787" i="1"/>
  <c r="L2788" i="1"/>
  <c r="L2789" i="1"/>
  <c r="L2790" i="1"/>
  <c r="L2791" i="1"/>
  <c r="L2792" i="1"/>
  <c r="L2793" i="1"/>
  <c r="L2794" i="1"/>
  <c r="L2795" i="1"/>
  <c r="L2796" i="1"/>
  <c r="L2797" i="1"/>
  <c r="L2798" i="1"/>
  <c r="L2799" i="1"/>
  <c r="L2800" i="1"/>
  <c r="L2801" i="1"/>
  <c r="L2802" i="1"/>
  <c r="L2803" i="1"/>
  <c r="L2804" i="1"/>
  <c r="L2805" i="1"/>
  <c r="L2806" i="1"/>
  <c r="L2807" i="1"/>
  <c r="L2808" i="1"/>
  <c r="L2809" i="1"/>
  <c r="L2810" i="1"/>
  <c r="L2811" i="1"/>
  <c r="L2812" i="1"/>
  <c r="L2813" i="1"/>
  <c r="L2814" i="1"/>
  <c r="L2815" i="1"/>
  <c r="L2816" i="1"/>
  <c r="L2817" i="1"/>
  <c r="L2818" i="1"/>
  <c r="L2819" i="1"/>
  <c r="L2820" i="1"/>
  <c r="L2821" i="1"/>
  <c r="L2822" i="1"/>
  <c r="L2823" i="1"/>
  <c r="L2824" i="1"/>
  <c r="L2825" i="1"/>
  <c r="L2826" i="1"/>
  <c r="L2827" i="1"/>
  <c r="L2828" i="1"/>
  <c r="L2829" i="1"/>
  <c r="L2830" i="1"/>
  <c r="L2831" i="1"/>
  <c r="L2832" i="1"/>
  <c r="L2833" i="1"/>
  <c r="L2834" i="1"/>
  <c r="L2835" i="1"/>
  <c r="L2836" i="1"/>
  <c r="L2837" i="1"/>
  <c r="L2838" i="1"/>
  <c r="L2839" i="1"/>
  <c r="L2840" i="1"/>
  <c r="L2841" i="1"/>
  <c r="L2842" i="1"/>
  <c r="L2843" i="1"/>
  <c r="L2844" i="1"/>
  <c r="L2845" i="1"/>
  <c r="L2846" i="1"/>
  <c r="L2847" i="1"/>
  <c r="L2848" i="1"/>
  <c r="L2849" i="1"/>
  <c r="L2850" i="1"/>
  <c r="L2851" i="1"/>
  <c r="L2852" i="1"/>
  <c r="L2853" i="1"/>
  <c r="L2854" i="1"/>
  <c r="L2855" i="1"/>
  <c r="L2856" i="1"/>
  <c r="L2857" i="1"/>
  <c r="L2858" i="1"/>
  <c r="L2859" i="1"/>
  <c r="L2860" i="1"/>
  <c r="L2861" i="1"/>
  <c r="L2862" i="1"/>
  <c r="L2863" i="1"/>
  <c r="L2864" i="1"/>
  <c r="L2865" i="1"/>
  <c r="L2866" i="1"/>
  <c r="L2867" i="1"/>
  <c r="L2868" i="1"/>
  <c r="L2869" i="1"/>
  <c r="L2870" i="1"/>
  <c r="L2871" i="1"/>
  <c r="L2872" i="1"/>
  <c r="L2873" i="1"/>
  <c r="L2874" i="1"/>
  <c r="L2875" i="1"/>
  <c r="L2876" i="1"/>
  <c r="L2877" i="1"/>
  <c r="L2878" i="1"/>
  <c r="L2879" i="1"/>
  <c r="L2880" i="1"/>
  <c r="L2881" i="1"/>
  <c r="L2882" i="1"/>
  <c r="L2883" i="1"/>
  <c r="L2884" i="1"/>
  <c r="L2885" i="1"/>
  <c r="L2886" i="1"/>
  <c r="L2887" i="1"/>
  <c r="L2888" i="1"/>
  <c r="L2889" i="1"/>
  <c r="L2890" i="1"/>
  <c r="L2891" i="1"/>
  <c r="L2892" i="1"/>
  <c r="L2893" i="1"/>
  <c r="L2894" i="1"/>
  <c r="L2895" i="1"/>
  <c r="L2896" i="1"/>
  <c r="L2897" i="1"/>
  <c r="L2898" i="1"/>
  <c r="L2899" i="1"/>
  <c r="L2900" i="1"/>
  <c r="L2901" i="1"/>
  <c r="L2902" i="1"/>
  <c r="L2903" i="1"/>
  <c r="L2904" i="1"/>
  <c r="L2905" i="1"/>
  <c r="L2906" i="1"/>
  <c r="L2907" i="1"/>
  <c r="L2908" i="1"/>
  <c r="L2909" i="1"/>
  <c r="L2910" i="1"/>
  <c r="L2911" i="1"/>
  <c r="L2912" i="1"/>
  <c r="L2913" i="1"/>
  <c r="L2914" i="1"/>
  <c r="L2915" i="1"/>
  <c r="L2916" i="1"/>
  <c r="L2917" i="1"/>
  <c r="L2918" i="1"/>
  <c r="L2919" i="1"/>
  <c r="L2920" i="1"/>
  <c r="L2921" i="1"/>
  <c r="L2922" i="1"/>
  <c r="L2923" i="1"/>
  <c r="L2924" i="1"/>
  <c r="L2925" i="1"/>
  <c r="L2926" i="1"/>
  <c r="L2927" i="1"/>
  <c r="L2928" i="1"/>
  <c r="L2929" i="1"/>
  <c r="L2930" i="1"/>
  <c r="L2931" i="1"/>
  <c r="L2932" i="1"/>
  <c r="L2933" i="1"/>
  <c r="L2934" i="1"/>
  <c r="L2935" i="1"/>
  <c r="L2936" i="1"/>
  <c r="L2937" i="1"/>
  <c r="L2938" i="1"/>
  <c r="L2939" i="1"/>
  <c r="L2940" i="1"/>
  <c r="L2941" i="1"/>
  <c r="L2942" i="1"/>
  <c r="L2943" i="1"/>
  <c r="L2944" i="1"/>
  <c r="L2945" i="1"/>
  <c r="L2946" i="1"/>
  <c r="L2947" i="1"/>
  <c r="L2948" i="1"/>
  <c r="L2949" i="1"/>
  <c r="L2950" i="1"/>
  <c r="L2951" i="1"/>
  <c r="L2952" i="1"/>
  <c r="L2953" i="1"/>
  <c r="L2954" i="1"/>
  <c r="L2955" i="1"/>
  <c r="L2956" i="1"/>
  <c r="L2957" i="1"/>
  <c r="L2958" i="1"/>
  <c r="L2959" i="1"/>
  <c r="L2960" i="1"/>
  <c r="L2961" i="1"/>
  <c r="L2962" i="1"/>
  <c r="L2963" i="1"/>
  <c r="L2964" i="1"/>
  <c r="L2965" i="1"/>
  <c r="L2966" i="1"/>
  <c r="L2967" i="1"/>
  <c r="L2968" i="1"/>
  <c r="L2969" i="1"/>
  <c r="L2970" i="1"/>
  <c r="L2971" i="1"/>
  <c r="L2972" i="1"/>
  <c r="L2973" i="1"/>
  <c r="L2974" i="1"/>
  <c r="L2975" i="1"/>
  <c r="L2976" i="1"/>
  <c r="L2977" i="1"/>
  <c r="L2978" i="1"/>
  <c r="L2979" i="1"/>
  <c r="L2980" i="1"/>
  <c r="L2981" i="1"/>
  <c r="L2982" i="1"/>
  <c r="L2983" i="1"/>
  <c r="L2984" i="1"/>
  <c r="L2985" i="1"/>
  <c r="L2986" i="1"/>
  <c r="L2987" i="1"/>
  <c r="L2988" i="1"/>
  <c r="L2989" i="1"/>
  <c r="L2990" i="1"/>
  <c r="L2991" i="1"/>
  <c r="L2992" i="1"/>
  <c r="L2993" i="1"/>
  <c r="L2994" i="1"/>
  <c r="L2995" i="1"/>
  <c r="L2996" i="1"/>
  <c r="L2997" i="1"/>
  <c r="L2998" i="1"/>
  <c r="L2999" i="1"/>
  <c r="L3000" i="1"/>
  <c r="L3001" i="1"/>
  <c r="K2" i="1"/>
  <c r="L6" i="3" s="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K1202" i="1"/>
  <c r="K1203" i="1"/>
  <c r="K1204" i="1"/>
  <c r="K1205" i="1"/>
  <c r="K1206" i="1"/>
  <c r="K1207" i="1"/>
  <c r="K1208" i="1"/>
  <c r="K1209" i="1"/>
  <c r="K1210" i="1"/>
  <c r="K1211" i="1"/>
  <c r="K1212" i="1"/>
  <c r="K1213" i="1"/>
  <c r="K1214" i="1"/>
  <c r="K1215" i="1"/>
  <c r="K1216" i="1"/>
  <c r="K1217" i="1"/>
  <c r="K1218" i="1"/>
  <c r="K1219" i="1"/>
  <c r="K1220" i="1"/>
  <c r="K1221" i="1"/>
  <c r="K1222" i="1"/>
  <c r="K1223" i="1"/>
  <c r="K1224" i="1"/>
  <c r="K1225" i="1"/>
  <c r="K1226" i="1"/>
  <c r="K1227" i="1"/>
  <c r="K1228" i="1"/>
  <c r="K1229" i="1"/>
  <c r="K1230" i="1"/>
  <c r="K1231" i="1"/>
  <c r="K1232" i="1"/>
  <c r="K1233" i="1"/>
  <c r="K1234" i="1"/>
  <c r="K1235" i="1"/>
  <c r="K1236" i="1"/>
  <c r="K1237" i="1"/>
  <c r="K1238" i="1"/>
  <c r="K1239" i="1"/>
  <c r="K1240" i="1"/>
  <c r="K1241" i="1"/>
  <c r="K1242" i="1"/>
  <c r="K1243" i="1"/>
  <c r="K1244" i="1"/>
  <c r="K1245" i="1"/>
  <c r="K1246" i="1"/>
  <c r="K1247" i="1"/>
  <c r="K1248" i="1"/>
  <c r="K1249" i="1"/>
  <c r="K1250" i="1"/>
  <c r="K1251" i="1"/>
  <c r="K1252" i="1"/>
  <c r="K1253" i="1"/>
  <c r="K1254" i="1"/>
  <c r="K1255" i="1"/>
  <c r="K1256" i="1"/>
  <c r="K1257" i="1"/>
  <c r="K1258" i="1"/>
  <c r="K1259" i="1"/>
  <c r="K1260" i="1"/>
  <c r="K1261" i="1"/>
  <c r="K1262" i="1"/>
  <c r="K1263" i="1"/>
  <c r="K1264" i="1"/>
  <c r="K1265" i="1"/>
  <c r="K1266" i="1"/>
  <c r="K1267" i="1"/>
  <c r="K1268" i="1"/>
  <c r="K1269" i="1"/>
  <c r="K1270" i="1"/>
  <c r="K1271" i="1"/>
  <c r="K1272" i="1"/>
  <c r="K1273" i="1"/>
  <c r="K1274" i="1"/>
  <c r="K1275" i="1"/>
  <c r="K1276" i="1"/>
  <c r="K1277" i="1"/>
  <c r="K1278" i="1"/>
  <c r="K1279" i="1"/>
  <c r="K1280" i="1"/>
  <c r="K1281" i="1"/>
  <c r="K1282" i="1"/>
  <c r="K1283" i="1"/>
  <c r="K1284" i="1"/>
  <c r="K1285" i="1"/>
  <c r="K1286" i="1"/>
  <c r="K1287" i="1"/>
  <c r="K1288" i="1"/>
  <c r="K1289" i="1"/>
  <c r="K1290" i="1"/>
  <c r="K1291" i="1"/>
  <c r="K1292" i="1"/>
  <c r="K1293" i="1"/>
  <c r="K1294" i="1"/>
  <c r="K1295" i="1"/>
  <c r="K1296" i="1"/>
  <c r="K1297" i="1"/>
  <c r="K1298" i="1"/>
  <c r="K1299" i="1"/>
  <c r="K1300" i="1"/>
  <c r="K1301" i="1"/>
  <c r="K1302" i="1"/>
  <c r="K1303" i="1"/>
  <c r="K1304" i="1"/>
  <c r="K1305" i="1"/>
  <c r="K1306" i="1"/>
  <c r="K1307" i="1"/>
  <c r="K1308" i="1"/>
  <c r="K1309" i="1"/>
  <c r="K1310" i="1"/>
  <c r="K1311" i="1"/>
  <c r="K1312" i="1"/>
  <c r="K1313" i="1"/>
  <c r="K1314" i="1"/>
  <c r="K1315" i="1"/>
  <c r="K1316" i="1"/>
  <c r="K1317" i="1"/>
  <c r="K1318" i="1"/>
  <c r="K1319" i="1"/>
  <c r="K1320" i="1"/>
  <c r="K1321" i="1"/>
  <c r="K1322" i="1"/>
  <c r="K1323" i="1"/>
  <c r="K1324" i="1"/>
  <c r="K1325" i="1"/>
  <c r="K1326" i="1"/>
  <c r="K1327" i="1"/>
  <c r="K1328" i="1"/>
  <c r="K1329" i="1"/>
  <c r="K1330" i="1"/>
  <c r="K1331" i="1"/>
  <c r="K1332" i="1"/>
  <c r="K1333" i="1"/>
  <c r="K1334" i="1"/>
  <c r="K1335" i="1"/>
  <c r="K1336" i="1"/>
  <c r="K1337" i="1"/>
  <c r="K1338" i="1"/>
  <c r="K1339" i="1"/>
  <c r="K1340" i="1"/>
  <c r="K1341" i="1"/>
  <c r="K1342" i="1"/>
  <c r="K1343" i="1"/>
  <c r="K1344" i="1"/>
  <c r="K1345" i="1"/>
  <c r="K1346" i="1"/>
  <c r="K1347" i="1"/>
  <c r="K1348" i="1"/>
  <c r="K1349" i="1"/>
  <c r="K1350" i="1"/>
  <c r="K1351" i="1"/>
  <c r="K1352" i="1"/>
  <c r="K1353" i="1"/>
  <c r="K1354" i="1"/>
  <c r="K1355" i="1"/>
  <c r="K1356" i="1"/>
  <c r="K1357" i="1"/>
  <c r="K1358" i="1"/>
  <c r="K1359" i="1"/>
  <c r="K1360" i="1"/>
  <c r="K1361" i="1"/>
  <c r="K1362" i="1"/>
  <c r="K1363" i="1"/>
  <c r="K1364" i="1"/>
  <c r="K1365" i="1"/>
  <c r="K1366" i="1"/>
  <c r="K1367" i="1"/>
  <c r="K1368" i="1"/>
  <c r="K1369" i="1"/>
  <c r="K1370" i="1"/>
  <c r="K1371" i="1"/>
  <c r="K1372" i="1"/>
  <c r="K1373" i="1"/>
  <c r="K1374" i="1"/>
  <c r="K1375" i="1"/>
  <c r="K1376" i="1"/>
  <c r="K1377" i="1"/>
  <c r="K1378" i="1"/>
  <c r="K1379" i="1"/>
  <c r="K1380" i="1"/>
  <c r="K1381" i="1"/>
  <c r="K1382" i="1"/>
  <c r="K1383" i="1"/>
  <c r="K1384" i="1"/>
  <c r="K1385" i="1"/>
  <c r="K1386" i="1"/>
  <c r="K1387" i="1"/>
  <c r="K1388" i="1"/>
  <c r="K1389" i="1"/>
  <c r="K1390" i="1"/>
  <c r="K1391" i="1"/>
  <c r="K1392" i="1"/>
  <c r="K1393" i="1"/>
  <c r="K1394" i="1"/>
  <c r="K1395" i="1"/>
  <c r="K1396" i="1"/>
  <c r="K1397" i="1"/>
  <c r="K1398" i="1"/>
  <c r="K1399" i="1"/>
  <c r="K1400" i="1"/>
  <c r="K1401" i="1"/>
  <c r="K1402" i="1"/>
  <c r="K1403" i="1"/>
  <c r="K1404" i="1"/>
  <c r="K1405" i="1"/>
  <c r="K1406" i="1"/>
  <c r="K1407" i="1"/>
  <c r="K1408" i="1"/>
  <c r="K1409" i="1"/>
  <c r="K1410" i="1"/>
  <c r="K1411" i="1"/>
  <c r="K1412" i="1"/>
  <c r="K1413" i="1"/>
  <c r="K1414" i="1"/>
  <c r="K1415" i="1"/>
  <c r="K1416" i="1"/>
  <c r="K1417" i="1"/>
  <c r="K1418" i="1"/>
  <c r="K1419" i="1"/>
  <c r="K1420" i="1"/>
  <c r="K1421" i="1"/>
  <c r="K1422" i="1"/>
  <c r="K1423" i="1"/>
  <c r="K1424" i="1"/>
  <c r="K1425" i="1"/>
  <c r="K1426" i="1"/>
  <c r="K1427" i="1"/>
  <c r="K1428" i="1"/>
  <c r="K1429" i="1"/>
  <c r="K1430" i="1"/>
  <c r="K1431" i="1"/>
  <c r="K1432" i="1"/>
  <c r="K1433" i="1"/>
  <c r="K1434" i="1"/>
  <c r="K1435" i="1"/>
  <c r="K1436" i="1"/>
  <c r="K1437" i="1"/>
  <c r="K1438" i="1"/>
  <c r="K1439" i="1"/>
  <c r="K1440" i="1"/>
  <c r="K1441" i="1"/>
  <c r="K1442" i="1"/>
  <c r="K1443" i="1"/>
  <c r="K1444" i="1"/>
  <c r="K1445" i="1"/>
  <c r="K1446" i="1"/>
  <c r="K1447" i="1"/>
  <c r="K1448" i="1"/>
  <c r="K1449" i="1"/>
  <c r="K1450" i="1"/>
  <c r="K1451" i="1"/>
  <c r="K1452" i="1"/>
  <c r="K1453" i="1"/>
  <c r="K1454" i="1"/>
  <c r="K1455" i="1"/>
  <c r="K1456" i="1"/>
  <c r="K1457" i="1"/>
  <c r="K1458" i="1"/>
  <c r="K1459" i="1"/>
  <c r="K1460" i="1"/>
  <c r="K1461" i="1"/>
  <c r="K1462" i="1"/>
  <c r="K1463" i="1"/>
  <c r="K1464" i="1"/>
  <c r="K1465" i="1"/>
  <c r="K1466" i="1"/>
  <c r="K1467" i="1"/>
  <c r="K1468" i="1"/>
  <c r="K1469" i="1"/>
  <c r="K1470" i="1"/>
  <c r="K1471" i="1"/>
  <c r="K1472" i="1"/>
  <c r="K1473" i="1"/>
  <c r="K1474" i="1"/>
  <c r="K1475" i="1"/>
  <c r="K1476" i="1"/>
  <c r="K1477" i="1"/>
  <c r="K1478" i="1"/>
  <c r="K1479" i="1"/>
  <c r="K1480" i="1"/>
  <c r="K1481" i="1"/>
  <c r="K1482" i="1"/>
  <c r="K1483" i="1"/>
  <c r="K1484" i="1"/>
  <c r="K1485" i="1"/>
  <c r="K1486" i="1"/>
  <c r="K1487" i="1"/>
  <c r="K1488" i="1"/>
  <c r="K1489" i="1"/>
  <c r="K1490" i="1"/>
  <c r="K1491" i="1"/>
  <c r="K1492" i="1"/>
  <c r="K1493" i="1"/>
  <c r="K1494" i="1"/>
  <c r="K1495" i="1"/>
  <c r="K1496" i="1"/>
  <c r="K1497" i="1"/>
  <c r="K1498" i="1"/>
  <c r="K1499" i="1"/>
  <c r="K1500" i="1"/>
  <c r="K1501" i="1"/>
  <c r="K1502" i="1"/>
  <c r="K1503" i="1"/>
  <c r="K1504" i="1"/>
  <c r="K1505" i="1"/>
  <c r="K1506" i="1"/>
  <c r="K1507" i="1"/>
  <c r="K1508" i="1"/>
  <c r="K1509" i="1"/>
  <c r="K1510" i="1"/>
  <c r="K1511" i="1"/>
  <c r="K1512" i="1"/>
  <c r="K1513" i="1"/>
  <c r="K1514" i="1"/>
  <c r="K1515" i="1"/>
  <c r="K1516" i="1"/>
  <c r="K1517" i="1"/>
  <c r="K1518" i="1"/>
  <c r="K1519" i="1"/>
  <c r="K1520" i="1"/>
  <c r="K1521" i="1"/>
  <c r="K1522" i="1"/>
  <c r="K1523" i="1"/>
  <c r="K1524" i="1"/>
  <c r="K1525" i="1"/>
  <c r="K1526" i="1"/>
  <c r="K1527" i="1"/>
  <c r="K1528" i="1"/>
  <c r="K1529" i="1"/>
  <c r="K1530" i="1"/>
  <c r="K1531" i="1"/>
  <c r="K1532" i="1"/>
  <c r="K1533" i="1"/>
  <c r="K1534" i="1"/>
  <c r="K1535" i="1"/>
  <c r="K1536" i="1"/>
  <c r="K1537" i="1"/>
  <c r="K1538" i="1"/>
  <c r="K1539" i="1"/>
  <c r="K1540" i="1"/>
  <c r="K1541" i="1"/>
  <c r="K1542" i="1"/>
  <c r="K1543" i="1"/>
  <c r="K1544" i="1"/>
  <c r="K1545" i="1"/>
  <c r="K1546" i="1"/>
  <c r="K1547" i="1"/>
  <c r="K1548" i="1"/>
  <c r="K1549" i="1"/>
  <c r="K1550" i="1"/>
  <c r="K1551" i="1"/>
  <c r="K1552" i="1"/>
  <c r="K1553" i="1"/>
  <c r="K1554" i="1"/>
  <c r="K1555" i="1"/>
  <c r="K1556" i="1"/>
  <c r="K1557" i="1"/>
  <c r="K1558" i="1"/>
  <c r="K1559" i="1"/>
  <c r="K1560" i="1"/>
  <c r="K1561" i="1"/>
  <c r="K1562" i="1"/>
  <c r="K1563" i="1"/>
  <c r="K1564" i="1"/>
  <c r="K1565" i="1"/>
  <c r="K1566" i="1"/>
  <c r="K1567" i="1"/>
  <c r="K1568" i="1"/>
  <c r="K1569" i="1"/>
  <c r="K1570" i="1"/>
  <c r="K1571" i="1"/>
  <c r="K1572" i="1"/>
  <c r="K1573" i="1"/>
  <c r="K1574" i="1"/>
  <c r="K1575" i="1"/>
  <c r="K1576" i="1"/>
  <c r="K1577" i="1"/>
  <c r="K1578" i="1"/>
  <c r="K1579" i="1"/>
  <c r="K1580" i="1"/>
  <c r="K1581" i="1"/>
  <c r="K1582" i="1"/>
  <c r="K1583" i="1"/>
  <c r="K1584" i="1"/>
  <c r="K1585" i="1"/>
  <c r="K1586" i="1"/>
  <c r="K1587" i="1"/>
  <c r="K1588" i="1"/>
  <c r="K1589" i="1"/>
  <c r="K1590" i="1"/>
  <c r="K1591" i="1"/>
  <c r="K1592" i="1"/>
  <c r="K1593" i="1"/>
  <c r="K1594" i="1"/>
  <c r="K1595" i="1"/>
  <c r="K1596" i="1"/>
  <c r="K1597" i="1"/>
  <c r="K1598" i="1"/>
  <c r="K1599" i="1"/>
  <c r="K1600" i="1"/>
  <c r="K1601" i="1"/>
  <c r="K1602" i="1"/>
  <c r="K1603" i="1"/>
  <c r="K1604" i="1"/>
  <c r="K1605" i="1"/>
  <c r="K1606" i="1"/>
  <c r="K1607" i="1"/>
  <c r="K1608" i="1"/>
  <c r="K1609" i="1"/>
  <c r="K1610" i="1"/>
  <c r="K1611" i="1"/>
  <c r="K1612" i="1"/>
  <c r="K1613" i="1"/>
  <c r="K1614" i="1"/>
  <c r="K1615" i="1"/>
  <c r="K1616" i="1"/>
  <c r="K1617" i="1"/>
  <c r="K1618" i="1"/>
  <c r="K1619" i="1"/>
  <c r="K1620" i="1"/>
  <c r="K1621" i="1"/>
  <c r="K1622" i="1"/>
  <c r="K1623" i="1"/>
  <c r="K1624" i="1"/>
  <c r="K1625" i="1"/>
  <c r="K1626" i="1"/>
  <c r="K1627" i="1"/>
  <c r="K1628" i="1"/>
  <c r="K1629" i="1"/>
  <c r="K1630" i="1"/>
  <c r="K1631" i="1"/>
  <c r="K1632" i="1"/>
  <c r="K1633" i="1"/>
  <c r="K1634" i="1"/>
  <c r="K1635" i="1"/>
  <c r="K1636" i="1"/>
  <c r="K1637" i="1"/>
  <c r="K1638" i="1"/>
  <c r="K1639" i="1"/>
  <c r="K1640" i="1"/>
  <c r="K1641" i="1"/>
  <c r="K1642" i="1"/>
  <c r="K1643" i="1"/>
  <c r="K1644" i="1"/>
  <c r="K1645" i="1"/>
  <c r="K1646" i="1"/>
  <c r="K1647" i="1"/>
  <c r="K1648" i="1"/>
  <c r="K1649" i="1"/>
  <c r="K1650" i="1"/>
  <c r="K1651" i="1"/>
  <c r="K1652" i="1"/>
  <c r="K1653" i="1"/>
  <c r="K1654" i="1"/>
  <c r="K1655" i="1"/>
  <c r="K1656" i="1"/>
  <c r="K1657" i="1"/>
  <c r="K1658" i="1"/>
  <c r="K1659" i="1"/>
  <c r="K1660" i="1"/>
  <c r="K1661" i="1"/>
  <c r="K1662" i="1"/>
  <c r="K1663" i="1"/>
  <c r="K1664" i="1"/>
  <c r="K1665" i="1"/>
  <c r="K1666" i="1"/>
  <c r="K1667" i="1"/>
  <c r="K1668" i="1"/>
  <c r="K1669" i="1"/>
  <c r="K1670" i="1"/>
  <c r="K1671" i="1"/>
  <c r="K1672" i="1"/>
  <c r="K1673" i="1"/>
  <c r="K1674" i="1"/>
  <c r="K1675" i="1"/>
  <c r="K1676" i="1"/>
  <c r="K1677" i="1"/>
  <c r="K1678" i="1"/>
  <c r="K1679" i="1"/>
  <c r="K1680" i="1"/>
  <c r="K1681" i="1"/>
  <c r="K1682" i="1"/>
  <c r="K1683" i="1"/>
  <c r="K1684" i="1"/>
  <c r="K1685" i="1"/>
  <c r="K1686" i="1"/>
  <c r="K1687" i="1"/>
  <c r="K1688" i="1"/>
  <c r="K1689" i="1"/>
  <c r="K1690" i="1"/>
  <c r="K1691" i="1"/>
  <c r="K1692" i="1"/>
  <c r="K1693" i="1"/>
  <c r="K1694" i="1"/>
  <c r="K1695" i="1"/>
  <c r="K1696" i="1"/>
  <c r="K1697" i="1"/>
  <c r="K1698" i="1"/>
  <c r="K1699" i="1"/>
  <c r="K1700" i="1"/>
  <c r="K1701" i="1"/>
  <c r="K1702" i="1"/>
  <c r="K1703" i="1"/>
  <c r="K1704" i="1"/>
  <c r="K1705" i="1"/>
  <c r="K1706" i="1"/>
  <c r="K1707" i="1"/>
  <c r="K1708" i="1"/>
  <c r="K1709" i="1"/>
  <c r="K1710" i="1"/>
  <c r="K1711" i="1"/>
  <c r="K1712" i="1"/>
  <c r="K1713" i="1"/>
  <c r="K1714" i="1"/>
  <c r="K1715" i="1"/>
  <c r="K1716" i="1"/>
  <c r="K1717" i="1"/>
  <c r="K1718" i="1"/>
  <c r="K1719" i="1"/>
  <c r="K1720" i="1"/>
  <c r="K1721" i="1"/>
  <c r="K1722" i="1"/>
  <c r="K1723" i="1"/>
  <c r="K1724" i="1"/>
  <c r="K1725" i="1"/>
  <c r="K1726" i="1"/>
  <c r="K1727" i="1"/>
  <c r="K1728" i="1"/>
  <c r="K1729" i="1"/>
  <c r="K1730" i="1"/>
  <c r="K1731" i="1"/>
  <c r="K1732" i="1"/>
  <c r="K1733" i="1"/>
  <c r="K1734" i="1"/>
  <c r="K1735" i="1"/>
  <c r="K1736" i="1"/>
  <c r="K1737" i="1"/>
  <c r="K1738" i="1"/>
  <c r="K1739" i="1"/>
  <c r="K1740" i="1"/>
  <c r="K1741" i="1"/>
  <c r="K1742" i="1"/>
  <c r="K1743" i="1"/>
  <c r="K1744" i="1"/>
  <c r="K1745" i="1"/>
  <c r="K1746" i="1"/>
  <c r="K1747" i="1"/>
  <c r="K1748" i="1"/>
  <c r="K1749" i="1"/>
  <c r="K1750" i="1"/>
  <c r="K1751" i="1"/>
  <c r="K1752" i="1"/>
  <c r="K1753" i="1"/>
  <c r="K1754" i="1"/>
  <c r="K1755" i="1"/>
  <c r="K1756" i="1"/>
  <c r="K1757" i="1"/>
  <c r="K1758" i="1"/>
  <c r="K1759" i="1"/>
  <c r="K1760" i="1"/>
  <c r="K1761" i="1"/>
  <c r="K1762" i="1"/>
  <c r="K1763" i="1"/>
  <c r="K1764" i="1"/>
  <c r="K1765" i="1"/>
  <c r="K1766" i="1"/>
  <c r="K1767" i="1"/>
  <c r="K1768" i="1"/>
  <c r="K1769" i="1"/>
  <c r="K1770" i="1"/>
  <c r="K1771" i="1"/>
  <c r="K1772" i="1"/>
  <c r="K1773" i="1"/>
  <c r="K1774" i="1"/>
  <c r="K1775" i="1"/>
  <c r="K1776" i="1"/>
  <c r="K1777" i="1"/>
  <c r="K1778" i="1"/>
  <c r="K1779" i="1"/>
  <c r="K1780" i="1"/>
  <c r="K1781" i="1"/>
  <c r="K1782" i="1"/>
  <c r="K1783" i="1"/>
  <c r="K1784" i="1"/>
  <c r="K1785" i="1"/>
  <c r="K1786" i="1"/>
  <c r="K1787" i="1"/>
  <c r="K1788" i="1"/>
  <c r="K1789" i="1"/>
  <c r="K1790" i="1"/>
  <c r="K1791" i="1"/>
  <c r="K1792" i="1"/>
  <c r="K1793" i="1"/>
  <c r="K1794" i="1"/>
  <c r="K1795" i="1"/>
  <c r="K1796" i="1"/>
  <c r="K1797" i="1"/>
  <c r="K1798" i="1"/>
  <c r="K1799" i="1"/>
  <c r="K1800" i="1"/>
  <c r="K1801" i="1"/>
  <c r="K1802" i="1"/>
  <c r="K1803" i="1"/>
  <c r="K1804" i="1"/>
  <c r="K1805" i="1"/>
  <c r="K1806" i="1"/>
  <c r="K1807" i="1"/>
  <c r="K1808" i="1"/>
  <c r="K1809" i="1"/>
  <c r="K1810" i="1"/>
  <c r="K1811" i="1"/>
  <c r="K1812" i="1"/>
  <c r="K1813" i="1"/>
  <c r="K1814" i="1"/>
  <c r="K1815" i="1"/>
  <c r="K1816" i="1"/>
  <c r="K1817" i="1"/>
  <c r="K1818" i="1"/>
  <c r="K1819" i="1"/>
  <c r="K1820" i="1"/>
  <c r="K1821" i="1"/>
  <c r="K1822" i="1"/>
  <c r="K1823" i="1"/>
  <c r="K1824" i="1"/>
  <c r="K1825" i="1"/>
  <c r="K1826" i="1"/>
  <c r="K1827" i="1"/>
  <c r="K1828" i="1"/>
  <c r="K1829" i="1"/>
  <c r="K1830" i="1"/>
  <c r="K1831" i="1"/>
  <c r="K1832" i="1"/>
  <c r="K1833" i="1"/>
  <c r="K1834" i="1"/>
  <c r="K1835" i="1"/>
  <c r="K1836" i="1"/>
  <c r="K1837" i="1"/>
  <c r="K1838" i="1"/>
  <c r="K1839" i="1"/>
  <c r="K1840" i="1"/>
  <c r="K1841" i="1"/>
  <c r="K1842" i="1"/>
  <c r="K1843" i="1"/>
  <c r="K1844" i="1"/>
  <c r="K1845" i="1"/>
  <c r="K1846" i="1"/>
  <c r="K1847" i="1"/>
  <c r="K1848" i="1"/>
  <c r="K1849" i="1"/>
  <c r="K1850" i="1"/>
  <c r="K1851" i="1"/>
  <c r="K1852" i="1"/>
  <c r="K1853" i="1"/>
  <c r="K1854" i="1"/>
  <c r="K1855" i="1"/>
  <c r="K1856" i="1"/>
  <c r="K1857" i="1"/>
  <c r="K1858" i="1"/>
  <c r="K1859" i="1"/>
  <c r="K1860" i="1"/>
  <c r="K1861" i="1"/>
  <c r="K1862" i="1"/>
  <c r="K1863" i="1"/>
  <c r="K1864" i="1"/>
  <c r="K1865" i="1"/>
  <c r="K1866" i="1"/>
  <c r="K1867" i="1"/>
  <c r="K1868" i="1"/>
  <c r="K1869" i="1"/>
  <c r="K1870" i="1"/>
  <c r="K1871" i="1"/>
  <c r="K1872" i="1"/>
  <c r="K1873" i="1"/>
  <c r="K1874" i="1"/>
  <c r="K1875" i="1"/>
  <c r="K1876" i="1"/>
  <c r="K1877" i="1"/>
  <c r="K1878" i="1"/>
  <c r="K1879" i="1"/>
  <c r="K1880" i="1"/>
  <c r="K1881" i="1"/>
  <c r="K1882" i="1"/>
  <c r="K1883" i="1"/>
  <c r="K1884" i="1"/>
  <c r="K1885" i="1"/>
  <c r="K1886" i="1"/>
  <c r="K1887" i="1"/>
  <c r="K1888" i="1"/>
  <c r="K1889" i="1"/>
  <c r="K1890" i="1"/>
  <c r="K1891" i="1"/>
  <c r="K1892" i="1"/>
  <c r="K1893" i="1"/>
  <c r="K1894" i="1"/>
  <c r="K1895" i="1"/>
  <c r="K1896" i="1"/>
  <c r="K1897" i="1"/>
  <c r="K1898" i="1"/>
  <c r="K1899" i="1"/>
  <c r="K1900" i="1"/>
  <c r="K1901" i="1"/>
  <c r="K1902" i="1"/>
  <c r="K1903" i="1"/>
  <c r="K1904" i="1"/>
  <c r="K1905" i="1"/>
  <c r="K1906" i="1"/>
  <c r="K1907" i="1"/>
  <c r="K1908" i="1"/>
  <c r="K1909" i="1"/>
  <c r="K1910" i="1"/>
  <c r="K1911" i="1"/>
  <c r="K1912" i="1"/>
  <c r="K1913" i="1"/>
  <c r="K1914" i="1"/>
  <c r="K1915" i="1"/>
  <c r="K1916" i="1"/>
  <c r="K1917" i="1"/>
  <c r="K1918" i="1"/>
  <c r="K1919" i="1"/>
  <c r="K1920" i="1"/>
  <c r="K1921" i="1"/>
  <c r="K1922" i="1"/>
  <c r="K1923" i="1"/>
  <c r="K1924" i="1"/>
  <c r="K1925" i="1"/>
  <c r="K1926" i="1"/>
  <c r="K1927" i="1"/>
  <c r="K1928" i="1"/>
  <c r="K1929" i="1"/>
  <c r="K1930" i="1"/>
  <c r="K1931" i="1"/>
  <c r="K1932" i="1"/>
  <c r="K1933" i="1"/>
  <c r="K1934" i="1"/>
  <c r="K1935" i="1"/>
  <c r="K1936" i="1"/>
  <c r="K1937" i="1"/>
  <c r="K1938" i="1"/>
  <c r="K1939" i="1"/>
  <c r="K1940" i="1"/>
  <c r="K1941" i="1"/>
  <c r="K1942" i="1"/>
  <c r="K1943" i="1"/>
  <c r="K1944" i="1"/>
  <c r="K1945" i="1"/>
  <c r="K1946" i="1"/>
  <c r="K1947" i="1"/>
  <c r="K1948" i="1"/>
  <c r="K1949" i="1"/>
  <c r="K1950" i="1"/>
  <c r="K1951" i="1"/>
  <c r="K1952" i="1"/>
  <c r="K1953" i="1"/>
  <c r="K1954" i="1"/>
  <c r="K1955" i="1"/>
  <c r="K1956" i="1"/>
  <c r="K1957" i="1"/>
  <c r="K1958" i="1"/>
  <c r="K1959" i="1"/>
  <c r="K1960" i="1"/>
  <c r="K1961" i="1"/>
  <c r="K1962" i="1"/>
  <c r="K1963" i="1"/>
  <c r="K1964" i="1"/>
  <c r="K1965" i="1"/>
  <c r="K1966" i="1"/>
  <c r="K1967" i="1"/>
  <c r="K1968" i="1"/>
  <c r="K1969" i="1"/>
  <c r="K1970" i="1"/>
  <c r="K1971" i="1"/>
  <c r="K1972" i="1"/>
  <c r="K1973" i="1"/>
  <c r="K1974" i="1"/>
  <c r="K1975" i="1"/>
  <c r="K1976" i="1"/>
  <c r="K1977" i="1"/>
  <c r="K1978" i="1"/>
  <c r="K1979" i="1"/>
  <c r="K1980" i="1"/>
  <c r="K1981" i="1"/>
  <c r="K1982" i="1"/>
  <c r="K1983" i="1"/>
  <c r="K1984" i="1"/>
  <c r="K1985" i="1"/>
  <c r="K1986" i="1"/>
  <c r="K1987" i="1"/>
  <c r="K1988" i="1"/>
  <c r="K1989" i="1"/>
  <c r="K1990" i="1"/>
  <c r="K1991" i="1"/>
  <c r="K1992" i="1"/>
  <c r="K1993" i="1"/>
  <c r="K1994" i="1"/>
  <c r="K1995" i="1"/>
  <c r="K1996" i="1"/>
  <c r="K1997" i="1"/>
  <c r="K1998" i="1"/>
  <c r="K1999" i="1"/>
  <c r="K2000" i="1"/>
  <c r="K2001" i="1"/>
  <c r="K2002" i="1"/>
  <c r="K2003" i="1"/>
  <c r="K2004" i="1"/>
  <c r="K2005" i="1"/>
  <c r="K2006" i="1"/>
  <c r="K2007" i="1"/>
  <c r="K2008" i="1"/>
  <c r="K2009" i="1"/>
  <c r="K2010" i="1"/>
  <c r="K2011" i="1"/>
  <c r="K2012" i="1"/>
  <c r="K2013" i="1"/>
  <c r="K2014" i="1"/>
  <c r="K2015" i="1"/>
  <c r="K2016" i="1"/>
  <c r="K2017" i="1"/>
  <c r="K2018" i="1"/>
  <c r="K2019" i="1"/>
  <c r="K2020" i="1"/>
  <c r="K2021" i="1"/>
  <c r="K2022" i="1"/>
  <c r="K2023" i="1"/>
  <c r="K2024" i="1"/>
  <c r="K2025" i="1"/>
  <c r="K2026" i="1"/>
  <c r="K2027" i="1"/>
  <c r="K2028" i="1"/>
  <c r="K2029" i="1"/>
  <c r="K2030" i="1"/>
  <c r="K2031" i="1"/>
  <c r="K2032" i="1"/>
  <c r="K2033" i="1"/>
  <c r="K2034" i="1"/>
  <c r="K2035" i="1"/>
  <c r="K2036" i="1"/>
  <c r="K2037" i="1"/>
  <c r="K2038" i="1"/>
  <c r="K2039" i="1"/>
  <c r="K2040" i="1"/>
  <c r="K2041" i="1"/>
  <c r="K2042" i="1"/>
  <c r="K2043" i="1"/>
  <c r="K2044" i="1"/>
  <c r="K2045" i="1"/>
  <c r="K2046" i="1"/>
  <c r="K2047" i="1"/>
  <c r="K2048" i="1"/>
  <c r="K2049" i="1"/>
  <c r="K2050" i="1"/>
  <c r="K2051" i="1"/>
  <c r="K2052" i="1"/>
  <c r="K2053" i="1"/>
  <c r="K2054" i="1"/>
  <c r="K2055" i="1"/>
  <c r="K2056" i="1"/>
  <c r="K2057" i="1"/>
  <c r="K2058" i="1"/>
  <c r="K2059" i="1"/>
  <c r="K2060" i="1"/>
  <c r="K2061" i="1"/>
  <c r="K2062" i="1"/>
  <c r="K2063" i="1"/>
  <c r="K2064" i="1"/>
  <c r="K2065" i="1"/>
  <c r="K2066" i="1"/>
  <c r="K2067" i="1"/>
  <c r="K2068" i="1"/>
  <c r="K2069" i="1"/>
  <c r="K2070" i="1"/>
  <c r="K2071" i="1"/>
  <c r="K2072" i="1"/>
  <c r="K2073" i="1"/>
  <c r="K2074" i="1"/>
  <c r="K2075" i="1"/>
  <c r="K2076" i="1"/>
  <c r="K2077" i="1"/>
  <c r="K2078" i="1"/>
  <c r="K2079" i="1"/>
  <c r="K2080" i="1"/>
  <c r="K2081" i="1"/>
  <c r="K2082" i="1"/>
  <c r="K2083" i="1"/>
  <c r="K2084" i="1"/>
  <c r="K2085" i="1"/>
  <c r="K2086" i="1"/>
  <c r="K2087" i="1"/>
  <c r="K2088" i="1"/>
  <c r="K2089" i="1"/>
  <c r="K2090" i="1"/>
  <c r="K2091" i="1"/>
  <c r="K2092" i="1"/>
  <c r="K2093" i="1"/>
  <c r="K2094" i="1"/>
  <c r="K2095" i="1"/>
  <c r="K2096" i="1"/>
  <c r="K2097" i="1"/>
  <c r="K2098" i="1"/>
  <c r="K2099" i="1"/>
  <c r="K2100" i="1"/>
  <c r="K2101" i="1"/>
  <c r="K2102" i="1"/>
  <c r="K2103" i="1"/>
  <c r="K2104" i="1"/>
  <c r="K2105" i="1"/>
  <c r="K2106" i="1"/>
  <c r="K2107" i="1"/>
  <c r="K2108" i="1"/>
  <c r="K2109" i="1"/>
  <c r="K2110" i="1"/>
  <c r="K2111" i="1"/>
  <c r="K2112" i="1"/>
  <c r="K2113" i="1"/>
  <c r="K2114" i="1"/>
  <c r="K2115" i="1"/>
  <c r="K2116" i="1"/>
  <c r="K2117" i="1"/>
  <c r="K2118" i="1"/>
  <c r="K2119" i="1"/>
  <c r="K2120" i="1"/>
  <c r="K2121" i="1"/>
  <c r="K2122" i="1"/>
  <c r="K2123" i="1"/>
  <c r="K2124" i="1"/>
  <c r="K2125" i="1"/>
  <c r="K2126" i="1"/>
  <c r="K2127" i="1"/>
  <c r="K2128" i="1"/>
  <c r="K2129" i="1"/>
  <c r="K2130" i="1"/>
  <c r="K2131" i="1"/>
  <c r="K2132" i="1"/>
  <c r="K2133" i="1"/>
  <c r="K2134" i="1"/>
  <c r="K2135" i="1"/>
  <c r="K2136" i="1"/>
  <c r="K2137" i="1"/>
  <c r="K2138" i="1"/>
  <c r="K2139" i="1"/>
  <c r="K2140" i="1"/>
  <c r="K2141" i="1"/>
  <c r="K2142" i="1"/>
  <c r="K2143" i="1"/>
  <c r="K2144" i="1"/>
  <c r="K2145" i="1"/>
  <c r="K2146" i="1"/>
  <c r="K2147" i="1"/>
  <c r="K2148" i="1"/>
  <c r="K2149" i="1"/>
  <c r="K2150" i="1"/>
  <c r="K2151" i="1"/>
  <c r="K2152" i="1"/>
  <c r="K2153" i="1"/>
  <c r="K2154" i="1"/>
  <c r="K2155" i="1"/>
  <c r="K2156" i="1"/>
  <c r="K2157" i="1"/>
  <c r="K2158" i="1"/>
  <c r="K2159" i="1"/>
  <c r="K2160" i="1"/>
  <c r="K2161" i="1"/>
  <c r="K2162" i="1"/>
  <c r="K2163" i="1"/>
  <c r="K2164" i="1"/>
  <c r="K2165" i="1"/>
  <c r="K2166" i="1"/>
  <c r="K2167" i="1"/>
  <c r="K2168" i="1"/>
  <c r="K2169" i="1"/>
  <c r="K2170" i="1"/>
  <c r="K2171" i="1"/>
  <c r="K2172" i="1"/>
  <c r="K2173" i="1"/>
  <c r="K2174" i="1"/>
  <c r="K2175" i="1"/>
  <c r="K2176" i="1"/>
  <c r="K2177" i="1"/>
  <c r="K2178" i="1"/>
  <c r="K2179" i="1"/>
  <c r="K2180" i="1"/>
  <c r="K2181" i="1"/>
  <c r="K2182" i="1"/>
  <c r="K2183" i="1"/>
  <c r="K2184" i="1"/>
  <c r="K2185" i="1"/>
  <c r="K2186" i="1"/>
  <c r="K2187" i="1"/>
  <c r="K2188" i="1"/>
  <c r="K2189" i="1"/>
  <c r="K2190" i="1"/>
  <c r="K2191" i="1"/>
  <c r="K2192" i="1"/>
  <c r="K2193" i="1"/>
  <c r="K2194" i="1"/>
  <c r="K2195" i="1"/>
  <c r="K2196" i="1"/>
  <c r="K2197" i="1"/>
  <c r="K2198" i="1"/>
  <c r="K2199" i="1"/>
  <c r="K2200" i="1"/>
  <c r="K2201" i="1"/>
  <c r="K2202" i="1"/>
  <c r="K2203" i="1"/>
  <c r="K2204" i="1"/>
  <c r="K2205" i="1"/>
  <c r="K2206" i="1"/>
  <c r="K2207" i="1"/>
  <c r="K2208" i="1"/>
  <c r="K2209" i="1"/>
  <c r="K2210" i="1"/>
  <c r="K2211" i="1"/>
  <c r="K2212" i="1"/>
  <c r="K2213" i="1"/>
  <c r="K2214" i="1"/>
  <c r="K2215" i="1"/>
  <c r="K2216" i="1"/>
  <c r="K2217" i="1"/>
  <c r="K2218" i="1"/>
  <c r="K2219" i="1"/>
  <c r="K2220" i="1"/>
  <c r="K2221" i="1"/>
  <c r="K2222" i="1"/>
  <c r="K2223" i="1"/>
  <c r="K2224" i="1"/>
  <c r="K2225" i="1"/>
  <c r="K2226" i="1"/>
  <c r="K2227" i="1"/>
  <c r="K2228" i="1"/>
  <c r="K2229" i="1"/>
  <c r="K2230" i="1"/>
  <c r="K2231" i="1"/>
  <c r="K2232" i="1"/>
  <c r="K2233" i="1"/>
  <c r="K2234" i="1"/>
  <c r="K2235" i="1"/>
  <c r="K2236" i="1"/>
  <c r="K2237" i="1"/>
  <c r="K2238" i="1"/>
  <c r="K2239" i="1"/>
  <c r="K2240" i="1"/>
  <c r="K2241" i="1"/>
  <c r="K2242" i="1"/>
  <c r="K2243" i="1"/>
  <c r="K2244" i="1"/>
  <c r="K2245" i="1"/>
  <c r="K2246" i="1"/>
  <c r="K2247" i="1"/>
  <c r="K2248" i="1"/>
  <c r="K2249" i="1"/>
  <c r="K2250" i="1"/>
  <c r="K2251" i="1"/>
  <c r="K2252" i="1"/>
  <c r="K2253" i="1"/>
  <c r="K2254" i="1"/>
  <c r="K2255" i="1"/>
  <c r="K2256" i="1"/>
  <c r="K2257" i="1"/>
  <c r="K2258" i="1"/>
  <c r="K2259" i="1"/>
  <c r="K2260" i="1"/>
  <c r="K2261" i="1"/>
  <c r="K2262" i="1"/>
  <c r="K2263" i="1"/>
  <c r="K2264" i="1"/>
  <c r="K2265" i="1"/>
  <c r="K2266" i="1"/>
  <c r="K2267" i="1"/>
  <c r="K2268" i="1"/>
  <c r="K2269" i="1"/>
  <c r="K2270" i="1"/>
  <c r="K2271" i="1"/>
  <c r="K2272" i="1"/>
  <c r="K2273" i="1"/>
  <c r="K2274" i="1"/>
  <c r="K2275" i="1"/>
  <c r="K2276" i="1"/>
  <c r="K2277" i="1"/>
  <c r="K2278" i="1"/>
  <c r="K2279" i="1"/>
  <c r="K2280" i="1"/>
  <c r="K2281" i="1"/>
  <c r="K2282" i="1"/>
  <c r="K2283" i="1"/>
  <c r="K2284" i="1"/>
  <c r="K2285" i="1"/>
  <c r="K2286" i="1"/>
  <c r="K2287" i="1"/>
  <c r="K2288" i="1"/>
  <c r="K2289" i="1"/>
  <c r="K2290" i="1"/>
  <c r="K2291" i="1"/>
  <c r="K2292" i="1"/>
  <c r="K2293" i="1"/>
  <c r="K2294" i="1"/>
  <c r="K2295" i="1"/>
  <c r="K2296" i="1"/>
  <c r="K2297" i="1"/>
  <c r="K2298" i="1"/>
  <c r="K2299" i="1"/>
  <c r="K2300" i="1"/>
  <c r="K2301" i="1"/>
  <c r="K2302" i="1"/>
  <c r="K2303" i="1"/>
  <c r="K2304" i="1"/>
  <c r="K2305" i="1"/>
  <c r="K2306" i="1"/>
  <c r="K2307" i="1"/>
  <c r="K2308" i="1"/>
  <c r="K2309" i="1"/>
  <c r="K2310" i="1"/>
  <c r="K2311" i="1"/>
  <c r="K2312" i="1"/>
  <c r="K2313" i="1"/>
  <c r="K2314" i="1"/>
  <c r="K2315" i="1"/>
  <c r="K2316" i="1"/>
  <c r="K2317" i="1"/>
  <c r="K2318" i="1"/>
  <c r="K2319" i="1"/>
  <c r="K2320" i="1"/>
  <c r="K2321" i="1"/>
  <c r="K2322" i="1"/>
  <c r="K2323" i="1"/>
  <c r="K2324" i="1"/>
  <c r="K2325" i="1"/>
  <c r="K2326" i="1"/>
  <c r="K2327" i="1"/>
  <c r="K2328" i="1"/>
  <c r="K2329" i="1"/>
  <c r="K2330" i="1"/>
  <c r="K2331" i="1"/>
  <c r="K2332" i="1"/>
  <c r="K2333" i="1"/>
  <c r="K2334" i="1"/>
  <c r="K2335" i="1"/>
  <c r="K2336" i="1"/>
  <c r="K2337" i="1"/>
  <c r="K2338" i="1"/>
  <c r="K2339" i="1"/>
  <c r="K2340" i="1"/>
  <c r="K2341" i="1"/>
  <c r="K2342" i="1"/>
  <c r="K2343" i="1"/>
  <c r="K2344" i="1"/>
  <c r="K2345" i="1"/>
  <c r="K2346" i="1"/>
  <c r="K2347" i="1"/>
  <c r="K2348" i="1"/>
  <c r="K2349" i="1"/>
  <c r="K2350" i="1"/>
  <c r="K2351" i="1"/>
  <c r="K2352" i="1"/>
  <c r="K2353" i="1"/>
  <c r="K2354" i="1"/>
  <c r="K2355" i="1"/>
  <c r="K2356" i="1"/>
  <c r="K2357" i="1"/>
  <c r="K2358" i="1"/>
  <c r="K2359" i="1"/>
  <c r="K2360" i="1"/>
  <c r="K2361" i="1"/>
  <c r="K2362" i="1"/>
  <c r="K2363" i="1"/>
  <c r="K2364" i="1"/>
  <c r="K2365" i="1"/>
  <c r="K2366" i="1"/>
  <c r="K2367" i="1"/>
  <c r="K2368" i="1"/>
  <c r="K2369" i="1"/>
  <c r="K2370" i="1"/>
  <c r="K2371" i="1"/>
  <c r="K2372" i="1"/>
  <c r="K2373" i="1"/>
  <c r="K2374" i="1"/>
  <c r="K2375" i="1"/>
  <c r="K2376" i="1"/>
  <c r="K2377" i="1"/>
  <c r="K2378" i="1"/>
  <c r="K2379" i="1"/>
  <c r="K2380" i="1"/>
  <c r="K2381" i="1"/>
  <c r="K2382" i="1"/>
  <c r="K2383" i="1"/>
  <c r="K2384" i="1"/>
  <c r="K2385" i="1"/>
  <c r="K2386" i="1"/>
  <c r="K2387" i="1"/>
  <c r="K2388" i="1"/>
  <c r="K2389" i="1"/>
  <c r="K2390" i="1"/>
  <c r="K2391" i="1"/>
  <c r="K2392" i="1"/>
  <c r="K2393" i="1"/>
  <c r="K2394" i="1"/>
  <c r="K2395" i="1"/>
  <c r="K2396" i="1"/>
  <c r="K2397" i="1"/>
  <c r="K2398" i="1"/>
  <c r="K2399" i="1"/>
  <c r="K2400" i="1"/>
  <c r="K2401" i="1"/>
  <c r="K2402" i="1"/>
  <c r="K2403" i="1"/>
  <c r="K2404" i="1"/>
  <c r="K2405" i="1"/>
  <c r="K2406" i="1"/>
  <c r="K2407" i="1"/>
  <c r="K2408" i="1"/>
  <c r="K2409" i="1"/>
  <c r="K2410" i="1"/>
  <c r="K2411" i="1"/>
  <c r="K2412" i="1"/>
  <c r="K2413" i="1"/>
  <c r="K2414" i="1"/>
  <c r="K2415" i="1"/>
  <c r="K2416" i="1"/>
  <c r="K2417" i="1"/>
  <c r="K2418" i="1"/>
  <c r="K2419" i="1"/>
  <c r="K2420" i="1"/>
  <c r="K2421" i="1"/>
  <c r="K2422" i="1"/>
  <c r="K2423" i="1"/>
  <c r="K2424" i="1"/>
  <c r="K2425" i="1"/>
  <c r="K2426" i="1"/>
  <c r="K2427" i="1"/>
  <c r="K2428" i="1"/>
  <c r="K2429" i="1"/>
  <c r="K2430" i="1"/>
  <c r="K2431" i="1"/>
  <c r="K2432" i="1"/>
  <c r="K2433" i="1"/>
  <c r="K2434" i="1"/>
  <c r="K2435" i="1"/>
  <c r="K2436" i="1"/>
  <c r="K2437" i="1"/>
  <c r="K2438" i="1"/>
  <c r="K2439" i="1"/>
  <c r="K2440" i="1"/>
  <c r="K2441" i="1"/>
  <c r="K2442" i="1"/>
  <c r="K2443" i="1"/>
  <c r="K2444" i="1"/>
  <c r="K2445" i="1"/>
  <c r="K2446" i="1"/>
  <c r="K2447" i="1"/>
  <c r="K2448" i="1"/>
  <c r="K2449" i="1"/>
  <c r="K2450" i="1"/>
  <c r="K2451" i="1"/>
  <c r="K2452" i="1"/>
  <c r="K2453" i="1"/>
  <c r="K2454" i="1"/>
  <c r="K2455" i="1"/>
  <c r="K2456" i="1"/>
  <c r="K2457" i="1"/>
  <c r="K2458" i="1"/>
  <c r="K2459" i="1"/>
  <c r="K2460" i="1"/>
  <c r="K2461" i="1"/>
  <c r="K2462" i="1"/>
  <c r="K2463" i="1"/>
  <c r="K2464" i="1"/>
  <c r="K2465" i="1"/>
  <c r="K2466" i="1"/>
  <c r="K2467" i="1"/>
  <c r="K2468" i="1"/>
  <c r="K2469" i="1"/>
  <c r="K2470" i="1"/>
  <c r="K2471" i="1"/>
  <c r="K2472" i="1"/>
  <c r="K2473" i="1"/>
  <c r="K2474" i="1"/>
  <c r="K2475" i="1"/>
  <c r="K2476" i="1"/>
  <c r="K2477" i="1"/>
  <c r="K2478" i="1"/>
  <c r="K2479" i="1"/>
  <c r="K2480" i="1"/>
  <c r="K2481" i="1"/>
  <c r="K2482" i="1"/>
  <c r="K2483" i="1"/>
  <c r="K2484" i="1"/>
  <c r="K2485" i="1"/>
  <c r="K2486" i="1"/>
  <c r="K2487" i="1"/>
  <c r="K2488" i="1"/>
  <c r="K2489" i="1"/>
  <c r="K2490" i="1"/>
  <c r="K2491" i="1"/>
  <c r="K2492" i="1"/>
  <c r="K2493" i="1"/>
  <c r="K2494" i="1"/>
  <c r="K2495" i="1"/>
  <c r="K2496" i="1"/>
  <c r="K2497" i="1"/>
  <c r="K2498" i="1"/>
  <c r="K2499" i="1"/>
  <c r="K2500" i="1"/>
  <c r="K2501" i="1"/>
  <c r="K2502" i="1"/>
  <c r="K2503" i="1"/>
  <c r="K2504" i="1"/>
  <c r="K2505" i="1"/>
  <c r="K2506" i="1"/>
  <c r="K2507" i="1"/>
  <c r="K2508" i="1"/>
  <c r="K2509" i="1"/>
  <c r="K2510" i="1"/>
  <c r="K2511" i="1"/>
  <c r="K2512" i="1"/>
  <c r="K2513" i="1"/>
  <c r="K2514" i="1"/>
  <c r="K2515" i="1"/>
  <c r="K2516" i="1"/>
  <c r="K2517" i="1"/>
  <c r="K2518" i="1"/>
  <c r="K2519" i="1"/>
  <c r="K2520" i="1"/>
  <c r="K2521" i="1"/>
  <c r="K2522" i="1"/>
  <c r="K2523" i="1"/>
  <c r="K2524" i="1"/>
  <c r="K2525" i="1"/>
  <c r="K2526" i="1"/>
  <c r="K2527" i="1"/>
  <c r="K2528" i="1"/>
  <c r="K2529" i="1"/>
  <c r="K2530" i="1"/>
  <c r="K2531" i="1"/>
  <c r="K2532" i="1"/>
  <c r="K2533" i="1"/>
  <c r="K2534" i="1"/>
  <c r="K2535" i="1"/>
  <c r="K2536" i="1"/>
  <c r="K2537" i="1"/>
  <c r="K2538" i="1"/>
  <c r="K2539" i="1"/>
  <c r="K2540" i="1"/>
  <c r="K2541" i="1"/>
  <c r="K2542" i="1"/>
  <c r="K2543" i="1"/>
  <c r="K2544" i="1"/>
  <c r="K2545" i="1"/>
  <c r="K2546" i="1"/>
  <c r="K2547" i="1"/>
  <c r="K2548" i="1"/>
  <c r="K2549" i="1"/>
  <c r="K2550" i="1"/>
  <c r="K2551" i="1"/>
  <c r="K2552" i="1"/>
  <c r="K2553" i="1"/>
  <c r="K2554" i="1"/>
  <c r="K2555" i="1"/>
  <c r="K2556" i="1"/>
  <c r="K2557" i="1"/>
  <c r="K2558" i="1"/>
  <c r="K2559" i="1"/>
  <c r="K2560" i="1"/>
  <c r="K2561" i="1"/>
  <c r="K2562" i="1"/>
  <c r="K2563" i="1"/>
  <c r="K2564" i="1"/>
  <c r="K2565" i="1"/>
  <c r="K2566" i="1"/>
  <c r="K2567" i="1"/>
  <c r="K2568" i="1"/>
  <c r="K2569" i="1"/>
  <c r="K2570" i="1"/>
  <c r="K2571" i="1"/>
  <c r="K2572" i="1"/>
  <c r="K2573" i="1"/>
  <c r="K2574" i="1"/>
  <c r="K2575" i="1"/>
  <c r="K2576" i="1"/>
  <c r="K2577" i="1"/>
  <c r="K2578" i="1"/>
  <c r="K2579" i="1"/>
  <c r="K2580" i="1"/>
  <c r="K2581" i="1"/>
  <c r="K2582" i="1"/>
  <c r="K2583" i="1"/>
  <c r="K2584" i="1"/>
  <c r="K2585" i="1"/>
  <c r="K2586" i="1"/>
  <c r="K2587" i="1"/>
  <c r="K2588" i="1"/>
  <c r="K2589" i="1"/>
  <c r="K2590" i="1"/>
  <c r="K2591" i="1"/>
  <c r="K2592" i="1"/>
  <c r="K2593" i="1"/>
  <c r="K2594" i="1"/>
  <c r="K2595" i="1"/>
  <c r="K2596" i="1"/>
  <c r="K2597" i="1"/>
  <c r="K2598" i="1"/>
  <c r="K2599" i="1"/>
  <c r="K2600" i="1"/>
  <c r="K2601" i="1"/>
  <c r="K2602" i="1"/>
  <c r="K2603" i="1"/>
  <c r="K2604" i="1"/>
  <c r="K2605" i="1"/>
  <c r="K2606" i="1"/>
  <c r="K2607" i="1"/>
  <c r="K2608" i="1"/>
  <c r="K2609" i="1"/>
  <c r="K2610" i="1"/>
  <c r="K2611" i="1"/>
  <c r="K2612" i="1"/>
  <c r="K2613" i="1"/>
  <c r="K2614" i="1"/>
  <c r="K2615" i="1"/>
  <c r="K2616" i="1"/>
  <c r="K2617" i="1"/>
  <c r="K2618" i="1"/>
  <c r="K2619" i="1"/>
  <c r="K2620" i="1"/>
  <c r="K2621" i="1"/>
  <c r="K2622" i="1"/>
  <c r="K2623" i="1"/>
  <c r="K2624" i="1"/>
  <c r="K2625" i="1"/>
  <c r="K2626" i="1"/>
  <c r="K2627" i="1"/>
  <c r="K2628" i="1"/>
  <c r="K2629" i="1"/>
  <c r="K2630" i="1"/>
  <c r="K2631" i="1"/>
  <c r="K2632" i="1"/>
  <c r="K2633" i="1"/>
  <c r="K2634" i="1"/>
  <c r="K2635" i="1"/>
  <c r="K2636" i="1"/>
  <c r="K2637" i="1"/>
  <c r="K2638" i="1"/>
  <c r="K2639" i="1"/>
  <c r="K2640" i="1"/>
  <c r="K2641" i="1"/>
  <c r="K2642" i="1"/>
  <c r="K2643" i="1"/>
  <c r="K2644" i="1"/>
  <c r="K2645" i="1"/>
  <c r="K2646" i="1"/>
  <c r="K2647" i="1"/>
  <c r="K2648" i="1"/>
  <c r="K2649" i="1"/>
  <c r="K2650" i="1"/>
  <c r="K2651" i="1"/>
  <c r="K2652" i="1"/>
  <c r="K2653" i="1"/>
  <c r="K2654" i="1"/>
  <c r="K2655" i="1"/>
  <c r="K2656" i="1"/>
  <c r="K2657" i="1"/>
  <c r="K2658" i="1"/>
  <c r="K2659" i="1"/>
  <c r="K2660" i="1"/>
  <c r="K2661" i="1"/>
  <c r="K2662" i="1"/>
  <c r="K2663" i="1"/>
  <c r="K2664" i="1"/>
  <c r="K2665" i="1"/>
  <c r="K2666" i="1"/>
  <c r="K2667" i="1"/>
  <c r="K2668" i="1"/>
  <c r="K2669" i="1"/>
  <c r="K2670" i="1"/>
  <c r="K2671" i="1"/>
  <c r="K2672" i="1"/>
  <c r="K2673" i="1"/>
  <c r="K2674" i="1"/>
  <c r="K2675" i="1"/>
  <c r="K2676" i="1"/>
  <c r="K2677" i="1"/>
  <c r="K2678" i="1"/>
  <c r="K2679" i="1"/>
  <c r="K2680" i="1"/>
  <c r="K2681" i="1"/>
  <c r="K2682" i="1"/>
  <c r="K2683" i="1"/>
  <c r="K2684" i="1"/>
  <c r="K2685" i="1"/>
  <c r="K2686" i="1"/>
  <c r="K2687" i="1"/>
  <c r="K2688" i="1"/>
  <c r="K2689" i="1"/>
  <c r="K2690" i="1"/>
  <c r="K2691" i="1"/>
  <c r="K2692" i="1"/>
  <c r="K2693" i="1"/>
  <c r="K2694" i="1"/>
  <c r="K2695" i="1"/>
  <c r="K2696" i="1"/>
  <c r="K2697" i="1"/>
  <c r="K2698" i="1"/>
  <c r="K2699" i="1"/>
  <c r="K2700" i="1"/>
  <c r="K2701" i="1"/>
  <c r="K2702" i="1"/>
  <c r="K2703" i="1"/>
  <c r="K2704" i="1"/>
  <c r="K2705" i="1"/>
  <c r="K2706" i="1"/>
  <c r="K2707" i="1"/>
  <c r="K2708" i="1"/>
  <c r="K2709" i="1"/>
  <c r="K2710" i="1"/>
  <c r="K2711" i="1"/>
  <c r="K2712" i="1"/>
  <c r="K2713" i="1"/>
  <c r="K2714" i="1"/>
  <c r="K2715" i="1"/>
  <c r="K2716" i="1"/>
  <c r="K2717" i="1"/>
  <c r="K2718" i="1"/>
  <c r="K2719" i="1"/>
  <c r="K2720" i="1"/>
  <c r="K2721" i="1"/>
  <c r="K2722" i="1"/>
  <c r="K2723" i="1"/>
  <c r="K2724" i="1"/>
  <c r="K2725" i="1"/>
  <c r="K2726" i="1"/>
  <c r="K2727" i="1"/>
  <c r="K2728" i="1"/>
  <c r="K2729" i="1"/>
  <c r="K2730" i="1"/>
  <c r="K2731" i="1"/>
  <c r="K2732" i="1"/>
  <c r="K2733" i="1"/>
  <c r="K2734" i="1"/>
  <c r="K2735" i="1"/>
  <c r="K2736" i="1"/>
  <c r="K2737" i="1"/>
  <c r="K2738" i="1"/>
  <c r="K2739" i="1"/>
  <c r="K2740" i="1"/>
  <c r="K2741" i="1"/>
  <c r="K2742" i="1"/>
  <c r="K2743" i="1"/>
  <c r="K2744" i="1"/>
  <c r="K2745" i="1"/>
  <c r="K2746" i="1"/>
  <c r="K2747" i="1"/>
  <c r="K2748" i="1"/>
  <c r="K2749" i="1"/>
  <c r="K2750" i="1"/>
  <c r="K2751" i="1"/>
  <c r="K2752" i="1"/>
  <c r="K2753" i="1"/>
  <c r="K2754" i="1"/>
  <c r="K2755" i="1"/>
  <c r="K2756" i="1"/>
  <c r="K2757" i="1"/>
  <c r="K2758" i="1"/>
  <c r="K2759" i="1"/>
  <c r="K2760" i="1"/>
  <c r="K2761" i="1"/>
  <c r="K2762" i="1"/>
  <c r="K2763" i="1"/>
  <c r="K2764" i="1"/>
  <c r="K2765" i="1"/>
  <c r="K2766" i="1"/>
  <c r="K2767" i="1"/>
  <c r="K2768" i="1"/>
  <c r="K2769" i="1"/>
  <c r="K2770" i="1"/>
  <c r="K2771" i="1"/>
  <c r="K2772" i="1"/>
  <c r="K2773" i="1"/>
  <c r="K2774" i="1"/>
  <c r="K2775" i="1"/>
  <c r="K2776" i="1"/>
  <c r="K2777" i="1"/>
  <c r="K2778" i="1"/>
  <c r="K2779" i="1"/>
  <c r="K2780" i="1"/>
  <c r="K2781" i="1"/>
  <c r="K2782" i="1"/>
  <c r="K2783" i="1"/>
  <c r="K2784" i="1"/>
  <c r="K2785" i="1"/>
  <c r="K2786" i="1"/>
  <c r="K2787" i="1"/>
  <c r="K2788" i="1"/>
  <c r="K2789" i="1"/>
  <c r="K2790" i="1"/>
  <c r="K2791" i="1"/>
  <c r="K2792" i="1"/>
  <c r="K2793" i="1"/>
  <c r="K2794" i="1"/>
  <c r="K2795" i="1"/>
  <c r="K2796" i="1"/>
  <c r="K2797" i="1"/>
  <c r="K2798" i="1"/>
  <c r="K2799" i="1"/>
  <c r="K2800" i="1"/>
  <c r="K2801" i="1"/>
  <c r="K2802" i="1"/>
  <c r="K2803" i="1"/>
  <c r="K2804" i="1"/>
  <c r="K2805" i="1"/>
  <c r="K2806" i="1"/>
  <c r="K2807" i="1"/>
  <c r="K2808" i="1"/>
  <c r="K2809" i="1"/>
  <c r="K2810" i="1"/>
  <c r="K2811" i="1"/>
  <c r="K2812" i="1"/>
  <c r="K2813" i="1"/>
  <c r="K2814" i="1"/>
  <c r="K2815" i="1"/>
  <c r="K2816" i="1"/>
  <c r="K2817" i="1"/>
  <c r="K2818" i="1"/>
  <c r="K2819" i="1"/>
  <c r="K2820" i="1"/>
  <c r="K2821" i="1"/>
  <c r="K2822" i="1"/>
  <c r="K2823" i="1"/>
  <c r="K2824" i="1"/>
  <c r="K2825" i="1"/>
  <c r="K2826" i="1"/>
  <c r="K2827" i="1"/>
  <c r="K2828" i="1"/>
  <c r="K2829" i="1"/>
  <c r="K2830" i="1"/>
  <c r="K2831" i="1"/>
  <c r="K2832" i="1"/>
  <c r="K2833" i="1"/>
  <c r="K2834" i="1"/>
  <c r="K2835" i="1"/>
  <c r="K2836" i="1"/>
  <c r="K2837" i="1"/>
  <c r="K2838" i="1"/>
  <c r="K2839" i="1"/>
  <c r="K2840" i="1"/>
  <c r="K2841" i="1"/>
  <c r="K2842" i="1"/>
  <c r="K2843" i="1"/>
  <c r="K2844" i="1"/>
  <c r="K2845" i="1"/>
  <c r="K2846" i="1"/>
  <c r="K2847" i="1"/>
  <c r="K2848" i="1"/>
  <c r="K2849" i="1"/>
  <c r="K2850" i="1"/>
  <c r="K2851" i="1"/>
  <c r="K2852" i="1"/>
  <c r="K2853" i="1"/>
  <c r="K2854" i="1"/>
  <c r="K2855" i="1"/>
  <c r="K2856" i="1"/>
  <c r="K2857" i="1"/>
  <c r="K2858" i="1"/>
  <c r="K2859" i="1"/>
  <c r="K2860" i="1"/>
  <c r="K2861" i="1"/>
  <c r="K2862" i="1"/>
  <c r="K2863" i="1"/>
  <c r="K2864" i="1"/>
  <c r="K2865" i="1"/>
  <c r="K2866" i="1"/>
  <c r="K2867" i="1"/>
  <c r="K2868" i="1"/>
  <c r="K2869" i="1"/>
  <c r="K2870" i="1"/>
  <c r="K2871" i="1"/>
  <c r="K2872" i="1"/>
  <c r="K2873" i="1"/>
  <c r="K2874" i="1"/>
  <c r="K2875" i="1"/>
  <c r="K2876" i="1"/>
  <c r="K2877" i="1"/>
  <c r="K2878" i="1"/>
  <c r="K2879" i="1"/>
  <c r="K2880" i="1"/>
  <c r="K2881" i="1"/>
  <c r="K2882" i="1"/>
  <c r="K2883" i="1"/>
  <c r="K2884" i="1"/>
  <c r="K2885" i="1"/>
  <c r="K2886" i="1"/>
  <c r="K2887" i="1"/>
  <c r="K2888" i="1"/>
  <c r="K2889" i="1"/>
  <c r="K2890" i="1"/>
  <c r="K2891" i="1"/>
  <c r="K2892" i="1"/>
  <c r="K2893" i="1"/>
  <c r="K2894" i="1"/>
  <c r="K2895" i="1"/>
  <c r="K2896" i="1"/>
  <c r="K2897" i="1"/>
  <c r="K2898" i="1"/>
  <c r="K2899" i="1"/>
  <c r="K2900" i="1"/>
  <c r="K2901" i="1"/>
  <c r="K2902" i="1"/>
  <c r="K2903" i="1"/>
  <c r="K2904" i="1"/>
  <c r="K2905" i="1"/>
  <c r="K2906" i="1"/>
  <c r="K2907" i="1"/>
  <c r="K2908" i="1"/>
  <c r="K2909" i="1"/>
  <c r="K2910" i="1"/>
  <c r="K2911" i="1"/>
  <c r="K2912" i="1"/>
  <c r="K2913" i="1"/>
  <c r="K2914" i="1"/>
  <c r="K2915" i="1"/>
  <c r="K2916" i="1"/>
  <c r="K2917" i="1"/>
  <c r="K2918" i="1"/>
  <c r="K2919" i="1"/>
  <c r="K2920" i="1"/>
  <c r="K2921" i="1"/>
  <c r="K2922" i="1"/>
  <c r="K2923" i="1"/>
  <c r="K2924" i="1"/>
  <c r="K2925" i="1"/>
  <c r="K2926" i="1"/>
  <c r="K2927" i="1"/>
  <c r="K2928" i="1"/>
  <c r="K2929" i="1"/>
  <c r="K2930" i="1"/>
  <c r="K2931" i="1"/>
  <c r="K2932" i="1"/>
  <c r="K2933" i="1"/>
  <c r="K2934" i="1"/>
  <c r="K2935" i="1"/>
  <c r="K2936" i="1"/>
  <c r="K2937" i="1"/>
  <c r="K2938" i="1"/>
  <c r="K2939" i="1"/>
  <c r="K2940" i="1"/>
  <c r="K2941" i="1"/>
  <c r="K2942" i="1"/>
  <c r="K2943" i="1"/>
  <c r="K2944" i="1"/>
  <c r="K2945" i="1"/>
  <c r="K2946" i="1"/>
  <c r="K2947" i="1"/>
  <c r="K2948" i="1"/>
  <c r="K2949" i="1"/>
  <c r="K2950" i="1"/>
  <c r="K2951" i="1"/>
  <c r="K2952" i="1"/>
  <c r="K2953" i="1"/>
  <c r="K2954" i="1"/>
  <c r="K2955" i="1"/>
  <c r="K2956" i="1"/>
  <c r="K2957" i="1"/>
  <c r="K2958" i="1"/>
  <c r="K2959" i="1"/>
  <c r="K2960" i="1"/>
  <c r="K2961" i="1"/>
  <c r="K2962" i="1"/>
  <c r="K2963" i="1"/>
  <c r="K2964" i="1"/>
  <c r="K2965" i="1"/>
  <c r="K2966" i="1"/>
  <c r="K2967" i="1"/>
  <c r="K2968" i="1"/>
  <c r="K2969" i="1"/>
  <c r="K2970" i="1"/>
  <c r="K2971" i="1"/>
  <c r="K2972" i="1"/>
  <c r="K2973" i="1"/>
  <c r="K2974" i="1"/>
  <c r="K2975" i="1"/>
  <c r="K2976" i="1"/>
  <c r="K2977" i="1"/>
  <c r="K2978" i="1"/>
  <c r="K2979" i="1"/>
  <c r="K2980" i="1"/>
  <c r="K2981" i="1"/>
  <c r="K2982" i="1"/>
  <c r="K2983" i="1"/>
  <c r="K2984" i="1"/>
  <c r="K2985" i="1"/>
  <c r="K2986" i="1"/>
  <c r="K2987" i="1"/>
  <c r="K2988" i="1"/>
  <c r="K2989" i="1"/>
  <c r="K2990" i="1"/>
  <c r="K2991" i="1"/>
  <c r="K2992" i="1"/>
  <c r="K2993" i="1"/>
  <c r="K2994" i="1"/>
  <c r="K2995" i="1"/>
  <c r="K2996" i="1"/>
  <c r="K2997" i="1"/>
  <c r="K2998" i="1"/>
  <c r="K2999" i="1"/>
  <c r="K3000" i="1"/>
  <c r="K3001" i="1"/>
</calcChain>
</file>

<file path=xl/sharedStrings.xml><?xml version="1.0" encoding="utf-8"?>
<sst xmlns="http://schemas.openxmlformats.org/spreadsheetml/2006/main" count="18066" uniqueCount="4330">
  <si>
    <t>Order_ID</t>
  </si>
  <si>
    <t>Order_Date</t>
  </si>
  <si>
    <t>Customer_Name</t>
  </si>
  <si>
    <t>Region</t>
  </si>
  <si>
    <t>Category</t>
  </si>
  <si>
    <t>Sub_Category</t>
  </si>
  <si>
    <t>Product_Name</t>
  </si>
  <si>
    <t>Sales</t>
  </si>
  <si>
    <t>Profit</t>
  </si>
  <si>
    <t>Discount</t>
  </si>
  <si>
    <t>O00001</t>
  </si>
  <si>
    <t>Customer_693</t>
  </si>
  <si>
    <t>West</t>
  </si>
  <si>
    <t>Office Supplies</t>
  </si>
  <si>
    <t>Binders</t>
  </si>
  <si>
    <t>Product_303</t>
  </si>
  <si>
    <t>O00002</t>
  </si>
  <si>
    <t>Customer_575</t>
  </si>
  <si>
    <t>East</t>
  </si>
  <si>
    <t>Technology</t>
  </si>
  <si>
    <t>Phones</t>
  </si>
  <si>
    <t>Product_367</t>
  </si>
  <si>
    <t>O00003</t>
  </si>
  <si>
    <t>Customer_778</t>
  </si>
  <si>
    <t>Storage</t>
  </si>
  <si>
    <t>Product_358</t>
  </si>
  <si>
    <t>O00004</t>
  </si>
  <si>
    <t>Customer_95</t>
  </si>
  <si>
    <t>South</t>
  </si>
  <si>
    <t>Accessories</t>
  </si>
  <si>
    <t>Product_50</t>
  </si>
  <si>
    <t>O00005</t>
  </si>
  <si>
    <t>Customer_128</t>
  </si>
  <si>
    <t>Product_41</t>
  </si>
  <si>
    <t>O00006</t>
  </si>
  <si>
    <t>Customer_197</t>
  </si>
  <si>
    <t>Paper</t>
  </si>
  <si>
    <t>Product_24</t>
  </si>
  <si>
    <t>O00007</t>
  </si>
  <si>
    <t>Customer_390</t>
  </si>
  <si>
    <t>Central</t>
  </si>
  <si>
    <t>Product_233</t>
  </si>
  <si>
    <t>O00008</t>
  </si>
  <si>
    <t>Customer_700</t>
  </si>
  <si>
    <t>Product_312</t>
  </si>
  <si>
    <t>O00009</t>
  </si>
  <si>
    <t>Customer_656</t>
  </si>
  <si>
    <t>Product_351</t>
  </si>
  <si>
    <t>O00010</t>
  </si>
  <si>
    <t>Customer_68</t>
  </si>
  <si>
    <t>Product_468</t>
  </si>
  <si>
    <t>O00011</t>
  </si>
  <si>
    <t>Customer_470</t>
  </si>
  <si>
    <t>Product_136</t>
  </si>
  <si>
    <t>O00012</t>
  </si>
  <si>
    <t>Customer_598</t>
  </si>
  <si>
    <t>Furniture</t>
  </si>
  <si>
    <t>Chairs</t>
  </si>
  <si>
    <t>Product_186</t>
  </si>
  <si>
    <t>O00013</t>
  </si>
  <si>
    <t>Customer_157</t>
  </si>
  <si>
    <t>Product_406</t>
  </si>
  <si>
    <t>O00014</t>
  </si>
  <si>
    <t>Customer_542</t>
  </si>
  <si>
    <t>Product_498</t>
  </si>
  <si>
    <t>O00015</t>
  </si>
  <si>
    <t>Customer_788</t>
  </si>
  <si>
    <t>Product_58</t>
  </si>
  <si>
    <t>O00016</t>
  </si>
  <si>
    <t>Customer_513</t>
  </si>
  <si>
    <t>Product_260</t>
  </si>
  <si>
    <t>O00017</t>
  </si>
  <si>
    <t>Customer_383</t>
  </si>
  <si>
    <t>Bookcases</t>
  </si>
  <si>
    <t>Product_277</t>
  </si>
  <si>
    <t>O00018</t>
  </si>
  <si>
    <t>Customer_315</t>
  </si>
  <si>
    <t>Product_30</t>
  </si>
  <si>
    <t>O00019</t>
  </si>
  <si>
    <t>Customer_779</t>
  </si>
  <si>
    <t>Product_66</t>
  </si>
  <si>
    <t>O00020</t>
  </si>
  <si>
    <t>Customer_434</t>
  </si>
  <si>
    <t>Product_476</t>
  </si>
  <si>
    <t>O00021</t>
  </si>
  <si>
    <t>Customer_666</t>
  </si>
  <si>
    <t>Product_225</t>
  </si>
  <si>
    <t>O00022</t>
  </si>
  <si>
    <t>Customer_568</t>
  </si>
  <si>
    <t>Product_302</t>
  </si>
  <si>
    <t>O00023</t>
  </si>
  <si>
    <t>Customer_339</t>
  </si>
  <si>
    <t>Product_264</t>
  </si>
  <si>
    <t>O00024</t>
  </si>
  <si>
    <t>Customer_591</t>
  </si>
  <si>
    <t>Tables</t>
  </si>
  <si>
    <t>Product_125</t>
  </si>
  <si>
    <t>O00025</t>
  </si>
  <si>
    <t>Customer_421</t>
  </si>
  <si>
    <t>Product_443</t>
  </si>
  <si>
    <t>O00026</t>
  </si>
  <si>
    <t>Customer_746</t>
  </si>
  <si>
    <t>Product_410</t>
  </si>
  <si>
    <t>O00027</t>
  </si>
  <si>
    <t>Customer_286</t>
  </si>
  <si>
    <t>Product_128</t>
  </si>
  <si>
    <t>O00028</t>
  </si>
  <si>
    <t>Customer_554</t>
  </si>
  <si>
    <t>Product_497</t>
  </si>
  <si>
    <t>O00029</t>
  </si>
  <si>
    <t>Customer_61</t>
  </si>
  <si>
    <t>Product_195</t>
  </si>
  <si>
    <t>O00030</t>
  </si>
  <si>
    <t>Customer_714</t>
  </si>
  <si>
    <t>Product_80</t>
  </si>
  <si>
    <t>O00031</t>
  </si>
  <si>
    <t>Customer_766</t>
  </si>
  <si>
    <t>O00032</t>
  </si>
  <si>
    <t>Customer_521</t>
  </si>
  <si>
    <t>Product_436</t>
  </si>
  <si>
    <t>O00033</t>
  </si>
  <si>
    <t>Customer_584</t>
  </si>
  <si>
    <t>Product_297</t>
  </si>
  <si>
    <t>O00034</t>
  </si>
  <si>
    <t>Customer_324</t>
  </si>
  <si>
    <t>Product_105</t>
  </si>
  <si>
    <t>O00035</t>
  </si>
  <si>
    <t>Customer_308</t>
  </si>
  <si>
    <t>Product_162</t>
  </si>
  <si>
    <t>O00036</t>
  </si>
  <si>
    <t>Customer_551</t>
  </si>
  <si>
    <t>O00037</t>
  </si>
  <si>
    <t>Customer_292</t>
  </si>
  <si>
    <t>O00038</t>
  </si>
  <si>
    <t>Customer_9</t>
  </si>
  <si>
    <t>Product_478</t>
  </si>
  <si>
    <t>O00039</t>
  </si>
  <si>
    <t>Customer_761</t>
  </si>
  <si>
    <t>Product_140</t>
  </si>
  <si>
    <t>O00040</t>
  </si>
  <si>
    <t>Customer_518</t>
  </si>
  <si>
    <t>Copiers</t>
  </si>
  <si>
    <t>Product_129</t>
  </si>
  <si>
    <t>O00041</t>
  </si>
  <si>
    <t>Customer_790</t>
  </si>
  <si>
    <t>Product_327</t>
  </si>
  <si>
    <t>O00042</t>
  </si>
  <si>
    <t>Customer_115</t>
  </si>
  <si>
    <t>Product_484</t>
  </si>
  <si>
    <t>O00043</t>
  </si>
  <si>
    <t>Customer_441</t>
  </si>
  <si>
    <t>Product_22</t>
  </si>
  <si>
    <t>O00044</t>
  </si>
  <si>
    <t>Customer_216</t>
  </si>
  <si>
    <t>Product_342</t>
  </si>
  <si>
    <t>O00045</t>
  </si>
  <si>
    <t>Customer_768</t>
  </si>
  <si>
    <t>Product_474</t>
  </si>
  <si>
    <t>O00046</t>
  </si>
  <si>
    <t>Customer_184</t>
  </si>
  <si>
    <t>Product_401</t>
  </si>
  <si>
    <t>O00047</t>
  </si>
  <si>
    <t>Customer_111</t>
  </si>
  <si>
    <t>Product_447</t>
  </si>
  <si>
    <t>O00048</t>
  </si>
  <si>
    <t>Customer_234</t>
  </si>
  <si>
    <t>Product_13</t>
  </si>
  <si>
    <t>O00049</t>
  </si>
  <si>
    <t>Customer_360</t>
  </si>
  <si>
    <t>Product_348</t>
  </si>
  <si>
    <t>O00050</t>
  </si>
  <si>
    <t>Customer_595</t>
  </si>
  <si>
    <t>Product_20</t>
  </si>
  <si>
    <t>O00051</t>
  </si>
  <si>
    <t>Customer_524</t>
  </si>
  <si>
    <t>Product_198</t>
  </si>
  <si>
    <t>O00052</t>
  </si>
  <si>
    <t>Customer_704</t>
  </si>
  <si>
    <t>Product_187</t>
  </si>
  <si>
    <t>O00053</t>
  </si>
  <si>
    <t>O00054</t>
  </si>
  <si>
    <t>Product_341</t>
  </si>
  <si>
    <t>O00055</t>
  </si>
  <si>
    <t>Customer_562</t>
  </si>
  <si>
    <t>Product_156</t>
  </si>
  <si>
    <t>O00056</t>
  </si>
  <si>
    <t>Customer_453</t>
  </si>
  <si>
    <t>Product_346</t>
  </si>
  <si>
    <t>O00057</t>
  </si>
  <si>
    <t>Customer_675</t>
  </si>
  <si>
    <t>Product_146</t>
  </si>
  <si>
    <t>O00058</t>
  </si>
  <si>
    <t>Customer_689</t>
  </si>
  <si>
    <t>Product_116</t>
  </si>
  <si>
    <t>O00059</t>
  </si>
  <si>
    <t>Customer_467</t>
  </si>
  <si>
    <t>Product_454</t>
  </si>
  <si>
    <t>O00060</t>
  </si>
  <si>
    <t>Customer_152</t>
  </si>
  <si>
    <t>Product_458</t>
  </si>
  <si>
    <t>O00061</t>
  </si>
  <si>
    <t>Customer_52</t>
  </si>
  <si>
    <t>Product_470</t>
  </si>
  <si>
    <t>O00062</t>
  </si>
  <si>
    <t>Customer_610</t>
  </si>
  <si>
    <t>Product_487</t>
  </si>
  <si>
    <t>O00063</t>
  </si>
  <si>
    <t>Customer_457</t>
  </si>
  <si>
    <t>Product_381</t>
  </si>
  <si>
    <t>O00064</t>
  </si>
  <si>
    <t>Customer_497</t>
  </si>
  <si>
    <t>Product_141</t>
  </si>
  <si>
    <t>O00065</t>
  </si>
  <si>
    <t>Customer_83</t>
  </si>
  <si>
    <t>Product_78</t>
  </si>
  <si>
    <t>O00066</t>
  </si>
  <si>
    <t>Product_213</t>
  </si>
  <si>
    <t>O00067</t>
  </si>
  <si>
    <t>Customer_21</t>
  </si>
  <si>
    <t>Product_245</t>
  </si>
  <si>
    <t>O00068</t>
  </si>
  <si>
    <t>Customer_552</t>
  </si>
  <si>
    <t>Product_250</t>
  </si>
  <si>
    <t>O00069</t>
  </si>
  <si>
    <t>Customer_415</t>
  </si>
  <si>
    <t>Product_431</t>
  </si>
  <si>
    <t>O00070</t>
  </si>
  <si>
    <t>Customer_578</t>
  </si>
  <si>
    <t>Product_43</t>
  </si>
  <si>
    <t>O00071</t>
  </si>
  <si>
    <t>Customer_336</t>
  </si>
  <si>
    <t>O00072</t>
  </si>
  <si>
    <t>Customer_259</t>
  </si>
  <si>
    <t>Product_241</t>
  </si>
  <si>
    <t>O00073</t>
  </si>
  <si>
    <t>Customer_71</t>
  </si>
  <si>
    <t>Product_387</t>
  </si>
  <si>
    <t>O00074</t>
  </si>
  <si>
    <t>Customer_485</t>
  </si>
  <si>
    <t>Product_289</t>
  </si>
  <si>
    <t>O00075</t>
  </si>
  <si>
    <t>Product_399</t>
  </si>
  <si>
    <t>O00076</t>
  </si>
  <si>
    <t>Customer_385</t>
  </si>
  <si>
    <t>Product_483</t>
  </si>
  <si>
    <t>O00077</t>
  </si>
  <si>
    <t>O00078</t>
  </si>
  <si>
    <t>Customer_356</t>
  </si>
  <si>
    <t>Product_339</t>
  </si>
  <si>
    <t>O00079</t>
  </si>
  <si>
    <t>Customer_109</t>
  </si>
  <si>
    <t>Product_492</t>
  </si>
  <si>
    <t>O00080</t>
  </si>
  <si>
    <t>Customer_752</t>
  </si>
  <si>
    <t>Product_316</t>
  </si>
  <si>
    <t>O00081</t>
  </si>
  <si>
    <t>Customer_252</t>
  </si>
  <si>
    <t>Product_143</t>
  </si>
  <si>
    <t>O00082</t>
  </si>
  <si>
    <t>Customer_30</t>
  </si>
  <si>
    <t>O00083</t>
  </si>
  <si>
    <t>Customer_611</t>
  </si>
  <si>
    <t>Product_285</t>
  </si>
  <si>
    <t>O00084</t>
  </si>
  <si>
    <t>Customer_569</t>
  </si>
  <si>
    <t>Product_354</t>
  </si>
  <si>
    <t>O00085</t>
  </si>
  <si>
    <t>Customer_227</t>
  </si>
  <si>
    <t>Product_355</t>
  </si>
  <si>
    <t>O00086</t>
  </si>
  <si>
    <t>Customer_436</t>
  </si>
  <si>
    <t>Product_181</t>
  </si>
  <si>
    <t>O00087</t>
  </si>
  <si>
    <t>O00088</t>
  </si>
  <si>
    <t>Product_52</t>
  </si>
  <si>
    <t>O00089</t>
  </si>
  <si>
    <t>Customer_130</t>
  </si>
  <si>
    <t>O00090</t>
  </si>
  <si>
    <t>Customer_106</t>
  </si>
  <si>
    <t>Product_294</t>
  </si>
  <si>
    <t>O00091</t>
  </si>
  <si>
    <t>Customer_490</t>
  </si>
  <si>
    <t>Product_421</t>
  </si>
  <si>
    <t>O00092</t>
  </si>
  <si>
    <t>Customer_153</t>
  </si>
  <si>
    <t>Product_44</t>
  </si>
  <si>
    <t>O00093</t>
  </si>
  <si>
    <t>Customer_232</t>
  </si>
  <si>
    <t>Product_231</t>
  </si>
  <si>
    <t>O00094</t>
  </si>
  <si>
    <t>Customer_62</t>
  </si>
  <si>
    <t>Product_486</t>
  </si>
  <si>
    <t>O00095</t>
  </si>
  <si>
    <t>Customer_566</t>
  </si>
  <si>
    <t>Product_81</t>
  </si>
  <si>
    <t>O00096</t>
  </si>
  <si>
    <t>Customer_296</t>
  </si>
  <si>
    <t>Product_360</t>
  </si>
  <si>
    <t>O00097</t>
  </si>
  <si>
    <t>Customer_604</t>
  </si>
  <si>
    <t>Product_218</t>
  </si>
  <si>
    <t>O00098</t>
  </si>
  <si>
    <t>Customer_74</t>
  </si>
  <si>
    <t>Product_85</t>
  </si>
  <si>
    <t>O00099</t>
  </si>
  <si>
    <t>Customer_480</t>
  </si>
  <si>
    <t>Product_359</t>
  </si>
  <si>
    <t>O00100</t>
  </si>
  <si>
    <t>Customer_443</t>
  </si>
  <si>
    <t>Product_310</t>
  </si>
  <si>
    <t>O00101</t>
  </si>
  <si>
    <t>Customer_602</t>
  </si>
  <si>
    <t>Product_392</t>
  </si>
  <si>
    <t>O00102</t>
  </si>
  <si>
    <t>Customer_668</t>
  </si>
  <si>
    <t>O00103</t>
  </si>
  <si>
    <t>Customer_482</t>
  </si>
  <si>
    <t>Product_210</t>
  </si>
  <si>
    <t>O00104</t>
  </si>
  <si>
    <t>Customer_508</t>
  </si>
  <si>
    <t>Product_340</t>
  </si>
  <si>
    <t>O00105</t>
  </si>
  <si>
    <t>Customer_792</t>
  </si>
  <si>
    <t>O00106</t>
  </si>
  <si>
    <t>Customer_531</t>
  </si>
  <si>
    <t>Product_319</t>
  </si>
  <si>
    <t>O00107</t>
  </si>
  <si>
    <t>Customer_295</t>
  </si>
  <si>
    <t>Product_451</t>
  </si>
  <si>
    <t>O00108</t>
  </si>
  <si>
    <t>Customer_727</t>
  </si>
  <si>
    <t>Product_160</t>
  </si>
  <si>
    <t>O00109</t>
  </si>
  <si>
    <t>Customer_473</t>
  </si>
  <si>
    <t>Product_332</t>
  </si>
  <si>
    <t>O00110</t>
  </si>
  <si>
    <t>Customer_495</t>
  </si>
  <si>
    <t>O00111</t>
  </si>
  <si>
    <t>Customer_72</t>
  </si>
  <si>
    <t>Product_396</t>
  </si>
  <si>
    <t>O00112</t>
  </si>
  <si>
    <t>Customer_744</t>
  </si>
  <si>
    <t>Product_429</t>
  </si>
  <si>
    <t>O00113</t>
  </si>
  <si>
    <t>Customer_496</t>
  </si>
  <si>
    <t>Product_171</t>
  </si>
  <si>
    <t>O00114</t>
  </si>
  <si>
    <t>Customer_245</t>
  </si>
  <si>
    <t>Product_120</t>
  </si>
  <si>
    <t>O00115</t>
  </si>
  <si>
    <t>Customer_396</t>
  </si>
  <si>
    <t>Product_254</t>
  </si>
  <si>
    <t>O00116</t>
  </si>
  <si>
    <t>Customer_103</t>
  </si>
  <si>
    <t>Product_8</t>
  </si>
  <si>
    <t>O00117</t>
  </si>
  <si>
    <t>Customer_272</t>
  </si>
  <si>
    <t>Product_320</t>
  </si>
  <si>
    <t>O00118</t>
  </si>
  <si>
    <t>Product_321</t>
  </si>
  <si>
    <t>O00119</t>
  </si>
  <si>
    <t>Customer_701</t>
  </si>
  <si>
    <t>Product_117</t>
  </si>
  <si>
    <t>O00120</t>
  </si>
  <si>
    <t>Customer_455</t>
  </si>
  <si>
    <t>Product_356</t>
  </si>
  <si>
    <t>O00121</t>
  </si>
  <si>
    <t>Customer_442</t>
  </si>
  <si>
    <t>Product_126</t>
  </si>
  <si>
    <t>O00122</t>
  </si>
  <si>
    <t>Customer_625</t>
  </si>
  <si>
    <t>Product_318</t>
  </si>
  <si>
    <t>O00123</t>
  </si>
  <si>
    <t>Customer_261</t>
  </si>
  <si>
    <t>Product_131</t>
  </si>
  <si>
    <t>O00124</t>
  </si>
  <si>
    <t>Customer_162</t>
  </si>
  <si>
    <t>Product_227</t>
  </si>
  <si>
    <t>O00125</t>
  </si>
  <si>
    <t>Customer_310</t>
  </si>
  <si>
    <t>Product_197</t>
  </si>
  <si>
    <t>O00126</t>
  </si>
  <si>
    <t>Customer_303</t>
  </si>
  <si>
    <t>Product_425</t>
  </si>
  <si>
    <t>O00127</t>
  </si>
  <si>
    <t>Customer_621</t>
  </si>
  <si>
    <t>Product_427</t>
  </si>
  <si>
    <t>O00128</t>
  </si>
  <si>
    <t>Customer_257</t>
  </si>
  <si>
    <t>Product_322</t>
  </si>
  <si>
    <t>O00129</t>
  </si>
  <si>
    <t>Customer_374</t>
  </si>
  <si>
    <t>Product_47</t>
  </si>
  <si>
    <t>O00130</t>
  </si>
  <si>
    <t>Customer_375</t>
  </si>
  <si>
    <t>Product_426</t>
  </si>
  <si>
    <t>O00131</t>
  </si>
  <si>
    <t>Customer_765</t>
  </si>
  <si>
    <t>Product_412</t>
  </si>
  <si>
    <t>O00132</t>
  </si>
  <si>
    <t>Customer_742</t>
  </si>
  <si>
    <t>Product_496</t>
  </si>
  <si>
    <t>O00133</t>
  </si>
  <si>
    <t>Customer_466</t>
  </si>
  <si>
    <t>Product_345</t>
  </si>
  <si>
    <t>O00134</t>
  </si>
  <si>
    <t>Product_242</t>
  </si>
  <si>
    <t>O00135</t>
  </si>
  <si>
    <t>Customer_664</t>
  </si>
  <si>
    <t>Product_326</t>
  </si>
  <si>
    <t>O00136</t>
  </si>
  <si>
    <t>Customer_312</t>
  </si>
  <si>
    <t>Product_60</t>
  </si>
  <si>
    <t>O00137</t>
  </si>
  <si>
    <t>Product_301</t>
  </si>
  <si>
    <t>O00138</t>
  </si>
  <si>
    <t>Customer_631</t>
  </si>
  <si>
    <t>Product_481</t>
  </si>
  <si>
    <t>O00139</t>
  </si>
  <si>
    <t>Customer_372</t>
  </si>
  <si>
    <t>Product_352</t>
  </si>
  <si>
    <t>O00140</t>
  </si>
  <si>
    <t>Customer_195</t>
  </si>
  <si>
    <t>O00141</t>
  </si>
  <si>
    <t>O00142</t>
  </si>
  <si>
    <t>Customer_222</t>
  </si>
  <si>
    <t>Product_169</t>
  </si>
  <si>
    <t>O00143</t>
  </si>
  <si>
    <t>Product_409</t>
  </si>
  <si>
    <t>O00144</t>
  </si>
  <si>
    <t>Customer_603</t>
  </si>
  <si>
    <t>Product_9</t>
  </si>
  <si>
    <t>O00145</t>
  </si>
  <si>
    <t>Customer_488</t>
  </si>
  <si>
    <t>O00146</t>
  </si>
  <si>
    <t>Customer_45</t>
  </si>
  <si>
    <t>Product_235</t>
  </si>
  <si>
    <t>O00147</t>
  </si>
  <si>
    <t>Product_365</t>
  </si>
  <si>
    <t>O00148</t>
  </si>
  <si>
    <t>Customer_282</t>
  </si>
  <si>
    <t>Product_196</t>
  </si>
  <si>
    <t>O00149</t>
  </si>
  <si>
    <t>Customer_118</t>
  </si>
  <si>
    <t>Product_221</t>
  </si>
  <si>
    <t>O00150</t>
  </si>
  <si>
    <t>Customer_321</t>
  </si>
  <si>
    <t>Product_161</t>
  </si>
  <si>
    <t>O00151</t>
  </si>
  <si>
    <t>Customer_94</t>
  </si>
  <si>
    <t>Product_48</t>
  </si>
  <si>
    <t>O00152</t>
  </si>
  <si>
    <t>Customer_601</t>
  </si>
  <si>
    <t>Product_344</t>
  </si>
  <si>
    <t>O00153</t>
  </si>
  <si>
    <t>O00154</t>
  </si>
  <si>
    <t>Customer_359</t>
  </si>
  <si>
    <t>Product_59</t>
  </si>
  <si>
    <t>O00155</t>
  </si>
  <si>
    <t>Customer_629</t>
  </si>
  <si>
    <t>O00156</t>
  </si>
  <si>
    <t>Customer_348</t>
  </si>
  <si>
    <t>Product_4</t>
  </si>
  <si>
    <t>O00157</t>
  </si>
  <si>
    <t>Customer_32</t>
  </si>
  <si>
    <t>Product_383</t>
  </si>
  <si>
    <t>O00158</t>
  </si>
  <si>
    <t>Customer_739</t>
  </si>
  <si>
    <t>Product_398</t>
  </si>
  <si>
    <t>O00159</t>
  </si>
  <si>
    <t>Customer_51</t>
  </si>
  <si>
    <t>O00160</t>
  </si>
  <si>
    <t>Customer_774</t>
  </si>
  <si>
    <t>Product_177</t>
  </si>
  <si>
    <t>O00161</t>
  </si>
  <si>
    <t>Customer_316</t>
  </si>
  <si>
    <t>Product_113</t>
  </si>
  <si>
    <t>O00162</t>
  </si>
  <si>
    <t>Customer_783</t>
  </si>
  <si>
    <t>Product_149</t>
  </si>
  <si>
    <t>O00163</t>
  </si>
  <si>
    <t>Customer_546</t>
  </si>
  <si>
    <t>Product_257</t>
  </si>
  <si>
    <t>O00164</t>
  </si>
  <si>
    <t>Customer_447</t>
  </si>
  <si>
    <t>Product_236</t>
  </si>
  <si>
    <t>O00165</t>
  </si>
  <si>
    <t>Customer_297</t>
  </si>
  <si>
    <t>Product_208</t>
  </si>
  <si>
    <t>O00166</t>
  </si>
  <si>
    <t>Customer_371</t>
  </si>
  <si>
    <t>Product_224</t>
  </si>
  <si>
    <t>O00167</t>
  </si>
  <si>
    <t>Customer_764</t>
  </si>
  <si>
    <t>Product_114</t>
  </si>
  <si>
    <t>O00168</t>
  </si>
  <si>
    <t>Customer_795</t>
  </si>
  <si>
    <t>Product_180</t>
  </si>
  <si>
    <t>O00169</t>
  </si>
  <si>
    <t>Customer_178</t>
  </si>
  <si>
    <t>Product_390</t>
  </si>
  <si>
    <t>O00170</t>
  </si>
  <si>
    <t>Product_349</t>
  </si>
  <si>
    <t>O00171</t>
  </si>
  <si>
    <t>Product_226</t>
  </si>
  <si>
    <t>O00172</t>
  </si>
  <si>
    <t>Customer_361</t>
  </si>
  <si>
    <t>Product_159</t>
  </si>
  <si>
    <t>O00173</t>
  </si>
  <si>
    <t>Customer_93</t>
  </si>
  <si>
    <t>Product_237</t>
  </si>
  <si>
    <t>O00174</t>
  </si>
  <si>
    <t>Product_165</t>
  </si>
  <si>
    <t>O00175</t>
  </si>
  <si>
    <t>Customer_732</t>
  </si>
  <si>
    <t>Product_259</t>
  </si>
  <si>
    <t>O00176</t>
  </si>
  <si>
    <t>Customer_536</t>
  </si>
  <si>
    <t>O00177</t>
  </si>
  <si>
    <t>Customer_647</t>
  </si>
  <si>
    <t>Product_34</t>
  </si>
  <si>
    <t>O00178</t>
  </si>
  <si>
    <t>Customer_618</t>
  </si>
  <si>
    <t>O00179</t>
  </si>
  <si>
    <t>Customer_716</t>
  </si>
  <si>
    <t>Product_67</t>
  </si>
  <si>
    <t>O00180</t>
  </si>
  <si>
    <t>Customer_131</t>
  </si>
  <si>
    <t>Product_331</t>
  </si>
  <si>
    <t>O00181</t>
  </si>
  <si>
    <t>Customer_350</t>
  </si>
  <si>
    <t>Product_99</t>
  </si>
  <si>
    <t>O00182</t>
  </si>
  <si>
    <t>O00183</t>
  </si>
  <si>
    <t>Product_370</t>
  </si>
  <si>
    <t>O00184</t>
  </si>
  <si>
    <t>Customer_626</t>
  </si>
  <si>
    <t>Product_386</t>
  </si>
  <si>
    <t>O00185</t>
  </si>
  <si>
    <t>Customer_199</t>
  </si>
  <si>
    <t>O00186</t>
  </si>
  <si>
    <t>Customer_429</t>
  </si>
  <si>
    <t>Product_419</t>
  </si>
  <si>
    <t>O00187</t>
  </si>
  <si>
    <t>O00188</t>
  </si>
  <si>
    <t>Customer_151</t>
  </si>
  <si>
    <t>O00189</t>
  </si>
  <si>
    <t>Customer_515</t>
  </si>
  <si>
    <t>Product_121</t>
  </si>
  <si>
    <t>O00190</t>
  </si>
  <si>
    <t>Customer_344</t>
  </si>
  <si>
    <t>Product_71</t>
  </si>
  <si>
    <t>O00191</t>
  </si>
  <si>
    <t>Customer_481</t>
  </si>
  <si>
    <t>O00192</t>
  </si>
  <si>
    <t>Customer_541</t>
  </si>
  <si>
    <t>Product_57</t>
  </si>
  <si>
    <t>O00193</t>
  </si>
  <si>
    <t>Customer_469</t>
  </si>
  <si>
    <t>O00194</t>
  </si>
  <si>
    <t>Customer_299</t>
  </si>
  <si>
    <t>Product_1</t>
  </si>
  <si>
    <t>O00195</t>
  </si>
  <si>
    <t>Customer_537</t>
  </si>
  <si>
    <t>Product_35</t>
  </si>
  <si>
    <t>O00196</t>
  </si>
  <si>
    <t>O00197</t>
  </si>
  <si>
    <t>Customer_247</t>
  </si>
  <si>
    <t>O00198</t>
  </si>
  <si>
    <t>Customer_659</t>
  </si>
  <si>
    <t>O00199</t>
  </si>
  <si>
    <t>Customer_65</t>
  </si>
  <si>
    <t>Product_19</t>
  </si>
  <si>
    <t>O00200</t>
  </si>
  <si>
    <t>Customer_528</t>
  </si>
  <si>
    <t>Product_418</t>
  </si>
  <si>
    <t>O00201</t>
  </si>
  <si>
    <t>Customer_800</t>
  </si>
  <si>
    <t>Product_444</t>
  </si>
  <si>
    <t>O00202</t>
  </si>
  <si>
    <t>Customer_762</t>
  </si>
  <si>
    <t>Product_459</t>
  </si>
  <si>
    <t>O00203</t>
  </si>
  <si>
    <t>Customer_274</t>
  </si>
  <si>
    <t>Product_373</t>
  </si>
  <si>
    <t>O00204</t>
  </si>
  <si>
    <t>Customer_329</t>
  </si>
  <si>
    <t>O00205</t>
  </si>
  <si>
    <t>Customer_707</t>
  </si>
  <si>
    <t>O00206</t>
  </si>
  <si>
    <t>Product_39</t>
  </si>
  <si>
    <t>O00207</t>
  </si>
  <si>
    <t>Product_435</t>
  </si>
  <si>
    <t>O00208</t>
  </si>
  <si>
    <t>Customer_376</t>
  </si>
  <si>
    <t>O00209</t>
  </si>
  <si>
    <t>O00210</t>
  </si>
  <si>
    <t>Customer_27</t>
  </si>
  <si>
    <t>Product_256</t>
  </si>
  <si>
    <t>O00211</t>
  </si>
  <si>
    <t>Product_314</t>
  </si>
  <si>
    <t>O00212</t>
  </si>
  <si>
    <t>Customer_463</t>
  </si>
  <si>
    <t>Product_461</t>
  </si>
  <si>
    <t>O00213</t>
  </si>
  <si>
    <t>Customer_684</t>
  </si>
  <si>
    <t>Product_364</t>
  </si>
  <si>
    <t>O00214</t>
  </si>
  <si>
    <t>Product_407</t>
  </si>
  <si>
    <t>O00215</t>
  </si>
  <si>
    <t>Customer_506</t>
  </si>
  <si>
    <t>Product_185</t>
  </si>
  <si>
    <t>O00216</t>
  </si>
  <si>
    <t>Customer_89</t>
  </si>
  <si>
    <t>O00217</t>
  </si>
  <si>
    <t>Customer_76</t>
  </si>
  <si>
    <t>O00218</t>
  </si>
  <si>
    <t>Customer_799</t>
  </si>
  <si>
    <t>Product_394</t>
  </si>
  <si>
    <t>O00219</t>
  </si>
  <si>
    <t>O00220</t>
  </si>
  <si>
    <t>Customer_291</t>
  </si>
  <si>
    <t>O00221</t>
  </si>
  <si>
    <t>Customer_547</t>
  </si>
  <si>
    <t>Product_258</t>
  </si>
  <si>
    <t>O00222</t>
  </si>
  <si>
    <t>Customer_738</t>
  </si>
  <si>
    <t>Product_432</t>
  </si>
  <si>
    <t>O00223</t>
  </si>
  <si>
    <t>Product_334</t>
  </si>
  <si>
    <t>O00224</t>
  </si>
  <si>
    <t>Customer_559</t>
  </si>
  <si>
    <t>Product_329</t>
  </si>
  <si>
    <t>O00225</t>
  </si>
  <si>
    <t>Customer_75</t>
  </si>
  <si>
    <t>O00226</t>
  </si>
  <si>
    <t>Customer_736</t>
  </si>
  <si>
    <t>Product_376</t>
  </si>
  <si>
    <t>O00227</t>
  </si>
  <si>
    <t>Customer_248</t>
  </si>
  <si>
    <t>Product_63</t>
  </si>
  <si>
    <t>O00228</t>
  </si>
  <si>
    <t>O00229</t>
  </si>
  <si>
    <t>Customer_511</t>
  </si>
  <si>
    <t>O00230</t>
  </si>
  <si>
    <t>Customer_221</t>
  </si>
  <si>
    <t>Product_25</t>
  </si>
  <si>
    <t>O00231</t>
  </si>
  <si>
    <t>Customer_293</t>
  </si>
  <si>
    <t>Product_434</t>
  </si>
  <si>
    <t>O00232</t>
  </si>
  <si>
    <t>Product_206</t>
  </si>
  <si>
    <t>O00233</t>
  </si>
  <si>
    <t>Customer_517</t>
  </si>
  <si>
    <t>O00234</t>
  </si>
  <si>
    <t>Customer_100</t>
  </si>
  <si>
    <t>Product_192</t>
  </si>
  <si>
    <t>O00235</t>
  </si>
  <si>
    <t>Customer_412</t>
  </si>
  <si>
    <t>O00236</t>
  </si>
  <si>
    <t>Product_168</t>
  </si>
  <si>
    <t>O00237</t>
  </si>
  <si>
    <t>Customer_608</t>
  </si>
  <si>
    <t>O00238</t>
  </si>
  <si>
    <t>Customer_378</t>
  </si>
  <si>
    <t>O00239</t>
  </si>
  <si>
    <t>Customer_645</t>
  </si>
  <si>
    <t>Product_306</t>
  </si>
  <si>
    <t>O00240</t>
  </si>
  <si>
    <t>Product_299</t>
  </si>
  <si>
    <t>O00241</t>
  </si>
  <si>
    <t>Product_17</t>
  </si>
  <si>
    <t>O00242</t>
  </si>
  <si>
    <t>Customer_423</t>
  </si>
  <si>
    <t>Product_211</t>
  </si>
  <si>
    <t>O00243</t>
  </si>
  <si>
    <t>Customer_723</t>
  </si>
  <si>
    <t>Product_266</t>
  </si>
  <si>
    <t>O00244</t>
  </si>
  <si>
    <t>O00245</t>
  </si>
  <si>
    <t>Product_313</t>
  </si>
  <si>
    <t>O00246</t>
  </si>
  <si>
    <t>Product_361</t>
  </si>
  <si>
    <t>O00247</t>
  </si>
  <si>
    <t>O00248</t>
  </si>
  <si>
    <t>Customer_298</t>
  </si>
  <si>
    <t>Product_148</t>
  </si>
  <si>
    <t>O00249</t>
  </si>
  <si>
    <t>Customer_220</t>
  </si>
  <si>
    <t>Product_424</t>
  </si>
  <si>
    <t>O00250</t>
  </si>
  <si>
    <t>Customer_759</t>
  </si>
  <si>
    <t>O00251</t>
  </si>
  <si>
    <t>Customer_424</t>
  </si>
  <si>
    <t>Product_368</t>
  </si>
  <si>
    <t>O00252</t>
  </si>
  <si>
    <t>Customer_417</t>
  </si>
  <si>
    <t>O00253</t>
  </si>
  <si>
    <t>O00254</t>
  </si>
  <si>
    <t>Customer_428</t>
  </si>
  <si>
    <t>Product_479</t>
  </si>
  <si>
    <t>O00255</t>
  </si>
  <si>
    <t>Customer_39</t>
  </si>
  <si>
    <t>Product_153</t>
  </si>
  <si>
    <t>O00256</t>
  </si>
  <si>
    <t>Customer_557</t>
  </si>
  <si>
    <t>Product_456</t>
  </si>
  <si>
    <t>O00257</t>
  </si>
  <si>
    <t>Customer_749</t>
  </si>
  <si>
    <t>O00258</t>
  </si>
  <si>
    <t>Customer_691</t>
  </si>
  <si>
    <t>Product_90</t>
  </si>
  <si>
    <t>O00259</t>
  </si>
  <si>
    <t>Customer_411</t>
  </si>
  <si>
    <t>Product_95</t>
  </si>
  <si>
    <t>O00260</t>
  </si>
  <si>
    <t>Customer_458</t>
  </si>
  <si>
    <t>Product_489</t>
  </si>
  <si>
    <t>O00261</t>
  </si>
  <si>
    <t>Customer_710</t>
  </si>
  <si>
    <t>Product_32</t>
  </si>
  <si>
    <t>O00262</t>
  </si>
  <si>
    <t>Customer_789</t>
  </si>
  <si>
    <t>O00263</t>
  </si>
  <si>
    <t>Customer_137</t>
  </si>
  <si>
    <t>Product_79</t>
  </si>
  <si>
    <t>O00264</t>
  </si>
  <si>
    <t>Customer_776</t>
  </si>
  <si>
    <t>Product_391</t>
  </si>
  <si>
    <t>O00265</t>
  </si>
  <si>
    <t>Product_40</t>
  </si>
  <si>
    <t>O00266</t>
  </si>
  <si>
    <t>Customer_550</t>
  </si>
  <si>
    <t>O00267</t>
  </si>
  <si>
    <t>Product_415</t>
  </si>
  <si>
    <t>O00268</t>
  </si>
  <si>
    <t>Customer_474</t>
  </si>
  <si>
    <t>Product_371</t>
  </si>
  <si>
    <t>O00269</t>
  </si>
  <si>
    <t>Customer_47</t>
  </si>
  <si>
    <t>O00270</t>
  </si>
  <si>
    <t>Customer_33</t>
  </si>
  <si>
    <t>O00271</t>
  </si>
  <si>
    <t>Customer_384</t>
  </si>
  <si>
    <t>Product_230</t>
  </si>
  <si>
    <t>O00272</t>
  </si>
  <si>
    <t>Customer_670</t>
  </si>
  <si>
    <t>Product_61</t>
  </si>
  <si>
    <t>O00273</t>
  </si>
  <si>
    <t>Customer_775</t>
  </si>
  <si>
    <t>O00274</t>
  </si>
  <si>
    <t>Customer_254</t>
  </si>
  <si>
    <t>Product_178</t>
  </si>
  <si>
    <t>O00275</t>
  </si>
  <si>
    <t>Customer_677</t>
  </si>
  <si>
    <t>Product_315</t>
  </si>
  <si>
    <t>O00276</t>
  </si>
  <si>
    <t>O00277</t>
  </si>
  <si>
    <t>Customer_144</t>
  </si>
  <si>
    <t>O00278</t>
  </si>
  <si>
    <t>Customer_243</t>
  </si>
  <si>
    <t>Product_449</t>
  </si>
  <si>
    <t>O00279</t>
  </si>
  <si>
    <t>Customer_606</t>
  </si>
  <si>
    <t>O00280</t>
  </si>
  <si>
    <t>Customer_688</t>
  </si>
  <si>
    <t>Product_403</t>
  </si>
  <si>
    <t>O00281</t>
  </si>
  <si>
    <t>Customer_773</t>
  </si>
  <si>
    <t>Product_124</t>
  </si>
  <si>
    <t>O00282</t>
  </si>
  <si>
    <t>Customer_576</t>
  </si>
  <si>
    <t>O00283</t>
  </si>
  <si>
    <t>Customer_663</t>
  </si>
  <si>
    <t>Product_473</t>
  </si>
  <si>
    <t>O00284</t>
  </si>
  <si>
    <t>Customer_387</t>
  </si>
  <si>
    <t>Product_448</t>
  </si>
  <si>
    <t>O00285</t>
  </si>
  <si>
    <t>Customer_491</t>
  </si>
  <si>
    <t>Product_446</t>
  </si>
  <si>
    <t>O00286</t>
  </si>
  <si>
    <t>Product_469</t>
  </si>
  <si>
    <t>O00287</t>
  </si>
  <si>
    <t>Customer_330</t>
  </si>
  <si>
    <t>O00288</t>
  </si>
  <si>
    <t>Customer_478</t>
  </si>
  <si>
    <t>O00289</t>
  </si>
  <si>
    <t>O00290</t>
  </si>
  <si>
    <t>Product_152</t>
  </si>
  <si>
    <t>O00291</t>
  </si>
  <si>
    <t>Customer_564</t>
  </si>
  <si>
    <t>Product_132</t>
  </si>
  <si>
    <t>O00292</t>
  </si>
  <si>
    <t>Customer_174</t>
  </si>
  <si>
    <t>Product_369</t>
  </si>
  <si>
    <t>O00293</t>
  </si>
  <si>
    <t>Product_430</t>
  </si>
  <si>
    <t>O00294</t>
  </si>
  <si>
    <t>Customer_237</t>
  </si>
  <si>
    <t>Product_363</t>
  </si>
  <si>
    <t>O00295</t>
  </si>
  <si>
    <t>Customer_683</t>
  </si>
  <si>
    <t>Product_338</t>
  </si>
  <si>
    <t>O00296</t>
  </si>
  <si>
    <t>Customer_740</t>
  </si>
  <si>
    <t>Product_275</t>
  </si>
  <si>
    <t>O00297</t>
  </si>
  <si>
    <t>Customer_110</t>
  </si>
  <si>
    <t>Product_269</t>
  </si>
  <si>
    <t>O00298</t>
  </si>
  <si>
    <t>Customer_407</t>
  </si>
  <si>
    <t>O00299</t>
  </si>
  <si>
    <t>O00300</t>
  </si>
  <si>
    <t>Customer_176</t>
  </si>
  <si>
    <t>O00301</t>
  </si>
  <si>
    <t>Product_118</t>
  </si>
  <si>
    <t>O00302</t>
  </si>
  <si>
    <t>O00303</t>
  </si>
  <si>
    <t>Customer_213</t>
  </si>
  <si>
    <t>O00304</t>
  </si>
  <si>
    <t>Customer_399</t>
  </si>
  <si>
    <t>O00305</t>
  </si>
  <si>
    <t>Customer_55</t>
  </si>
  <si>
    <t>O00306</t>
  </si>
  <si>
    <t>Customer_793</t>
  </si>
  <si>
    <t>Product_16</t>
  </si>
  <si>
    <t>O00307</t>
  </si>
  <si>
    <t>Product_96</t>
  </si>
  <si>
    <t>O00308</t>
  </si>
  <si>
    <t>Customer_731</t>
  </si>
  <si>
    <t>O00309</t>
  </si>
  <si>
    <t>Customer_325</t>
  </si>
  <si>
    <t>Product_55</t>
  </si>
  <si>
    <t>O00310</t>
  </si>
  <si>
    <t>Customer_136</t>
  </si>
  <si>
    <t>O00311</t>
  </si>
  <si>
    <t>Customer_363</t>
  </si>
  <si>
    <t>O00312</t>
  </si>
  <si>
    <t>Customer_743</t>
  </si>
  <si>
    <t>Product_293</t>
  </si>
  <si>
    <t>O00313</t>
  </si>
  <si>
    <t>Customer_505</t>
  </si>
  <si>
    <t>Product_33</t>
  </si>
  <si>
    <t>O00314</t>
  </si>
  <si>
    <t>Customer_258</t>
  </si>
  <si>
    <t>O00315</t>
  </si>
  <si>
    <t>Customer_7</t>
  </si>
  <si>
    <t>O00316</t>
  </si>
  <si>
    <t>Customer_609</t>
  </si>
  <si>
    <t>Product_154</t>
  </si>
  <si>
    <t>O00317</t>
  </si>
  <si>
    <t>Customer_327</t>
  </si>
  <si>
    <t>Product_377</t>
  </si>
  <si>
    <t>O00318</t>
  </si>
  <si>
    <t>Customer_288</t>
  </si>
  <si>
    <t>O00319</t>
  </si>
  <si>
    <t>Customer_28</t>
  </si>
  <si>
    <t>O00320</t>
  </si>
  <si>
    <t>Customer_690</t>
  </si>
  <si>
    <t>Product_72</t>
  </si>
  <si>
    <t>O00321</t>
  </si>
  <si>
    <t>Product_307</t>
  </si>
  <si>
    <t>O00322</t>
  </si>
  <si>
    <t>Product_405</t>
  </si>
  <si>
    <t>O00323</t>
  </si>
  <si>
    <t>Customer_112</t>
  </si>
  <si>
    <t>Product_337</t>
  </si>
  <si>
    <t>O00324</t>
  </si>
  <si>
    <t>Customer_694</t>
  </si>
  <si>
    <t>O00325</t>
  </si>
  <si>
    <t>Customer_572</t>
  </si>
  <si>
    <t>Product_229</t>
  </si>
  <si>
    <t>O00326</t>
  </si>
  <si>
    <t>Customer_354</t>
  </si>
  <si>
    <t>Product_248</t>
  </si>
  <si>
    <t>O00327</t>
  </si>
  <si>
    <t>Customer_357</t>
  </si>
  <si>
    <t>Product_176</t>
  </si>
  <si>
    <t>O00328</t>
  </si>
  <si>
    <t>Customer_464</t>
  </si>
  <si>
    <t>O00329</t>
  </si>
  <si>
    <t>Product_477</t>
  </si>
  <si>
    <t>O00330</t>
  </si>
  <si>
    <t>O00331</t>
  </si>
  <si>
    <t>Customer_756</t>
  </si>
  <si>
    <t>O00332</t>
  </si>
  <si>
    <t>O00333</t>
  </si>
  <si>
    <t>Customer_502</t>
  </si>
  <si>
    <t>O00334</t>
  </si>
  <si>
    <t>Customer_633</t>
  </si>
  <si>
    <t>Product_417</t>
  </si>
  <si>
    <t>O00335</t>
  </si>
  <si>
    <t>Customer_138</t>
  </si>
  <si>
    <t>O00336</t>
  </si>
  <si>
    <t>Product_295</t>
  </si>
  <si>
    <t>O00337</t>
  </si>
  <si>
    <t>Product_251</t>
  </si>
  <si>
    <t>O00338</t>
  </si>
  <si>
    <t>Customer_10</t>
  </si>
  <si>
    <t>Product_70</t>
  </si>
  <si>
    <t>O00339</t>
  </si>
  <si>
    <t>Customer_504</t>
  </si>
  <si>
    <t>O00340</t>
  </si>
  <si>
    <t>Customer_300</t>
  </si>
  <si>
    <t>O00341</t>
  </si>
  <si>
    <t>Customer_563</t>
  </si>
  <si>
    <t>O00342</t>
  </si>
  <si>
    <t>Product_280</t>
  </si>
  <si>
    <t>O00343</t>
  </si>
  <si>
    <t>Customer_34</t>
  </si>
  <si>
    <t>Product_135</t>
  </si>
  <si>
    <t>O00344</t>
  </si>
  <si>
    <t>Customer_215</t>
  </si>
  <si>
    <t>Product_441</t>
  </si>
  <si>
    <t>O00345</t>
  </si>
  <si>
    <t>Customer_212</t>
  </si>
  <si>
    <t>Product_292</t>
  </si>
  <si>
    <t>O00346</t>
  </si>
  <si>
    <t>O00347</t>
  </si>
  <si>
    <t>O00348</t>
  </si>
  <si>
    <t>O00349</t>
  </si>
  <si>
    <t>Customer_649</t>
  </si>
  <si>
    <t>Product_207</t>
  </si>
  <si>
    <t>O00350</t>
  </si>
  <si>
    <t>Product_445</t>
  </si>
  <si>
    <t>O00351</t>
  </si>
  <si>
    <t>Product_112</t>
  </si>
  <si>
    <t>O00352</t>
  </si>
  <si>
    <t>Customer_592</t>
  </si>
  <si>
    <t>Product_290</t>
  </si>
  <si>
    <t>O00353</t>
  </si>
  <si>
    <t>Customer_471</t>
  </si>
  <si>
    <t>Product_64</t>
  </si>
  <si>
    <t>O00354</t>
  </si>
  <si>
    <t>Product_82</t>
  </si>
  <si>
    <t>O00355</t>
  </si>
  <si>
    <t>Customer_170</t>
  </si>
  <si>
    <t>Product_203</t>
  </si>
  <si>
    <t>O00356</t>
  </si>
  <si>
    <t>Customer_721</t>
  </si>
  <si>
    <t>O00357</t>
  </si>
  <si>
    <t>Product_357</t>
  </si>
  <si>
    <t>O00358</t>
  </si>
  <si>
    <t>Customer_235</t>
  </si>
  <si>
    <t>Product_46</t>
  </si>
  <si>
    <t>O00359</t>
  </si>
  <si>
    <t>O00360</t>
  </si>
  <si>
    <t>Customer_451</t>
  </si>
  <si>
    <t>O00361</t>
  </si>
  <si>
    <t>Customer_223</t>
  </si>
  <si>
    <t>Product_460</t>
  </si>
  <si>
    <t>O00362</t>
  </si>
  <si>
    <t>Customer_323</t>
  </si>
  <si>
    <t>Product_127</t>
  </si>
  <si>
    <t>O00363</t>
  </si>
  <si>
    <t>O00364</t>
  </si>
  <si>
    <t>Product_402</t>
  </si>
  <si>
    <t>O00365</t>
  </si>
  <si>
    <t>O00366</t>
  </si>
  <si>
    <t>O00367</t>
  </si>
  <si>
    <t>O00368</t>
  </si>
  <si>
    <t>Customer_85</t>
  </si>
  <si>
    <t>O00369</t>
  </si>
  <si>
    <t>Product_201</t>
  </si>
  <si>
    <t>O00370</t>
  </si>
  <si>
    <t>Product_374</t>
  </si>
  <si>
    <t>O00371</t>
  </si>
  <si>
    <t>Customer_624</t>
  </si>
  <si>
    <t>O00372</t>
  </si>
  <si>
    <t>Customer_719</t>
  </si>
  <si>
    <t>Product_84</t>
  </si>
  <si>
    <t>O00373</t>
  </si>
  <si>
    <t>Customer_381</t>
  </si>
  <si>
    <t>Product_384</t>
  </si>
  <si>
    <t>O00374</t>
  </si>
  <si>
    <t>Customer_279</t>
  </si>
  <si>
    <t>O00375</t>
  </si>
  <si>
    <t>Customer_512</t>
  </si>
  <si>
    <t>Product_189</t>
  </si>
  <si>
    <t>O00376</t>
  </si>
  <si>
    <t>Product_23</t>
  </si>
  <si>
    <t>O00377</t>
  </si>
  <si>
    <t>Customer_37</t>
  </si>
  <si>
    <t>Product_115</t>
  </si>
  <si>
    <t>O00378</t>
  </si>
  <si>
    <t>Customer_586</t>
  </si>
  <si>
    <t>Product_62</t>
  </si>
  <si>
    <t>O00379</t>
  </si>
  <si>
    <t>Product_450</t>
  </si>
  <si>
    <t>O00380</t>
  </si>
  <si>
    <t>Product_103</t>
  </si>
  <si>
    <t>O00381</t>
  </si>
  <si>
    <t>O00382</t>
  </si>
  <si>
    <t>Customer_420</t>
  </si>
  <si>
    <t>O00383</t>
  </si>
  <si>
    <t>Customer_2</t>
  </si>
  <si>
    <t>O00384</t>
  </si>
  <si>
    <t>O00385</t>
  </si>
  <si>
    <t>O00386</t>
  </si>
  <si>
    <t>Customer_77</t>
  </si>
  <si>
    <t>Product_223</t>
  </si>
  <si>
    <t>O00387</t>
  </si>
  <si>
    <t>Customer_718</t>
  </si>
  <si>
    <t>Product_163</t>
  </si>
  <si>
    <t>O00388</t>
  </si>
  <si>
    <t>O00389</t>
  </si>
  <si>
    <t>Product_238</t>
  </si>
  <si>
    <t>O00390</t>
  </si>
  <si>
    <t>Product_111</t>
  </si>
  <si>
    <t>O00391</t>
  </si>
  <si>
    <t>Product_134</t>
  </si>
  <si>
    <t>O00392</t>
  </si>
  <si>
    <t>Customer_256</t>
  </si>
  <si>
    <t>O00393</t>
  </si>
  <si>
    <t>Customer_134</t>
  </si>
  <si>
    <t>Product_422</t>
  </si>
  <si>
    <t>O00394</t>
  </si>
  <si>
    <t>Customer_266</t>
  </si>
  <si>
    <t>Product_12</t>
  </si>
  <si>
    <t>O00395</t>
  </si>
  <si>
    <t>Customer_126</t>
  </si>
  <si>
    <t>O00396</t>
  </si>
  <si>
    <t>Customer_509</t>
  </si>
  <si>
    <t>O00397</t>
  </si>
  <si>
    <t>Product_18</t>
  </si>
  <si>
    <t>O00398</t>
  </si>
  <si>
    <t>Product_45</t>
  </si>
  <si>
    <t>O00399</t>
  </si>
  <si>
    <t>O00400</t>
  </si>
  <si>
    <t>Product_199</t>
  </si>
  <si>
    <t>O00401</t>
  </si>
  <si>
    <t>Customer_60</t>
  </si>
  <si>
    <t>Product_272</t>
  </si>
  <si>
    <t>O00402</t>
  </si>
  <si>
    <t>Product_274</t>
  </si>
  <si>
    <t>O00403</t>
  </si>
  <si>
    <t>Customer_364</t>
  </si>
  <si>
    <t>Product_91</t>
  </si>
  <si>
    <t>O00404</t>
  </si>
  <si>
    <t>Customer_29</t>
  </si>
  <si>
    <t>O00405</t>
  </si>
  <si>
    <t>Customer_556</t>
  </si>
  <si>
    <t>O00406</t>
  </si>
  <si>
    <t>Product_170</t>
  </si>
  <si>
    <t>O00407</t>
  </si>
  <si>
    <t>Product_76</t>
  </si>
  <si>
    <t>O00408</t>
  </si>
  <si>
    <t>O00409</t>
  </si>
  <si>
    <t>Customer_750</t>
  </si>
  <si>
    <t>O00410</t>
  </si>
  <si>
    <t>O00411</t>
  </si>
  <si>
    <t>O00412</t>
  </si>
  <si>
    <t>Product_309</t>
  </si>
  <si>
    <t>O00413</t>
  </si>
  <si>
    <t>Customer_340</t>
  </si>
  <si>
    <t>Product_122</t>
  </si>
  <si>
    <t>O00414</t>
  </si>
  <si>
    <t>Customer_687</t>
  </si>
  <si>
    <t>O00415</t>
  </si>
  <si>
    <t>O00416</t>
  </si>
  <si>
    <t>Customer_388</t>
  </si>
  <si>
    <t>O00417</t>
  </si>
  <si>
    <t>Customer_231</t>
  </si>
  <si>
    <t>Product_232</t>
  </si>
  <si>
    <t>O00418</t>
  </si>
  <si>
    <t>Customer_351</t>
  </si>
  <si>
    <t>Product_455</t>
  </si>
  <si>
    <t>O00419</t>
  </si>
  <si>
    <t>Customer_347</t>
  </si>
  <si>
    <t>O00420</t>
  </si>
  <si>
    <t>O00421</t>
  </si>
  <si>
    <t>O00422</t>
  </si>
  <si>
    <t>Customer_56</t>
  </si>
  <si>
    <t>Product_2</t>
  </si>
  <si>
    <t>O00423</t>
  </si>
  <si>
    <t>Product_106</t>
  </si>
  <si>
    <t>O00424</t>
  </si>
  <si>
    <t>Customer_408</t>
  </si>
  <si>
    <t>O00425</t>
  </si>
  <si>
    <t>Customer_379</t>
  </si>
  <si>
    <t>O00426</t>
  </si>
  <si>
    <t>Customer_64</t>
  </si>
  <si>
    <t>O00427</t>
  </si>
  <si>
    <t>Product_284</t>
  </si>
  <si>
    <t>O00428</t>
  </si>
  <si>
    <t>Customer_587</t>
  </si>
  <si>
    <t>Product_244</t>
  </si>
  <si>
    <t>O00429</t>
  </si>
  <si>
    <t>Customer_530</t>
  </si>
  <si>
    <t>O00430</t>
  </si>
  <si>
    <t>Product_217</t>
  </si>
  <si>
    <t>O00431</t>
  </si>
  <si>
    <t>Customer_265</t>
  </si>
  <si>
    <t>Product_467</t>
  </si>
  <si>
    <t>O00432</t>
  </si>
  <si>
    <t>Customer_533</t>
  </si>
  <si>
    <t>O00433</t>
  </si>
  <si>
    <t>Customer_154</t>
  </si>
  <si>
    <t>Product_291</t>
  </si>
  <si>
    <t>O00434</t>
  </si>
  <si>
    <t>O00435</t>
  </si>
  <si>
    <t>Customer_498</t>
  </si>
  <si>
    <t>O00436</t>
  </si>
  <si>
    <t>Customer_40</t>
  </si>
  <si>
    <t>O00437</t>
  </si>
  <si>
    <t>O00438</t>
  </si>
  <si>
    <t>O00439</t>
  </si>
  <si>
    <t>Customer_662</t>
  </si>
  <si>
    <t>Product_97</t>
  </si>
  <si>
    <t>O00440</t>
  </si>
  <si>
    <t>O00441</t>
  </si>
  <si>
    <t>Customer_583</t>
  </si>
  <si>
    <t>Product_89</t>
  </si>
  <si>
    <t>O00442</t>
  </si>
  <si>
    <t>Customer_722</t>
  </si>
  <si>
    <t>O00443</t>
  </si>
  <si>
    <t>O00444</t>
  </si>
  <si>
    <t>Customer_353</t>
  </si>
  <si>
    <t>O00445</t>
  </si>
  <si>
    <t>Customer_167</t>
  </si>
  <si>
    <t>Product_439</t>
  </si>
  <si>
    <t>O00446</t>
  </si>
  <si>
    <t>Product_243</t>
  </si>
  <si>
    <t>O00447</t>
  </si>
  <si>
    <t>Customer_313</t>
  </si>
  <si>
    <t>O00448</t>
  </si>
  <si>
    <t>Customer_639</t>
  </si>
  <si>
    <t>Product_300</t>
  </si>
  <si>
    <t>O00449</t>
  </si>
  <si>
    <t>O00450</t>
  </si>
  <si>
    <t>Customer_284</t>
  </si>
  <si>
    <t>Product_336</t>
  </si>
  <si>
    <t>O00451</t>
  </si>
  <si>
    <t>Customer_615</t>
  </si>
  <si>
    <t>O00452</t>
  </si>
  <si>
    <t>O00453</t>
  </si>
  <si>
    <t>Customer_352</t>
  </si>
  <si>
    <t>O00454</t>
  </si>
  <si>
    <t>O00455</t>
  </si>
  <si>
    <t>Product_485</t>
  </si>
  <si>
    <t>O00456</t>
  </si>
  <si>
    <t>Customer_431</t>
  </si>
  <si>
    <t>Product_191</t>
  </si>
  <si>
    <t>O00457</t>
  </si>
  <si>
    <t>O00458</t>
  </si>
  <si>
    <t>O00459</t>
  </si>
  <si>
    <t>Customer_147</t>
  </si>
  <si>
    <t>Product_442</t>
  </si>
  <si>
    <t>O00460</t>
  </si>
  <si>
    <t>Product_3</t>
  </si>
  <si>
    <t>O00461</t>
  </si>
  <si>
    <t>O00462</t>
  </si>
  <si>
    <t>Customer_5</t>
  </si>
  <si>
    <t>O00463</t>
  </si>
  <si>
    <t>Customer_196</t>
  </si>
  <si>
    <t>Product_347</t>
  </si>
  <si>
    <t>O00464</t>
  </si>
  <si>
    <t>Customer_133</t>
  </si>
  <si>
    <t>O00465</t>
  </si>
  <si>
    <t>O00466</t>
  </si>
  <si>
    <t>Customer_169</t>
  </si>
  <si>
    <t>Product_10</t>
  </si>
  <si>
    <t>O00467</t>
  </si>
  <si>
    <t>O00468</t>
  </si>
  <si>
    <t>Product_305</t>
  </si>
  <si>
    <t>O00469</t>
  </si>
  <si>
    <t>Customer_427</t>
  </si>
  <si>
    <t>O00470</t>
  </si>
  <si>
    <t>Customer_646</t>
  </si>
  <si>
    <t>Product_155</t>
  </si>
  <si>
    <t>O00471</t>
  </si>
  <si>
    <t>Customer_141</t>
  </si>
  <si>
    <t>O00472</t>
  </si>
  <si>
    <t>Customer_510</t>
  </si>
  <si>
    <t>O00473</t>
  </si>
  <si>
    <t>Product_21</t>
  </si>
  <si>
    <t>O00474</t>
  </si>
  <si>
    <t>Customer_3</t>
  </si>
  <si>
    <t>O00475</t>
  </si>
  <si>
    <t>O00476</t>
  </si>
  <si>
    <t>Customer_271</t>
  </si>
  <si>
    <t>Product_26</t>
  </si>
  <si>
    <t>O00477</t>
  </si>
  <si>
    <t>Product_379</t>
  </si>
  <si>
    <t>O00478</t>
  </si>
  <si>
    <t>Customer_680</t>
  </si>
  <si>
    <t>O00479</t>
  </si>
  <si>
    <t>O00480</t>
  </si>
  <si>
    <t>Customer_432</t>
  </si>
  <si>
    <t>O00481</t>
  </si>
  <si>
    <t>Product_411</t>
  </si>
  <si>
    <t>O00482</t>
  </si>
  <si>
    <t>O00483</t>
  </si>
  <si>
    <t>Customer_322</t>
  </si>
  <si>
    <t>O00484</t>
  </si>
  <si>
    <t>Product_222</t>
  </si>
  <si>
    <t>O00485</t>
  </si>
  <si>
    <t>Product_6</t>
  </si>
  <si>
    <t>O00486</t>
  </si>
  <si>
    <t>O00487</t>
  </si>
  <si>
    <t>O00488</t>
  </si>
  <si>
    <t>O00489</t>
  </si>
  <si>
    <t>Product_423</t>
  </si>
  <si>
    <t>O00490</t>
  </si>
  <si>
    <t>O00491</t>
  </si>
  <si>
    <t>Customer_574</t>
  </si>
  <si>
    <t>O00492</t>
  </si>
  <si>
    <t>Product_182</t>
  </si>
  <si>
    <t>O00493</t>
  </si>
  <si>
    <t>O00494</t>
  </si>
  <si>
    <t>Customer_124</t>
  </si>
  <si>
    <t>O00495</t>
  </si>
  <si>
    <t>O00496</t>
  </si>
  <si>
    <t>O00497</t>
  </si>
  <si>
    <t>Customer_709</t>
  </si>
  <si>
    <t>Product_375</t>
  </si>
  <si>
    <t>O00498</t>
  </si>
  <si>
    <t>Customer_394</t>
  </si>
  <si>
    <t>O00499</t>
  </si>
  <si>
    <t>Product_212</t>
  </si>
  <si>
    <t>O00500</t>
  </si>
  <si>
    <t>O00501</t>
  </si>
  <si>
    <t>Customer_728</t>
  </si>
  <si>
    <t>O00502</t>
  </si>
  <si>
    <t>Customer_492</t>
  </si>
  <si>
    <t>O00503</t>
  </si>
  <si>
    <t>O00504</t>
  </si>
  <si>
    <t>Customer_294</t>
  </si>
  <si>
    <t>Product_75</t>
  </si>
  <si>
    <t>O00505</t>
  </si>
  <si>
    <t>O00506</t>
  </si>
  <si>
    <t>Customer_244</t>
  </si>
  <si>
    <t>O00507</t>
  </si>
  <si>
    <t>Product_7</t>
  </si>
  <si>
    <t>O00508</t>
  </si>
  <si>
    <t>O00509</t>
  </si>
  <si>
    <t>Customer_302</t>
  </si>
  <si>
    <t>O00510</t>
  </si>
  <si>
    <t>Customer_42</t>
  </si>
  <si>
    <t>O00511</t>
  </si>
  <si>
    <t>O00512</t>
  </si>
  <si>
    <t>Customer_309</t>
  </si>
  <si>
    <t>O00513</t>
  </si>
  <si>
    <t>Customer_189</t>
  </si>
  <si>
    <t>O00514</t>
  </si>
  <si>
    <t>Customer_219</t>
  </si>
  <si>
    <t>O00515</t>
  </si>
  <si>
    <t>Customer_771</t>
  </si>
  <si>
    <t>O00516</t>
  </si>
  <si>
    <t>Customer_250</t>
  </si>
  <si>
    <t>Product_350</t>
  </si>
  <si>
    <t>O00517</t>
  </si>
  <si>
    <t>O00518</t>
  </si>
  <si>
    <t>O00519</t>
  </si>
  <si>
    <t>O00520</t>
  </si>
  <si>
    <t>Customer_107</t>
  </si>
  <si>
    <t>Product_276</t>
  </si>
  <si>
    <t>O00521</t>
  </si>
  <si>
    <t>Customer_158</t>
  </si>
  <si>
    <t>O00522</t>
  </si>
  <si>
    <t>O00523</t>
  </si>
  <si>
    <t>Customer_18</t>
  </si>
  <si>
    <t>O00524</t>
  </si>
  <si>
    <t>Product_184</t>
  </si>
  <si>
    <t>O00525</t>
  </si>
  <si>
    <t>Customer_784</t>
  </si>
  <si>
    <t>O00526</t>
  </si>
  <si>
    <t>O00527</t>
  </si>
  <si>
    <t>O00528</t>
  </si>
  <si>
    <t>Customer_561</t>
  </si>
  <si>
    <t>Product_157</t>
  </si>
  <si>
    <t>O00529</t>
  </si>
  <si>
    <t>Customer_525</t>
  </si>
  <si>
    <t>Product_83</t>
  </si>
  <si>
    <t>O00530</t>
  </si>
  <si>
    <t>Customer_581</t>
  </si>
  <si>
    <t>O00531</t>
  </si>
  <si>
    <t>Customer_101</t>
  </si>
  <si>
    <t>Product_372</t>
  </si>
  <si>
    <t>O00532</t>
  </si>
  <si>
    <t>O00533</t>
  </si>
  <si>
    <t>Customer_711</t>
  </si>
  <si>
    <t>O00534</t>
  </si>
  <si>
    <t>Customer_253</t>
  </si>
  <si>
    <t>O00535</t>
  </si>
  <si>
    <t>O00536</t>
  </si>
  <si>
    <t>Product_457</t>
  </si>
  <si>
    <t>O00537</t>
  </si>
  <si>
    <t>Customer_20</t>
  </si>
  <si>
    <t>O00538</t>
  </si>
  <si>
    <t>Customer_267</t>
  </si>
  <si>
    <t>Product_335</t>
  </si>
  <si>
    <t>O00539</t>
  </si>
  <si>
    <t>O00540</t>
  </si>
  <si>
    <t>Product_388</t>
  </si>
  <si>
    <t>O00541</t>
  </si>
  <si>
    <t>Customer_150</t>
  </si>
  <si>
    <t>O00542</t>
  </si>
  <si>
    <t>Customer_240</t>
  </si>
  <si>
    <t>Product_343</t>
  </si>
  <si>
    <t>O00543</t>
  </si>
  <si>
    <t>Customer_48</t>
  </si>
  <si>
    <t>Product_333</t>
  </si>
  <si>
    <t>O00544</t>
  </si>
  <si>
    <t>Customer_593</t>
  </si>
  <si>
    <t>Product_193</t>
  </si>
  <si>
    <t>O00545</t>
  </si>
  <si>
    <t>Product_499</t>
  </si>
  <si>
    <t>O00546</t>
  </si>
  <si>
    <t>Customer_619</t>
  </si>
  <si>
    <t>O00547</t>
  </si>
  <si>
    <t>O00548</t>
  </si>
  <si>
    <t>Product_247</t>
  </si>
  <si>
    <t>O00549</t>
  </si>
  <si>
    <t>Customer_23</t>
  </si>
  <si>
    <t>O00550</t>
  </si>
  <si>
    <t>Product_86</t>
  </si>
  <si>
    <t>O00551</t>
  </si>
  <si>
    <t>O00552</t>
  </si>
  <si>
    <t>Customer_225</t>
  </si>
  <si>
    <t>Product_308</t>
  </si>
  <si>
    <t>O00553</t>
  </si>
  <si>
    <t>Customer_172</t>
  </si>
  <si>
    <t>O00554</t>
  </si>
  <si>
    <t>Customer_17</t>
  </si>
  <si>
    <t>Product_268</t>
  </si>
  <si>
    <t>O00555</t>
  </si>
  <si>
    <t>Customer_630</t>
  </si>
  <si>
    <t>O00556</t>
  </si>
  <si>
    <t>Customer_553</t>
  </si>
  <si>
    <t>O00557</t>
  </si>
  <si>
    <t>Customer_543</t>
  </si>
  <si>
    <t>O00558</t>
  </si>
  <si>
    <t>Customer_590</t>
  </si>
  <si>
    <t>O00559</t>
  </si>
  <si>
    <t>Customer_613</t>
  </si>
  <si>
    <t>O00560</t>
  </si>
  <si>
    <t>O00561</t>
  </si>
  <si>
    <t>Customer_437</t>
  </si>
  <si>
    <t>O00562</t>
  </si>
  <si>
    <t>O00563</t>
  </si>
  <si>
    <t>Product_397</t>
  </si>
  <si>
    <t>O00564</t>
  </si>
  <si>
    <t>O00565</t>
  </si>
  <si>
    <t>O00566</t>
  </si>
  <si>
    <t>Customer_446</t>
  </si>
  <si>
    <t>O00567</t>
  </si>
  <si>
    <t>O00568</t>
  </si>
  <si>
    <t>Customer_11</t>
  </si>
  <si>
    <t>O00569</t>
  </si>
  <si>
    <t>O00570</t>
  </si>
  <si>
    <t>Product_400</t>
  </si>
  <si>
    <t>O00571</t>
  </si>
  <si>
    <t>Customer_755</t>
  </si>
  <si>
    <t>Product_471</t>
  </si>
  <si>
    <t>O00572</t>
  </si>
  <si>
    <t>O00573</t>
  </si>
  <si>
    <t>Product_287</t>
  </si>
  <si>
    <t>O00574</t>
  </si>
  <si>
    <t>O00575</t>
  </si>
  <si>
    <t>Customer_698</t>
  </si>
  <si>
    <t>O00576</t>
  </si>
  <si>
    <t>O00577</t>
  </si>
  <si>
    <t>Customer_255</t>
  </si>
  <si>
    <t>O00578</t>
  </si>
  <si>
    <t>O00579</t>
  </si>
  <si>
    <t>O00580</t>
  </si>
  <si>
    <t>Customer_634</t>
  </si>
  <si>
    <t>O00581</t>
  </si>
  <si>
    <t>O00582</t>
  </si>
  <si>
    <t>Product_94</t>
  </si>
  <si>
    <t>O00583</t>
  </si>
  <si>
    <t>Product_482</t>
  </si>
  <si>
    <t>O00584</t>
  </si>
  <si>
    <t>O00585</t>
  </si>
  <si>
    <t>Product_167</t>
  </si>
  <si>
    <t>O00586</t>
  </si>
  <si>
    <t>Customer_483</t>
  </si>
  <si>
    <t>Product_188</t>
  </si>
  <si>
    <t>O00587</t>
  </si>
  <si>
    <t>O00588</t>
  </si>
  <si>
    <t>O00589</t>
  </si>
  <si>
    <t>O00590</t>
  </si>
  <si>
    <t>O00591</t>
  </si>
  <si>
    <t>Customer_708</t>
  </si>
  <si>
    <t>Product_31</t>
  </si>
  <si>
    <t>O00592</t>
  </si>
  <si>
    <t>O00593</t>
  </si>
  <si>
    <t>Product_296</t>
  </si>
  <si>
    <t>O00594</t>
  </si>
  <si>
    <t>Customer_333</t>
  </si>
  <si>
    <t>O00595</t>
  </si>
  <si>
    <t>Customer_149</t>
  </si>
  <si>
    <t>Product_328</t>
  </si>
  <si>
    <t>O00596</t>
  </si>
  <si>
    <t>Customer_82</t>
  </si>
  <si>
    <t>O00597</t>
  </si>
  <si>
    <t>Customer_405</t>
  </si>
  <si>
    <t>O00598</t>
  </si>
  <si>
    <t>Product_65</t>
  </si>
  <si>
    <t>O00599</t>
  </si>
  <si>
    <t>Product_204</t>
  </si>
  <si>
    <t>O00600</t>
  </si>
  <si>
    <t>O00601</t>
  </si>
  <si>
    <t>Customer_317</t>
  </si>
  <si>
    <t>O00602</t>
  </si>
  <si>
    <t>O00603</t>
  </si>
  <si>
    <t>O00604</t>
  </si>
  <si>
    <t>O00605</t>
  </si>
  <si>
    <t>Customer_92</t>
  </si>
  <si>
    <t>Product_158</t>
  </si>
  <si>
    <t>O00606</t>
  </si>
  <si>
    <t>O00607</t>
  </si>
  <si>
    <t>O00608</t>
  </si>
  <si>
    <t>O00609</t>
  </si>
  <si>
    <t>Customer_270</t>
  </si>
  <si>
    <t>O00610</t>
  </si>
  <si>
    <t>Customer_702</t>
  </si>
  <si>
    <t>O00611</t>
  </si>
  <si>
    <t>Customer_187</t>
  </si>
  <si>
    <t>O00612</t>
  </si>
  <si>
    <t>Customer_193</t>
  </si>
  <si>
    <t>O00613</t>
  </si>
  <si>
    <t>Customer_276</t>
  </si>
  <si>
    <t>O00614</t>
  </si>
  <si>
    <t>O00615</t>
  </si>
  <si>
    <t>Customer_58</t>
  </si>
  <si>
    <t>O00616</t>
  </si>
  <si>
    <t>Customer_391</t>
  </si>
  <si>
    <t>O00617</t>
  </si>
  <si>
    <t>Customer_204</t>
  </si>
  <si>
    <t>O00618</t>
  </si>
  <si>
    <t>Customer_331</t>
  </si>
  <si>
    <t>Product_323</t>
  </si>
  <si>
    <t>O00619</t>
  </si>
  <si>
    <t>Customer_654</t>
  </si>
  <si>
    <t>Product_102</t>
  </si>
  <si>
    <t>O00620</t>
  </si>
  <si>
    <t>Customer_445</t>
  </si>
  <si>
    <t>O00621</t>
  </si>
  <si>
    <t>Customer_596</t>
  </si>
  <si>
    <t>Product_353</t>
  </si>
  <si>
    <t>O00622</t>
  </si>
  <si>
    <t>Customer_703</t>
  </si>
  <si>
    <t>O00623</t>
  </si>
  <si>
    <t>Customer_129</t>
  </si>
  <si>
    <t>O00624</t>
  </si>
  <si>
    <t>Customer_751</t>
  </si>
  <si>
    <t>Product_11</t>
  </si>
  <si>
    <t>O00625</t>
  </si>
  <si>
    <t>Customer_724</t>
  </si>
  <si>
    <t>O00626</t>
  </si>
  <si>
    <t>Customer_332</t>
  </si>
  <si>
    <t>O00627</t>
  </si>
  <si>
    <t>Customer_555</t>
  </si>
  <si>
    <t>O00628</t>
  </si>
  <si>
    <t>Customer_373</t>
  </si>
  <si>
    <t>O00629</t>
  </si>
  <si>
    <t>Product_393</t>
  </si>
  <si>
    <t>O00630</t>
  </si>
  <si>
    <t>Customer_99</t>
  </si>
  <si>
    <t>O00631</t>
  </si>
  <si>
    <t>O00632</t>
  </si>
  <si>
    <t>O00633</t>
  </si>
  <si>
    <t>Customer_63</t>
  </si>
  <si>
    <t>Product_286</t>
  </si>
  <si>
    <t>O00634</t>
  </si>
  <si>
    <t>Customer_273</t>
  </si>
  <si>
    <t>O00635</t>
  </si>
  <si>
    <t>Product_273</t>
  </si>
  <si>
    <t>O00636</t>
  </si>
  <si>
    <t>O00637</t>
  </si>
  <si>
    <t>O00638</t>
  </si>
  <si>
    <t>Customer_454</t>
  </si>
  <si>
    <t>Product_463</t>
  </si>
  <si>
    <t>O00639</t>
  </si>
  <si>
    <t>O00640</t>
  </si>
  <si>
    <t>Customer_369</t>
  </si>
  <si>
    <t>O00641</t>
  </si>
  <si>
    <t>Customer_139</t>
  </si>
  <si>
    <t>O00642</t>
  </si>
  <si>
    <t>Customer_283</t>
  </si>
  <si>
    <t>Product_49</t>
  </si>
  <si>
    <t>O00643</t>
  </si>
  <si>
    <t>O00644</t>
  </si>
  <si>
    <t>Customer_741</t>
  </si>
  <si>
    <t>O00645</t>
  </si>
  <si>
    <t>O00646</t>
  </si>
  <si>
    <t>Product_214</t>
  </si>
  <si>
    <t>O00647</t>
  </si>
  <si>
    <t>Customer_797</t>
  </si>
  <si>
    <t>Product_28</t>
  </si>
  <si>
    <t>O00648</t>
  </si>
  <si>
    <t>Customer_715</t>
  </si>
  <si>
    <t>O00649</t>
  </si>
  <si>
    <t>O00650</t>
  </si>
  <si>
    <t>Product_281</t>
  </si>
  <si>
    <t>O00651</t>
  </si>
  <si>
    <t>Customer_781</t>
  </si>
  <si>
    <t>O00652</t>
  </si>
  <si>
    <t>Customer_754</t>
  </si>
  <si>
    <t>O00653</t>
  </si>
  <si>
    <t>Customer_116</t>
  </si>
  <si>
    <t>O00654</t>
  </si>
  <si>
    <t>O00655</t>
  </si>
  <si>
    <t>O00656</t>
  </si>
  <si>
    <t>O00657</t>
  </si>
  <si>
    <t>Customer_217</t>
  </si>
  <si>
    <t>O00658</t>
  </si>
  <si>
    <t>O00659</t>
  </si>
  <si>
    <t>O00660</t>
  </si>
  <si>
    <t>Customer_676</t>
  </si>
  <si>
    <t>O00661</t>
  </si>
  <si>
    <t>O00662</t>
  </si>
  <si>
    <t>O00663</t>
  </si>
  <si>
    <t>O00664</t>
  </si>
  <si>
    <t>Customer_641</t>
  </si>
  <si>
    <t>O00665</t>
  </si>
  <si>
    <t>Customer_403</t>
  </si>
  <si>
    <t>O00666</t>
  </si>
  <si>
    <t>Customer_233</t>
  </si>
  <si>
    <t>O00667</t>
  </si>
  <si>
    <t>O00668</t>
  </si>
  <si>
    <t>O00669</t>
  </si>
  <si>
    <t>O00670</t>
  </si>
  <si>
    <t>Customer_422</t>
  </si>
  <si>
    <t>O00671</t>
  </si>
  <si>
    <t>Customer_135</t>
  </si>
  <si>
    <t>Product_14</t>
  </si>
  <si>
    <t>O00672</t>
  </si>
  <si>
    <t>O00673</t>
  </si>
  <si>
    <t>Customer_730</t>
  </si>
  <si>
    <t>O00674</t>
  </si>
  <si>
    <t>O00675</t>
  </si>
  <si>
    <t>Product_475</t>
  </si>
  <si>
    <t>O00676</t>
  </si>
  <si>
    <t>Customer_438</t>
  </si>
  <si>
    <t>O00677</t>
  </si>
  <si>
    <t>Product_267</t>
  </si>
  <si>
    <t>O00678</t>
  </si>
  <si>
    <t>Customer_532</t>
  </si>
  <si>
    <t>O00679</t>
  </si>
  <si>
    <t>O00680</t>
  </si>
  <si>
    <t>O00681</t>
  </si>
  <si>
    <t>Customer_713</t>
  </si>
  <si>
    <t>Product_202</t>
  </si>
  <si>
    <t>O00682</t>
  </si>
  <si>
    <t>Customer_207</t>
  </si>
  <si>
    <t>O00683</t>
  </si>
  <si>
    <t>Product_362</t>
  </si>
  <si>
    <t>O00684</t>
  </si>
  <si>
    <t>Customer_627</t>
  </si>
  <si>
    <t>Product_194</t>
  </si>
  <si>
    <t>O00685</t>
  </si>
  <si>
    <t>O00686</t>
  </si>
  <si>
    <t>O00687</t>
  </si>
  <si>
    <t>O00688</t>
  </si>
  <si>
    <t>O00689</t>
  </si>
  <si>
    <t>Customer_190</t>
  </si>
  <si>
    <t>Product_29</t>
  </si>
  <si>
    <t>O00690</t>
  </si>
  <si>
    <t>Customer_306</t>
  </si>
  <si>
    <t>Product_472</t>
  </si>
  <si>
    <t>O00691</t>
  </si>
  <si>
    <t>Product_495</t>
  </si>
  <si>
    <t>O00692</t>
  </si>
  <si>
    <t>O00693</t>
  </si>
  <si>
    <t>O00694</t>
  </si>
  <si>
    <t>O00695</t>
  </si>
  <si>
    <t>Product_219</t>
  </si>
  <si>
    <t>O00696</t>
  </si>
  <si>
    <t>O00697</t>
  </si>
  <si>
    <t>Customer_726</t>
  </si>
  <si>
    <t>Product_100</t>
  </si>
  <si>
    <t>O00698</t>
  </si>
  <si>
    <t>O00699</t>
  </si>
  <si>
    <t>O00700</t>
  </si>
  <si>
    <t>Product_175</t>
  </si>
  <si>
    <t>O00701</t>
  </si>
  <si>
    <t>O00702</t>
  </si>
  <si>
    <t>Customer_160</t>
  </si>
  <si>
    <t>O00703</t>
  </si>
  <si>
    <t>Customer_534</t>
  </si>
  <si>
    <t>O00704</t>
  </si>
  <si>
    <t>O00705</t>
  </si>
  <si>
    <t>O00706</t>
  </si>
  <si>
    <t>O00707</t>
  </si>
  <si>
    <t>O00708</t>
  </si>
  <si>
    <t>Customer_519</t>
  </si>
  <si>
    <t>O00709</t>
  </si>
  <si>
    <t>Customer_318</t>
  </si>
  <si>
    <t>Product_74</t>
  </si>
  <si>
    <t>O00710</t>
  </si>
  <si>
    <t>Customer_397</t>
  </si>
  <si>
    <t>O00711</t>
  </si>
  <si>
    <t>O00712</t>
  </si>
  <si>
    <t>O00713</t>
  </si>
  <si>
    <t>O00714</t>
  </si>
  <si>
    <t>Product_139</t>
  </si>
  <si>
    <t>O00715</t>
  </si>
  <si>
    <t>Customer_628</t>
  </si>
  <si>
    <t>O00716</t>
  </si>
  <si>
    <t>Customer_393</t>
  </si>
  <si>
    <t>O00717</t>
  </si>
  <si>
    <t>Customer_717</t>
  </si>
  <si>
    <t>O00718</t>
  </si>
  <si>
    <t>Customer_81</t>
  </si>
  <si>
    <t>O00719</t>
  </si>
  <si>
    <t>O00720</t>
  </si>
  <si>
    <t>Customer_402</t>
  </si>
  <si>
    <t>O00721</t>
  </si>
  <si>
    <t>Customer_67</t>
  </si>
  <si>
    <t>O00722</t>
  </si>
  <si>
    <t>Customer_589</t>
  </si>
  <si>
    <t>Product_261</t>
  </si>
  <si>
    <t>O00723</t>
  </si>
  <si>
    <t>Customer_73</t>
  </si>
  <si>
    <t>O00724</t>
  </si>
  <si>
    <t>Customer_494</t>
  </si>
  <si>
    <t>O00725</t>
  </si>
  <si>
    <t>Product_279</t>
  </si>
  <si>
    <t>O00726</t>
  </si>
  <si>
    <t>Customer_588</t>
  </si>
  <si>
    <t>O00727</t>
  </si>
  <si>
    <t>Product_36</t>
  </si>
  <si>
    <t>O00728</t>
  </si>
  <si>
    <t>Customer_507</t>
  </si>
  <si>
    <t>O00729</t>
  </si>
  <si>
    <t>O00730</t>
  </si>
  <si>
    <t>Customer_211</t>
  </si>
  <si>
    <t>O00731</t>
  </si>
  <si>
    <t>O00732</t>
  </si>
  <si>
    <t>O00733</t>
  </si>
  <si>
    <t>Customer_720</t>
  </si>
  <si>
    <t>O00734</t>
  </si>
  <si>
    <t>O00735</t>
  </si>
  <si>
    <t>Product_69</t>
  </si>
  <si>
    <t>O00736</t>
  </si>
  <si>
    <t>Customer_448</t>
  </si>
  <si>
    <t>O00737</t>
  </si>
  <si>
    <t>O00738</t>
  </si>
  <si>
    <t>O00739</t>
  </si>
  <si>
    <t>O00740</t>
  </si>
  <si>
    <t>Product_298</t>
  </si>
  <si>
    <t>O00741</t>
  </si>
  <si>
    <t>Customer_477</t>
  </si>
  <si>
    <t>O00742</t>
  </si>
  <si>
    <t>Customer_80</t>
  </si>
  <si>
    <t>O00743</t>
  </si>
  <si>
    <t>Product_216</t>
  </si>
  <si>
    <t>O00744</t>
  </si>
  <si>
    <t>Customer_745</t>
  </si>
  <si>
    <t>O00745</t>
  </si>
  <si>
    <t>Product_147</t>
  </si>
  <si>
    <t>O00746</t>
  </si>
  <si>
    <t>O00747</t>
  </si>
  <si>
    <t>Product_190</t>
  </si>
  <si>
    <t>O00748</t>
  </si>
  <si>
    <t>O00749</t>
  </si>
  <si>
    <t>O00750</t>
  </si>
  <si>
    <t>O00751</t>
  </si>
  <si>
    <t>O00752</t>
  </si>
  <si>
    <t>O00753</t>
  </si>
  <si>
    <t>Customer_653</t>
  </si>
  <si>
    <t>Product_490</t>
  </si>
  <si>
    <t>O00754</t>
  </si>
  <si>
    <t>O00755</t>
  </si>
  <si>
    <t>O00756</t>
  </si>
  <si>
    <t>O00757</t>
  </si>
  <si>
    <t>O00758</t>
  </si>
  <si>
    <t>Customer_614</t>
  </si>
  <si>
    <t>O00759</t>
  </si>
  <si>
    <t>Customer_580</t>
  </si>
  <si>
    <t>O00760</t>
  </si>
  <si>
    <t>Customer_655</t>
  </si>
  <si>
    <t>O00761</t>
  </si>
  <si>
    <t>Customer_166</t>
  </si>
  <si>
    <t>Product_142</t>
  </si>
  <si>
    <t>O00762</t>
  </si>
  <si>
    <t>Customer_183</t>
  </si>
  <si>
    <t>O00763</t>
  </si>
  <si>
    <t>O00764</t>
  </si>
  <si>
    <t>O00765</t>
  </si>
  <si>
    <t>O00766</t>
  </si>
  <si>
    <t>O00767</t>
  </si>
  <si>
    <t>O00768</t>
  </si>
  <si>
    <t>Customer_342</t>
  </si>
  <si>
    <t>O00769</t>
  </si>
  <si>
    <t>O00770</t>
  </si>
  <si>
    <t>O00771</t>
  </si>
  <si>
    <t>Customer_449</t>
  </si>
  <si>
    <t>O00772</t>
  </si>
  <si>
    <t>O00773</t>
  </si>
  <si>
    <t>O00774</t>
  </si>
  <si>
    <t>Product_380</t>
  </si>
  <si>
    <t>O00775</t>
  </si>
  <si>
    <t>Product_465</t>
  </si>
  <si>
    <t>O00776</t>
  </si>
  <si>
    <t>O00777</t>
  </si>
  <si>
    <t>Customer_117</t>
  </si>
  <si>
    <t>O00778</t>
  </si>
  <si>
    <t>O00779</t>
  </si>
  <si>
    <t>Product_304</t>
  </si>
  <si>
    <t>O00780</t>
  </si>
  <si>
    <t>O00781</t>
  </si>
  <si>
    <t>O00782</t>
  </si>
  <si>
    <t>O00783</t>
  </si>
  <si>
    <t>Customer_462</t>
  </si>
  <si>
    <t>Product_123</t>
  </si>
  <si>
    <t>O00784</t>
  </si>
  <si>
    <t>Customer_91</t>
  </si>
  <si>
    <t>Product_179</t>
  </si>
  <si>
    <t>O00785</t>
  </si>
  <si>
    <t>O00786</t>
  </si>
  <si>
    <t>O00787</t>
  </si>
  <si>
    <t>O00788</t>
  </si>
  <si>
    <t>O00789</t>
  </si>
  <si>
    <t>O00790</t>
  </si>
  <si>
    <t>Customer_236</t>
  </si>
  <si>
    <t>O00791</t>
  </si>
  <si>
    <t>O00792</t>
  </si>
  <si>
    <t>O00793</t>
  </si>
  <si>
    <t>O00794</t>
  </si>
  <si>
    <t>O00795</t>
  </si>
  <si>
    <t>O00796</t>
  </si>
  <si>
    <t>O00797</t>
  </si>
  <si>
    <t>O00798</t>
  </si>
  <si>
    <t>Customer_46</t>
  </si>
  <si>
    <t>O00799</t>
  </si>
  <si>
    <t>O00800</t>
  </si>
  <si>
    <t>O00801</t>
  </si>
  <si>
    <t>Product_440</t>
  </si>
  <si>
    <t>O00802</t>
  </si>
  <si>
    <t>O00803</t>
  </si>
  <si>
    <t>Customer_395</t>
  </si>
  <si>
    <t>O00804</t>
  </si>
  <si>
    <t>Product_404</t>
  </si>
  <si>
    <t>O00805</t>
  </si>
  <si>
    <t>O00806</t>
  </si>
  <si>
    <t>Customer_180</t>
  </si>
  <si>
    <t>Product_288</t>
  </si>
  <si>
    <t>O00807</t>
  </si>
  <si>
    <t>O00808</t>
  </si>
  <si>
    <t>O00809</t>
  </si>
  <si>
    <t>O00810</t>
  </si>
  <si>
    <t>O00811</t>
  </si>
  <si>
    <t>O00812</t>
  </si>
  <si>
    <t>Customer_24</t>
  </si>
  <si>
    <t>O00813</t>
  </si>
  <si>
    <t>Customer_22</t>
  </si>
  <si>
    <t>O00814</t>
  </si>
  <si>
    <t>O00815</t>
  </si>
  <si>
    <t>O00816</t>
  </si>
  <si>
    <t>O00817</t>
  </si>
  <si>
    <t>Customer_165</t>
  </si>
  <si>
    <t>O00818</t>
  </si>
  <si>
    <t>Customer_120</t>
  </si>
  <si>
    <t>O00819</t>
  </si>
  <si>
    <t>Customer_36</t>
  </si>
  <si>
    <t>O00820</t>
  </si>
  <si>
    <t>Customer_26</t>
  </si>
  <si>
    <t>O00821</t>
  </si>
  <si>
    <t>Customer_520</t>
  </si>
  <si>
    <t>O00822</t>
  </si>
  <si>
    <t>O00823</t>
  </si>
  <si>
    <t>O00824</t>
  </si>
  <si>
    <t>Customer_366</t>
  </si>
  <si>
    <t>O00825</t>
  </si>
  <si>
    <t>Customer_201</t>
  </si>
  <si>
    <t>O00826</t>
  </si>
  <si>
    <t>Customer_200</t>
  </si>
  <si>
    <t>O00827</t>
  </si>
  <si>
    <t>O00828</t>
  </si>
  <si>
    <t>O00829</t>
  </si>
  <si>
    <t>O00830</t>
  </si>
  <si>
    <t>Customer_487</t>
  </si>
  <si>
    <t>O00831</t>
  </si>
  <si>
    <t>O00832</t>
  </si>
  <si>
    <t>Customer_44</t>
  </si>
  <si>
    <t>Product_428</t>
  </si>
  <si>
    <t>O00833</t>
  </si>
  <si>
    <t>O00834</t>
  </si>
  <si>
    <t>O00835</t>
  </si>
  <si>
    <t>O00836</t>
  </si>
  <si>
    <t>Customer_123</t>
  </si>
  <si>
    <t>Product_263</t>
  </si>
  <si>
    <t>O00837</t>
  </si>
  <si>
    <t>Customer_328</t>
  </si>
  <si>
    <t>O00838</t>
  </si>
  <si>
    <t>Customer_365</t>
  </si>
  <si>
    <t>O00839</t>
  </si>
  <si>
    <t>Customer_188</t>
  </si>
  <si>
    <t>O00840</t>
  </si>
  <si>
    <t>Customer_278</t>
  </si>
  <si>
    <t>O00841</t>
  </si>
  <si>
    <t>Customer_382</t>
  </si>
  <si>
    <t>O00842</t>
  </si>
  <si>
    <t>Customer_573</t>
  </si>
  <si>
    <t>O00843</t>
  </si>
  <si>
    <t>Customer_320</t>
  </si>
  <si>
    <t>O00844</t>
  </si>
  <si>
    <t>O00845</t>
  </si>
  <si>
    <t>O00846</t>
  </si>
  <si>
    <t>O00847</t>
  </si>
  <si>
    <t>O00848</t>
  </si>
  <si>
    <t>Product_15</t>
  </si>
  <si>
    <t>O00849</t>
  </si>
  <si>
    <t>Product_438</t>
  </si>
  <si>
    <t>O00850</t>
  </si>
  <si>
    <t>Customer_782</t>
  </si>
  <si>
    <t>Product_271</t>
  </si>
  <si>
    <t>O00851</t>
  </si>
  <si>
    <t>O00852</t>
  </si>
  <si>
    <t>Product_93</t>
  </si>
  <si>
    <t>O00853</t>
  </si>
  <si>
    <t>Customer_127</t>
  </si>
  <si>
    <t>O00854</t>
  </si>
  <si>
    <t>Product_253</t>
  </si>
  <si>
    <t>O00855</t>
  </si>
  <si>
    <t>O00856</t>
  </si>
  <si>
    <t>Customer_377</t>
  </si>
  <si>
    <t>O00857</t>
  </si>
  <si>
    <t>Customer_88</t>
  </si>
  <si>
    <t>O00858</t>
  </si>
  <si>
    <t>Product_500</t>
  </si>
  <si>
    <t>O00859</t>
  </si>
  <si>
    <t>Customer_435</t>
  </si>
  <si>
    <t>O00860</t>
  </si>
  <si>
    <t>O00861</t>
  </si>
  <si>
    <t>O00862</t>
  </si>
  <si>
    <t>Customer_70</t>
  </si>
  <si>
    <t>O00863</t>
  </si>
  <si>
    <t>O00864</t>
  </si>
  <si>
    <t>Customer_301</t>
  </si>
  <si>
    <t>Product_252</t>
  </si>
  <si>
    <t>O00865</t>
  </si>
  <si>
    <t>O00866</t>
  </si>
  <si>
    <t>O00867</t>
  </si>
  <si>
    <t>Customer_733</t>
  </si>
  <si>
    <t>O00868</t>
  </si>
  <si>
    <t>O00869</t>
  </si>
  <si>
    <t>Customer_632</t>
  </si>
  <si>
    <t>O00870</t>
  </si>
  <si>
    <t>Customer_358</t>
  </si>
  <si>
    <t>O00871</t>
  </si>
  <si>
    <t>O00872</t>
  </si>
  <si>
    <t>O00873</t>
  </si>
  <si>
    <t>Customer_582</t>
  </si>
  <si>
    <t>Product_137</t>
  </si>
  <si>
    <t>O00874</t>
  </si>
  <si>
    <t>Customer_400</t>
  </si>
  <si>
    <t>O00875</t>
  </si>
  <si>
    <t>O00876</t>
  </si>
  <si>
    <t>Customer_549</t>
  </si>
  <si>
    <t>O00877</t>
  </si>
  <si>
    <t>O00878</t>
  </si>
  <si>
    <t>Product_108</t>
  </si>
  <si>
    <t>O00879</t>
  </si>
  <si>
    <t>O00880</t>
  </si>
  <si>
    <t>Customer_185</t>
  </si>
  <si>
    <t>O00881</t>
  </si>
  <si>
    <t>Customer_275</t>
  </si>
  <si>
    <t>O00882</t>
  </si>
  <si>
    <t>O00883</t>
  </si>
  <si>
    <t>Customer_650</t>
  </si>
  <si>
    <t>O00884</t>
  </si>
  <si>
    <t>Customer_242</t>
  </si>
  <si>
    <t>O00885</t>
  </si>
  <si>
    <t>O00886</t>
  </si>
  <si>
    <t>Product_330</t>
  </si>
  <si>
    <t>O00887</t>
  </si>
  <si>
    <t>O00888</t>
  </si>
  <si>
    <t>O00889</t>
  </si>
  <si>
    <t>Customer_794</t>
  </si>
  <si>
    <t>Product_255</t>
  </si>
  <si>
    <t>O00890</t>
  </si>
  <si>
    <t>Product_413</t>
  </si>
  <si>
    <t>O00891</t>
  </si>
  <si>
    <t>O00892</t>
  </si>
  <si>
    <t>O00893</t>
  </si>
  <si>
    <t>O00894</t>
  </si>
  <si>
    <t>Product_130</t>
  </si>
  <si>
    <t>O00895</t>
  </si>
  <si>
    <t>Customer_125</t>
  </si>
  <si>
    <t>O00896</t>
  </si>
  <si>
    <t>Product_480</t>
  </si>
  <si>
    <t>O00897</t>
  </si>
  <si>
    <t>O00898</t>
  </si>
  <si>
    <t>O00899</t>
  </si>
  <si>
    <t>O00900</t>
  </si>
  <si>
    <t>Customer_465</t>
  </si>
  <si>
    <t>O00901</t>
  </si>
  <si>
    <t>Customer_4</t>
  </si>
  <si>
    <t>O00902</t>
  </si>
  <si>
    <t>O00903</t>
  </si>
  <si>
    <t>O00904</t>
  </si>
  <si>
    <t>O00905</t>
  </si>
  <si>
    <t>Customer_642</t>
  </si>
  <si>
    <t>O00906</t>
  </si>
  <si>
    <t>O00907</t>
  </si>
  <si>
    <t>Customer_15</t>
  </si>
  <si>
    <t>O00908</t>
  </si>
  <si>
    <t>O00909</t>
  </si>
  <si>
    <t>Product_215</t>
  </si>
  <si>
    <t>O00910</t>
  </si>
  <si>
    <t>O00911</t>
  </si>
  <si>
    <t>O00912</t>
  </si>
  <si>
    <t>Customer_263</t>
  </si>
  <si>
    <t>O00913</t>
  </si>
  <si>
    <t>O00914</t>
  </si>
  <si>
    <t>O00915</t>
  </si>
  <si>
    <t>O00916</t>
  </si>
  <si>
    <t>O00917</t>
  </si>
  <si>
    <t>O00918</t>
  </si>
  <si>
    <t>Customer_674</t>
  </si>
  <si>
    <t>O00919</t>
  </si>
  <si>
    <t>O00920</t>
  </si>
  <si>
    <t>O00921</t>
  </si>
  <si>
    <t>Customer_173</t>
  </si>
  <si>
    <t>O00922</t>
  </si>
  <si>
    <t>O00923</t>
  </si>
  <si>
    <t>O00924</t>
  </si>
  <si>
    <t>Customer_84</t>
  </si>
  <si>
    <t>O00925</t>
  </si>
  <si>
    <t>Customer_6</t>
  </si>
  <si>
    <t>O00926</t>
  </si>
  <si>
    <t>O00927</t>
  </si>
  <si>
    <t>Customer_617</t>
  </si>
  <si>
    <t>O00928</t>
  </si>
  <si>
    <t>O00929</t>
  </si>
  <si>
    <t>O00930</t>
  </si>
  <si>
    <t>Customer_368</t>
  </si>
  <si>
    <t>O00931</t>
  </si>
  <si>
    <t>Customer_577</t>
  </si>
  <si>
    <t>O00932</t>
  </si>
  <si>
    <t>Customer_526</t>
  </si>
  <si>
    <t>O00933</t>
  </si>
  <si>
    <t>Customer_540</t>
  </si>
  <si>
    <t>O00934</t>
  </si>
  <si>
    <t>O00935</t>
  </si>
  <si>
    <t>Product_262</t>
  </si>
  <si>
    <t>O00936</t>
  </si>
  <si>
    <t>O00937</t>
  </si>
  <si>
    <t>O00938</t>
  </si>
  <si>
    <t>Customer_461</t>
  </si>
  <si>
    <t>O00939</t>
  </si>
  <si>
    <t>O00940</t>
  </si>
  <si>
    <t>O00941</t>
  </si>
  <si>
    <t>Customer_370</t>
  </si>
  <si>
    <t>O00942</t>
  </si>
  <si>
    <t>O00943</t>
  </si>
  <si>
    <t>O00944</t>
  </si>
  <si>
    <t>Customer_757</t>
  </si>
  <si>
    <t>Product_494</t>
  </si>
  <si>
    <t>O00945</t>
  </si>
  <si>
    <t>Product_27</t>
  </si>
  <si>
    <t>O00946</t>
  </si>
  <si>
    <t>O00947</t>
  </si>
  <si>
    <t>Customer_500</t>
  </si>
  <si>
    <t>Product_366</t>
  </si>
  <si>
    <t>O00948</t>
  </si>
  <si>
    <t>O00949</t>
  </si>
  <si>
    <t>O00950</t>
  </si>
  <si>
    <t>O00951</t>
  </si>
  <si>
    <t>O00952</t>
  </si>
  <si>
    <t>Customer_637</t>
  </si>
  <si>
    <t>Product_145</t>
  </si>
  <si>
    <t>O00953</t>
  </si>
  <si>
    <t>O00954</t>
  </si>
  <si>
    <t>Product_183</t>
  </si>
  <si>
    <t>O00955</t>
  </si>
  <si>
    <t>Customer_346</t>
  </si>
  <si>
    <t>O00956</t>
  </si>
  <si>
    <t>Product_395</t>
  </si>
  <si>
    <t>O00957</t>
  </si>
  <si>
    <t>Customer_686</t>
  </si>
  <si>
    <t>O00958</t>
  </si>
  <si>
    <t>O00959</t>
  </si>
  <si>
    <t>O00960</t>
  </si>
  <si>
    <t>Product_172</t>
  </si>
  <si>
    <t>O00961</t>
  </si>
  <si>
    <t>O00962</t>
  </si>
  <si>
    <t>O00963</t>
  </si>
  <si>
    <t>O00964</t>
  </si>
  <si>
    <t>Customer_87</t>
  </si>
  <si>
    <t>O00965</t>
  </si>
  <si>
    <t>Customer_155</t>
  </si>
  <si>
    <t>Product_324</t>
  </si>
  <si>
    <t>O00966</t>
  </si>
  <si>
    <t>O00967</t>
  </si>
  <si>
    <t>O00968</t>
  </si>
  <si>
    <t>O00969</t>
  </si>
  <si>
    <t>Product_200</t>
  </si>
  <si>
    <t>O00970</t>
  </si>
  <si>
    <t>O00971</t>
  </si>
  <si>
    <t>O00972</t>
  </si>
  <si>
    <t>O00973</t>
  </si>
  <si>
    <t>O00974</t>
  </si>
  <si>
    <t>O00975</t>
  </si>
  <si>
    <t>O00976</t>
  </si>
  <si>
    <t>O00977</t>
  </si>
  <si>
    <t>O00978</t>
  </si>
  <si>
    <t>O00979</t>
  </si>
  <si>
    <t>O00980</t>
  </si>
  <si>
    <t>Customer_121</t>
  </si>
  <si>
    <t>Product_234</t>
  </si>
  <si>
    <t>O00981</t>
  </si>
  <si>
    <t>O00982</t>
  </si>
  <si>
    <t>O00983</t>
  </si>
  <si>
    <t>Customer_50</t>
  </si>
  <si>
    <t>O00984</t>
  </si>
  <si>
    <t>O00985</t>
  </si>
  <si>
    <t>O00986</t>
  </si>
  <si>
    <t>Product_77</t>
  </si>
  <si>
    <t>O00987</t>
  </si>
  <si>
    <t>Customer_239</t>
  </si>
  <si>
    <t>Product_174</t>
  </si>
  <si>
    <t>O00988</t>
  </si>
  <si>
    <t>O00989</t>
  </si>
  <si>
    <t>O00990</t>
  </si>
  <si>
    <t>Customer_769</t>
  </si>
  <si>
    <t>O00991</t>
  </si>
  <si>
    <t>O00992</t>
  </si>
  <si>
    <t>O00993</t>
  </si>
  <si>
    <t>Customer_392</t>
  </si>
  <si>
    <t>O00994</t>
  </si>
  <si>
    <t>Product_488</t>
  </si>
  <si>
    <t>O00995</t>
  </si>
  <si>
    <t>O00996</t>
  </si>
  <si>
    <t>Product_104</t>
  </si>
  <si>
    <t>O00997</t>
  </si>
  <si>
    <t>O00998</t>
  </si>
  <si>
    <t>Product_138</t>
  </si>
  <si>
    <t>O00999</t>
  </si>
  <si>
    <t>O01000</t>
  </si>
  <si>
    <t>O01001</t>
  </si>
  <si>
    <t>O01002</t>
  </si>
  <si>
    <t>Customer_648</t>
  </si>
  <si>
    <t>O01003</t>
  </si>
  <si>
    <t>O01004</t>
  </si>
  <si>
    <t>Product_453</t>
  </si>
  <si>
    <t>O01005</t>
  </si>
  <si>
    <t>O01006</t>
  </si>
  <si>
    <t>O01007</t>
  </si>
  <si>
    <t>O01008</t>
  </si>
  <si>
    <t>O01009</t>
  </si>
  <si>
    <t>Customer_182</t>
  </si>
  <si>
    <t>O01010</t>
  </si>
  <si>
    <t>Customer_777</t>
  </si>
  <si>
    <t>O01011</t>
  </si>
  <si>
    <t>O01012</t>
  </si>
  <si>
    <t>Customer_8</t>
  </si>
  <si>
    <t>O01013</t>
  </si>
  <si>
    <t>O01014</t>
  </si>
  <si>
    <t>Customer_132</t>
  </si>
  <si>
    <t>O01015</t>
  </si>
  <si>
    <t>O01016</t>
  </si>
  <si>
    <t>O01017</t>
  </si>
  <si>
    <t>Customer_281</t>
  </si>
  <si>
    <t>O01018</t>
  </si>
  <si>
    <t>Customer_49</t>
  </si>
  <si>
    <t>O01019</t>
  </si>
  <si>
    <t>Product_378</t>
  </si>
  <si>
    <t>O01020</t>
  </si>
  <si>
    <t>Customer_338</t>
  </si>
  <si>
    <t>O01021</t>
  </si>
  <si>
    <t>O01022</t>
  </si>
  <si>
    <t>O01023</t>
  </si>
  <si>
    <t>O01024</t>
  </si>
  <si>
    <t>O01025</t>
  </si>
  <si>
    <t>Customer_54</t>
  </si>
  <si>
    <t>O01026</t>
  </si>
  <si>
    <t>O01027</t>
  </si>
  <si>
    <t>Customer_667</t>
  </si>
  <si>
    <t>O01028</t>
  </si>
  <si>
    <t>Product_464</t>
  </si>
  <si>
    <t>O01029</t>
  </si>
  <si>
    <t>Customer_456</t>
  </si>
  <si>
    <t>O01030</t>
  </si>
  <si>
    <t>O01031</t>
  </si>
  <si>
    <t>O01032</t>
  </si>
  <si>
    <t>O01033</t>
  </si>
  <si>
    <t>O01034</t>
  </si>
  <si>
    <t>O01035</t>
  </si>
  <si>
    <t>O01036</t>
  </si>
  <si>
    <t>Customer_493</t>
  </si>
  <si>
    <t>Product_414</t>
  </si>
  <si>
    <t>O01037</t>
  </si>
  <si>
    <t>O01038</t>
  </si>
  <si>
    <t>O01039</t>
  </si>
  <si>
    <t>Product_92</t>
  </si>
  <si>
    <t>O01040</t>
  </si>
  <si>
    <t>O01041</t>
  </si>
  <si>
    <t>O01042</t>
  </si>
  <si>
    <t>O01043</t>
  </si>
  <si>
    <t>Customer_251</t>
  </si>
  <si>
    <t>O01044</t>
  </si>
  <si>
    <t>O01045</t>
  </si>
  <si>
    <t>O01046</t>
  </si>
  <si>
    <t>Customer_770</t>
  </si>
  <si>
    <t>O01047</t>
  </si>
  <si>
    <t>O01048</t>
  </si>
  <si>
    <t>O01049</t>
  </si>
  <si>
    <t>O01050</t>
  </si>
  <si>
    <t>O01051</t>
  </si>
  <si>
    <t>O01052</t>
  </si>
  <si>
    <t>Customer_661</t>
  </si>
  <si>
    <t>O01053</t>
  </si>
  <si>
    <t>O01054</t>
  </si>
  <si>
    <t>Product_382</t>
  </si>
  <si>
    <t>O01055</t>
  </si>
  <si>
    <t>Customer_268</t>
  </si>
  <si>
    <t>O01056</t>
  </si>
  <si>
    <t>Customer_594</t>
  </si>
  <si>
    <t>O01057</t>
  </si>
  <si>
    <t>O01058</t>
  </si>
  <si>
    <t>Customer_349</t>
  </si>
  <si>
    <t>O01059</t>
  </si>
  <si>
    <t>O01060</t>
  </si>
  <si>
    <t>O01061</t>
  </si>
  <si>
    <t>O01062</t>
  </si>
  <si>
    <t>O01063</t>
  </si>
  <si>
    <t>O01064</t>
  </si>
  <si>
    <t>O01065</t>
  </si>
  <si>
    <t>O01066</t>
  </si>
  <si>
    <t>Customer_401</t>
  </si>
  <si>
    <t>O01067</t>
  </si>
  <si>
    <t>O01068</t>
  </si>
  <si>
    <t>O01069</t>
  </si>
  <si>
    <t>Customer_66</t>
  </si>
  <si>
    <t>O01070</t>
  </si>
  <si>
    <t>O01071</t>
  </si>
  <si>
    <t>Customer_305</t>
  </si>
  <si>
    <t>O01072</t>
  </si>
  <si>
    <t>O01073</t>
  </si>
  <si>
    <t>O01074</t>
  </si>
  <si>
    <t>O01075</t>
  </si>
  <si>
    <t>O01076</t>
  </si>
  <si>
    <t>O01077</t>
  </si>
  <si>
    <t>Customer_335</t>
  </si>
  <si>
    <t>Product_249</t>
  </si>
  <si>
    <t>O01078</t>
  </si>
  <si>
    <t>O01079</t>
  </si>
  <si>
    <t>Product_87</t>
  </si>
  <si>
    <t>O01080</t>
  </si>
  <si>
    <t>O01081</t>
  </si>
  <si>
    <t>O01082</t>
  </si>
  <si>
    <t>Customer_786</t>
  </si>
  <si>
    <t>O01083</t>
  </si>
  <si>
    <t>O01084</t>
  </si>
  <si>
    <t>O01085</t>
  </si>
  <si>
    <t>Customer_640</t>
  </si>
  <si>
    <t>O01086</t>
  </si>
  <si>
    <t>O01087</t>
  </si>
  <si>
    <t>O01088</t>
  </si>
  <si>
    <t>O01089</t>
  </si>
  <si>
    <t>O01090</t>
  </si>
  <si>
    <t>O01091</t>
  </si>
  <si>
    <t>Customer_760</t>
  </si>
  <si>
    <t>O01092</t>
  </si>
  <si>
    <t>O01093</t>
  </si>
  <si>
    <t>O01094</t>
  </si>
  <si>
    <t>O01095</t>
  </si>
  <si>
    <t>Product_385</t>
  </si>
  <si>
    <t>O01096</t>
  </si>
  <si>
    <t>O01097</t>
  </si>
  <si>
    <t>O01098</t>
  </si>
  <si>
    <t>Customer_145</t>
  </si>
  <si>
    <t>O01099</t>
  </si>
  <si>
    <t>O01100</t>
  </si>
  <si>
    <t>O01101</t>
  </si>
  <si>
    <t>O01102</t>
  </si>
  <si>
    <t>Product_420</t>
  </si>
  <si>
    <t>O01103</t>
  </si>
  <si>
    <t>O01104</t>
  </si>
  <si>
    <t>Product_37</t>
  </si>
  <si>
    <t>O01105</t>
  </si>
  <si>
    <t>Customer_14</t>
  </si>
  <si>
    <t>O01106</t>
  </si>
  <si>
    <t>O01107</t>
  </si>
  <si>
    <t>Customer_262</t>
  </si>
  <si>
    <t>O01108</t>
  </si>
  <si>
    <t>O01109</t>
  </si>
  <si>
    <t>O01110</t>
  </si>
  <si>
    <t>Customer_679</t>
  </si>
  <si>
    <t>O01111</t>
  </si>
  <si>
    <t>O01112</t>
  </si>
  <si>
    <t>O01113</t>
  </si>
  <si>
    <t>O01114</t>
  </si>
  <si>
    <t>O01115</t>
  </si>
  <si>
    <t>Customer_671</t>
  </si>
  <si>
    <t>O01116</t>
  </si>
  <si>
    <t>O01117</t>
  </si>
  <si>
    <t>O01118</t>
  </si>
  <si>
    <t>O01119</t>
  </si>
  <si>
    <t>O01120</t>
  </si>
  <si>
    <t>O01121</t>
  </si>
  <si>
    <t>Customer_345</t>
  </si>
  <si>
    <t>O01122</t>
  </si>
  <si>
    <t>O01123</t>
  </si>
  <si>
    <t>O01124</t>
  </si>
  <si>
    <t>Product_317</t>
  </si>
  <si>
    <t>O01125</t>
  </si>
  <si>
    <t>O01126</t>
  </si>
  <si>
    <t>Product_311</t>
  </si>
  <si>
    <t>O01127</t>
  </si>
  <si>
    <t>O01128</t>
  </si>
  <si>
    <t>Customer_734</t>
  </si>
  <si>
    <t>O01129</t>
  </si>
  <si>
    <t>O01130</t>
  </si>
  <si>
    <t>O01131</t>
  </si>
  <si>
    <t>Customer_785</t>
  </si>
  <si>
    <t>O01132</t>
  </si>
  <si>
    <t>Customer_140</t>
  </si>
  <si>
    <t>O01133</t>
  </si>
  <si>
    <t>O01134</t>
  </si>
  <si>
    <t>O01135</t>
  </si>
  <si>
    <t>O01136</t>
  </si>
  <si>
    <t>Customer_319</t>
  </si>
  <si>
    <t>O01137</t>
  </si>
  <si>
    <t>Customer_696</t>
  </si>
  <si>
    <t>O01138</t>
  </si>
  <si>
    <t>O01139</t>
  </si>
  <si>
    <t>O01140</t>
  </si>
  <si>
    <t>O01141</t>
  </si>
  <si>
    <t>O01142</t>
  </si>
  <si>
    <t>O01143</t>
  </si>
  <si>
    <t>O01144</t>
  </si>
  <si>
    <t>O01145</t>
  </si>
  <si>
    <t>O01146</t>
  </si>
  <si>
    <t>O01147</t>
  </si>
  <si>
    <t>Customer_105</t>
  </si>
  <si>
    <t>O01148</t>
  </si>
  <si>
    <t>O01149</t>
  </si>
  <si>
    <t>O01150</t>
  </si>
  <si>
    <t>O01151</t>
  </si>
  <si>
    <t>O01152</t>
  </si>
  <si>
    <t>Customer_657</t>
  </si>
  <si>
    <t>O01153</t>
  </si>
  <si>
    <t>O01154</t>
  </si>
  <si>
    <t>O01155</t>
  </si>
  <si>
    <t>Customer_501</t>
  </si>
  <si>
    <t>O01156</t>
  </si>
  <si>
    <t>O01157</t>
  </si>
  <si>
    <t>Customer_41</t>
  </si>
  <si>
    <t>O01158</t>
  </si>
  <si>
    <t>O01159</t>
  </si>
  <si>
    <t>Customer_1</t>
  </si>
  <si>
    <t>O01160</t>
  </si>
  <si>
    <t>O01161</t>
  </si>
  <si>
    <t>O01162</t>
  </si>
  <si>
    <t>O01163</t>
  </si>
  <si>
    <t>O01164</t>
  </si>
  <si>
    <t>O01165</t>
  </si>
  <si>
    <t>O01166</t>
  </si>
  <si>
    <t>O01167</t>
  </si>
  <si>
    <t>Product_466</t>
  </si>
  <si>
    <t>O01168</t>
  </si>
  <si>
    <t>O01169</t>
  </si>
  <si>
    <t>Customer_98</t>
  </si>
  <si>
    <t>O01170</t>
  </si>
  <si>
    <t>Customer_326</t>
  </si>
  <si>
    <t>O01171</t>
  </si>
  <si>
    <t>Customer_489</t>
  </si>
  <si>
    <t>Product_133</t>
  </si>
  <si>
    <t>O01172</t>
  </si>
  <si>
    <t>O01173</t>
  </si>
  <si>
    <t>O01174</t>
  </si>
  <si>
    <t>O01175</t>
  </si>
  <si>
    <t>O01176</t>
  </si>
  <si>
    <t>O01177</t>
  </si>
  <si>
    <t>O01178</t>
  </si>
  <si>
    <t>O01179</t>
  </si>
  <si>
    <t>O01180</t>
  </si>
  <si>
    <t>O01181</t>
  </si>
  <si>
    <t>O01182</t>
  </si>
  <si>
    <t>Customer_307</t>
  </si>
  <si>
    <t>Product_151</t>
  </si>
  <si>
    <t>O01183</t>
  </si>
  <si>
    <t>O01184</t>
  </si>
  <si>
    <t>Customer_337</t>
  </si>
  <si>
    <t>O01185</t>
  </si>
  <si>
    <t>Customer_104</t>
  </si>
  <si>
    <t>O01186</t>
  </si>
  <si>
    <t>O01187</t>
  </si>
  <si>
    <t>Product_56</t>
  </si>
  <si>
    <t>O01188</t>
  </si>
  <si>
    <t>O01189</t>
  </si>
  <si>
    <t>Product_462</t>
  </si>
  <si>
    <t>O01190</t>
  </si>
  <si>
    <t>Customer_122</t>
  </si>
  <si>
    <t>O01191</t>
  </si>
  <si>
    <t>Customer_514</t>
  </si>
  <si>
    <t>Product_68</t>
  </si>
  <si>
    <t>O01192</t>
  </si>
  <si>
    <t>O01193</t>
  </si>
  <si>
    <t>O01194</t>
  </si>
  <si>
    <t>O01195</t>
  </si>
  <si>
    <t>O01196</t>
  </si>
  <si>
    <t>O01197</t>
  </si>
  <si>
    <t>Customer_418</t>
  </si>
  <si>
    <t>O01198</t>
  </si>
  <si>
    <t>Customer_660</t>
  </si>
  <si>
    <t>O01199</t>
  </si>
  <si>
    <t>O01200</t>
  </si>
  <si>
    <t>Customer_287</t>
  </si>
  <si>
    <t>O01201</t>
  </si>
  <si>
    <t>O01202</t>
  </si>
  <si>
    <t>O01203</t>
  </si>
  <si>
    <t>O01204</t>
  </si>
  <si>
    <t>O01205</t>
  </si>
  <si>
    <t>O01206</t>
  </si>
  <si>
    <t>O01207</t>
  </si>
  <si>
    <t>Customer_516</t>
  </si>
  <si>
    <t>O01208</t>
  </si>
  <si>
    <t>O01209</t>
  </si>
  <si>
    <t>O01210</t>
  </si>
  <si>
    <t>Customer_224</t>
  </si>
  <si>
    <t>O01211</t>
  </si>
  <si>
    <t>Customer_304</t>
  </si>
  <si>
    <t>Product_283</t>
  </si>
  <si>
    <t>O01212</t>
  </si>
  <si>
    <t>O01213</t>
  </si>
  <si>
    <t>Customer_548</t>
  </si>
  <si>
    <t>O01214</t>
  </si>
  <si>
    <t>O01215</t>
  </si>
  <si>
    <t>O01216</t>
  </si>
  <si>
    <t>O01217</t>
  </si>
  <si>
    <t>Customer_226</t>
  </si>
  <si>
    <t>O01218</t>
  </si>
  <si>
    <t>Customer_238</t>
  </si>
  <si>
    <t>O01219</t>
  </si>
  <si>
    <t>Customer_194</t>
  </si>
  <si>
    <t>O01220</t>
  </si>
  <si>
    <t>Customer_404</t>
  </si>
  <si>
    <t>O01221</t>
  </si>
  <si>
    <t>O01222</t>
  </si>
  <si>
    <t>O01223</t>
  </si>
  <si>
    <t>Product_437</t>
  </si>
  <si>
    <t>O01224</t>
  </si>
  <si>
    <t>Customer_168</t>
  </si>
  <si>
    <t>O01225</t>
  </si>
  <si>
    <t>O01226</t>
  </si>
  <si>
    <t>Customer_146</t>
  </si>
  <si>
    <t>O01227</t>
  </si>
  <si>
    <t>O01228</t>
  </si>
  <si>
    <t>O01229</t>
  </si>
  <si>
    <t>Customer_620</t>
  </si>
  <si>
    <t>O01230</t>
  </si>
  <si>
    <t>O01231</t>
  </si>
  <si>
    <t>O01232</t>
  </si>
  <si>
    <t>O01233</t>
  </si>
  <si>
    <t>O01234</t>
  </si>
  <si>
    <t>O01235</t>
  </si>
  <si>
    <t>O01236</t>
  </si>
  <si>
    <t>O01237</t>
  </si>
  <si>
    <t>O01238</t>
  </si>
  <si>
    <t>Customer_472</t>
  </si>
  <si>
    <t>O01239</t>
  </si>
  <si>
    <t>O01240</t>
  </si>
  <si>
    <t>O01241</t>
  </si>
  <si>
    <t>Customer_13</t>
  </si>
  <si>
    <t>O01242</t>
  </si>
  <si>
    <t>O01243</t>
  </si>
  <si>
    <t>O01244</t>
  </si>
  <si>
    <t>O01245</t>
  </si>
  <si>
    <t>O01246</t>
  </si>
  <si>
    <t>O01247</t>
  </si>
  <si>
    <t>O01248</t>
  </si>
  <si>
    <t>O01249</t>
  </si>
  <si>
    <t>O01250</t>
  </si>
  <si>
    <t>Customer_579</t>
  </si>
  <si>
    <t>O01251</t>
  </si>
  <si>
    <t>Product_491</t>
  </si>
  <si>
    <t>O01252</t>
  </si>
  <si>
    <t>O01253</t>
  </si>
  <si>
    <t>O01254</t>
  </si>
  <si>
    <t>Customer_96</t>
  </si>
  <si>
    <t>O01255</t>
  </si>
  <si>
    <t>Customer_529</t>
  </si>
  <si>
    <t>O01256</t>
  </si>
  <si>
    <t>O01257</t>
  </si>
  <si>
    <t>O01258</t>
  </si>
  <si>
    <t>Customer_97</t>
  </si>
  <si>
    <t>O01259</t>
  </si>
  <si>
    <t>O01260</t>
  </si>
  <si>
    <t>O01261</t>
  </si>
  <si>
    <t>Customer_635</t>
  </si>
  <si>
    <t>O01262</t>
  </si>
  <si>
    <t>O01263</t>
  </si>
  <si>
    <t>O01264</t>
  </si>
  <si>
    <t>Customer_398</t>
  </si>
  <si>
    <t>O01265</t>
  </si>
  <si>
    <t>O01266</t>
  </si>
  <si>
    <t>O01267</t>
  </si>
  <si>
    <t>O01268</t>
  </si>
  <si>
    <t>O01269</t>
  </si>
  <si>
    <t>Product_109</t>
  </si>
  <si>
    <t>O01270</t>
  </si>
  <si>
    <t>O01271</t>
  </si>
  <si>
    <t>O01272</t>
  </si>
  <si>
    <t>O01273</t>
  </si>
  <si>
    <t>O01274</t>
  </si>
  <si>
    <t>O01275</t>
  </si>
  <si>
    <t>O01276</t>
  </si>
  <si>
    <t>O01277</t>
  </si>
  <si>
    <t>O01278</t>
  </si>
  <si>
    <t>Customer_616</t>
  </si>
  <si>
    <t>O01279</t>
  </si>
  <si>
    <t>Customer_380</t>
  </si>
  <si>
    <t>O01280</t>
  </si>
  <si>
    <t>O01281</t>
  </si>
  <si>
    <t>O01282</t>
  </si>
  <si>
    <t>Product_325</t>
  </si>
  <si>
    <t>O01283</t>
  </si>
  <si>
    <t>O01284</t>
  </si>
  <si>
    <t>Customer_558</t>
  </si>
  <si>
    <t>O01285</t>
  </si>
  <si>
    <t>O01286</t>
  </si>
  <si>
    <t>O01287</t>
  </si>
  <si>
    <t>O01288</t>
  </si>
  <si>
    <t>O01289</t>
  </si>
  <si>
    <t>O01290</t>
  </si>
  <si>
    <t>O01291</t>
  </si>
  <si>
    <t>Customer_413</t>
  </si>
  <si>
    <t>Product_265</t>
  </si>
  <si>
    <t>O01292</t>
  </si>
  <si>
    <t>O01293</t>
  </si>
  <si>
    <t>O01294</t>
  </si>
  <si>
    <t>O01295</t>
  </si>
  <si>
    <t>Customer_192</t>
  </si>
  <si>
    <t>O01296</t>
  </si>
  <si>
    <t>O01297</t>
  </si>
  <si>
    <t>O01298</t>
  </si>
  <si>
    <t>Product_433</t>
  </si>
  <si>
    <t>O01299</t>
  </si>
  <si>
    <t>Customer_499</t>
  </si>
  <si>
    <t>O01300</t>
  </si>
  <si>
    <t>O01301</t>
  </si>
  <si>
    <t>O01302</t>
  </si>
  <si>
    <t>Customer_198</t>
  </si>
  <si>
    <t>O01303</t>
  </si>
  <si>
    <t>O01304</t>
  </si>
  <si>
    <t>O01305</t>
  </si>
  <si>
    <t>O01306</t>
  </si>
  <si>
    <t>O01307</t>
  </si>
  <si>
    <t>O01308</t>
  </si>
  <si>
    <t>Customer_205</t>
  </si>
  <si>
    <t>O01309</t>
  </si>
  <si>
    <t>O01310</t>
  </si>
  <si>
    <t>Product_220</t>
  </si>
  <si>
    <t>O01311</t>
  </si>
  <si>
    <t>O01312</t>
  </si>
  <si>
    <t>O01313</t>
  </si>
  <si>
    <t>Customer_285</t>
  </si>
  <si>
    <t>O01314</t>
  </si>
  <si>
    <t>Customer_202</t>
  </si>
  <si>
    <t>O01315</t>
  </si>
  <si>
    <t>O01316</t>
  </si>
  <si>
    <t>O01317</t>
  </si>
  <si>
    <t>O01318</t>
  </si>
  <si>
    <t>Customer_772</t>
  </si>
  <si>
    <t>Product_205</t>
  </si>
  <si>
    <t>O01319</t>
  </si>
  <si>
    <t>O01320</t>
  </si>
  <si>
    <t>O01321</t>
  </si>
  <si>
    <t>O01322</t>
  </si>
  <si>
    <t>Customer_114</t>
  </si>
  <si>
    <t>O01323</t>
  </si>
  <si>
    <t>Customer_277</t>
  </si>
  <si>
    <t>O01324</t>
  </si>
  <si>
    <t>O01325</t>
  </si>
  <si>
    <t>O01326</t>
  </si>
  <si>
    <t>O01327</t>
  </si>
  <si>
    <t>O01328</t>
  </si>
  <si>
    <t>O01329</t>
  </si>
  <si>
    <t>O01330</t>
  </si>
  <si>
    <t>O01331</t>
  </si>
  <si>
    <t>O01332</t>
  </si>
  <si>
    <t>O01333</t>
  </si>
  <si>
    <t>O01334</t>
  </si>
  <si>
    <t>O01335</t>
  </si>
  <si>
    <t>O01336</t>
  </si>
  <si>
    <t>O01337</t>
  </si>
  <si>
    <t>O01338</t>
  </si>
  <si>
    <t>O01339</t>
  </si>
  <si>
    <t>Customer_638</t>
  </si>
  <si>
    <t>O01340</t>
  </si>
  <si>
    <t>Customer_341</t>
  </si>
  <si>
    <t>Product_73</t>
  </si>
  <si>
    <t>O01341</t>
  </si>
  <si>
    <t>Customer_79</t>
  </si>
  <si>
    <t>O01342</t>
  </si>
  <si>
    <t>Customer_484</t>
  </si>
  <si>
    <t>O01343</t>
  </si>
  <si>
    <t>O01344</t>
  </si>
  <si>
    <t>O01345</t>
  </si>
  <si>
    <t>O01346</t>
  </si>
  <si>
    <t>O01347</t>
  </si>
  <si>
    <t>O01348</t>
  </si>
  <si>
    <t>O01349</t>
  </si>
  <si>
    <t>O01350</t>
  </si>
  <si>
    <t>O01351</t>
  </si>
  <si>
    <t>O01352</t>
  </si>
  <si>
    <t>Customer_16</t>
  </si>
  <si>
    <t>O01353</t>
  </si>
  <si>
    <t>O01354</t>
  </si>
  <si>
    <t>Customer_682</t>
  </si>
  <si>
    <t>O01355</t>
  </si>
  <si>
    <t>O01356</t>
  </si>
  <si>
    <t>Customer_433</t>
  </si>
  <si>
    <t>O01357</t>
  </si>
  <si>
    <t>O01358</t>
  </si>
  <si>
    <t>O01359</t>
  </si>
  <si>
    <t>O01360</t>
  </si>
  <si>
    <t>O01361</t>
  </si>
  <si>
    <t>O01362</t>
  </si>
  <si>
    <t>O01363</t>
  </si>
  <si>
    <t>O01364</t>
  </si>
  <si>
    <t>O01365</t>
  </si>
  <si>
    <t>O01366</t>
  </si>
  <si>
    <t>O01367</t>
  </si>
  <si>
    <t>Customer_705</t>
  </si>
  <si>
    <t>O01368</t>
  </si>
  <si>
    <t>Customer_210</t>
  </si>
  <si>
    <t>O01369</t>
  </si>
  <si>
    <t>O01370</t>
  </si>
  <si>
    <t>O01371</t>
  </si>
  <si>
    <t>Customer_175</t>
  </si>
  <si>
    <t>O01372</t>
  </si>
  <si>
    <t>O01373</t>
  </si>
  <si>
    <t>O01374</t>
  </si>
  <si>
    <t>Customer_673</t>
  </si>
  <si>
    <t>O01375</t>
  </si>
  <si>
    <t>Customer_367</t>
  </si>
  <si>
    <t>O01376</t>
  </si>
  <si>
    <t>Customer_672</t>
  </si>
  <si>
    <t>O01377</t>
  </si>
  <si>
    <t>O01378</t>
  </si>
  <si>
    <t>Customer_539</t>
  </si>
  <si>
    <t>O01379</t>
  </si>
  <si>
    <t>O01380</t>
  </si>
  <si>
    <t>O01381</t>
  </si>
  <si>
    <t>O01382</t>
  </si>
  <si>
    <t>O01383</t>
  </si>
  <si>
    <t>Product_101</t>
  </si>
  <si>
    <t>O01384</t>
  </si>
  <si>
    <t>O01385</t>
  </si>
  <si>
    <t>O01386</t>
  </si>
  <si>
    <t>Product_98</t>
  </si>
  <si>
    <t>O01387</t>
  </si>
  <si>
    <t>Customer_142</t>
  </si>
  <si>
    <t>O01388</t>
  </si>
  <si>
    <t>O01389</t>
  </si>
  <si>
    <t>O01390</t>
  </si>
  <si>
    <t>O01391</t>
  </si>
  <si>
    <t>O01392</t>
  </si>
  <si>
    <t>O01393</t>
  </si>
  <si>
    <t>Product_38</t>
  </si>
  <si>
    <t>O01394</t>
  </si>
  <si>
    <t>O01395</t>
  </si>
  <si>
    <t>O01396</t>
  </si>
  <si>
    <t>O01397</t>
  </si>
  <si>
    <t>O01398</t>
  </si>
  <si>
    <t>Customer_119</t>
  </si>
  <si>
    <t>O01399</t>
  </si>
  <si>
    <t>O01400</t>
  </si>
  <si>
    <t>O01401</t>
  </si>
  <si>
    <t>O01402</t>
  </si>
  <si>
    <t>Product_246</t>
  </si>
  <si>
    <t>O01403</t>
  </si>
  <si>
    <t>O01404</t>
  </si>
  <si>
    <t>Product_270</t>
  </si>
  <si>
    <t>O01405</t>
  </si>
  <si>
    <t>Product_144</t>
  </si>
  <si>
    <t>O01406</t>
  </si>
  <si>
    <t>O01407</t>
  </si>
  <si>
    <t>O01408</t>
  </si>
  <si>
    <t>O01409</t>
  </si>
  <si>
    <t>O01410</t>
  </si>
  <si>
    <t>O01411</t>
  </si>
  <si>
    <t>O01412</t>
  </si>
  <si>
    <t>O01413</t>
  </si>
  <si>
    <t>O01414</t>
  </si>
  <si>
    <t>O01415</t>
  </si>
  <si>
    <t>O01416</t>
  </si>
  <si>
    <t>O01417</t>
  </si>
  <si>
    <t>O01418</t>
  </si>
  <si>
    <t>Customer_565</t>
  </si>
  <si>
    <t>O01419</t>
  </si>
  <si>
    <t>O01420</t>
  </si>
  <si>
    <t>O01421</t>
  </si>
  <si>
    <t>O01422</t>
  </si>
  <si>
    <t>O01423</t>
  </si>
  <si>
    <t>Customer_334</t>
  </si>
  <si>
    <t>O01424</t>
  </si>
  <si>
    <t>O01425</t>
  </si>
  <si>
    <t>O01426</t>
  </si>
  <si>
    <t>O01427</t>
  </si>
  <si>
    <t>O01428</t>
  </si>
  <si>
    <t>O01429</t>
  </si>
  <si>
    <t>O01430</t>
  </si>
  <si>
    <t>O01431</t>
  </si>
  <si>
    <t>O01432</t>
  </si>
  <si>
    <t>Customer_460</t>
  </si>
  <si>
    <t>O01433</t>
  </si>
  <si>
    <t>Customer_599</t>
  </si>
  <si>
    <t>O01434</t>
  </si>
  <si>
    <t>O01435</t>
  </si>
  <si>
    <t>O01436</t>
  </si>
  <si>
    <t>O01437</t>
  </si>
  <si>
    <t>O01438</t>
  </si>
  <si>
    <t>O01439</t>
  </si>
  <si>
    <t>O01440</t>
  </si>
  <si>
    <t>Customer_156</t>
  </si>
  <si>
    <t>O01441</t>
  </si>
  <si>
    <t>O01442</t>
  </si>
  <si>
    <t>O01443</t>
  </si>
  <si>
    <t>O01444</t>
  </si>
  <si>
    <t>O01445</t>
  </si>
  <si>
    <t>O01446</t>
  </si>
  <si>
    <t>O01447</t>
  </si>
  <si>
    <t>O01448</t>
  </si>
  <si>
    <t>O01449</t>
  </si>
  <si>
    <t>O01450</t>
  </si>
  <si>
    <t>O01451</t>
  </si>
  <si>
    <t>O01452</t>
  </si>
  <si>
    <t>O01453</t>
  </si>
  <si>
    <t>O01454</t>
  </si>
  <si>
    <t>O01455</t>
  </si>
  <si>
    <t>O01456</t>
  </si>
  <si>
    <t>O01457</t>
  </si>
  <si>
    <t>O01458</t>
  </si>
  <si>
    <t>Customer_430</t>
  </si>
  <si>
    <t>O01459</t>
  </si>
  <si>
    <t>O01460</t>
  </si>
  <si>
    <t>O01461</t>
  </si>
  <si>
    <t>O01462</t>
  </si>
  <si>
    <t>O01463</t>
  </si>
  <si>
    <t>O01464</t>
  </si>
  <si>
    <t>O01465</t>
  </si>
  <si>
    <t>O01466</t>
  </si>
  <si>
    <t>Customer_406</t>
  </si>
  <si>
    <t>O01467</t>
  </si>
  <si>
    <t>O01468</t>
  </si>
  <si>
    <t>O01469</t>
  </si>
  <si>
    <t>O01470</t>
  </si>
  <si>
    <t>O01471</t>
  </si>
  <si>
    <t>O01472</t>
  </si>
  <si>
    <t>O01473</t>
  </si>
  <si>
    <t>O01474</t>
  </si>
  <si>
    <t>O01475</t>
  </si>
  <si>
    <t>O01476</t>
  </si>
  <si>
    <t>O01477</t>
  </si>
  <si>
    <t>O01478</t>
  </si>
  <si>
    <t>O01479</t>
  </si>
  <si>
    <t>O01480</t>
  </si>
  <si>
    <t>O01481</t>
  </si>
  <si>
    <t>Customer_108</t>
  </si>
  <si>
    <t>O01482</t>
  </si>
  <si>
    <t>Customer_171</t>
  </si>
  <si>
    <t>O01483</t>
  </si>
  <si>
    <t>O01484</t>
  </si>
  <si>
    <t>O01485</t>
  </si>
  <si>
    <t>O01486</t>
  </si>
  <si>
    <t>O01487</t>
  </si>
  <si>
    <t>O01488</t>
  </si>
  <si>
    <t>O01489</t>
  </si>
  <si>
    <t>O01490</t>
  </si>
  <si>
    <t>O01491</t>
  </si>
  <si>
    <t>O01492</t>
  </si>
  <si>
    <t>O01493</t>
  </si>
  <si>
    <t>Customer_685</t>
  </si>
  <si>
    <t>O01494</t>
  </si>
  <si>
    <t>O01495</t>
  </si>
  <si>
    <t>O01496</t>
  </si>
  <si>
    <t>O01497</t>
  </si>
  <si>
    <t>O01498</t>
  </si>
  <si>
    <t>Customer_712</t>
  </si>
  <si>
    <t>O01499</t>
  </si>
  <si>
    <t>O01500</t>
  </si>
  <si>
    <t>O01501</t>
  </si>
  <si>
    <t>O01502</t>
  </si>
  <si>
    <t>O01503</t>
  </si>
  <si>
    <t>O01504</t>
  </si>
  <si>
    <t>O01505</t>
  </si>
  <si>
    <t>O01506</t>
  </si>
  <si>
    <t>O01507</t>
  </si>
  <si>
    <t>O01508</t>
  </si>
  <si>
    <t>O01509</t>
  </si>
  <si>
    <t>O01510</t>
  </si>
  <si>
    <t>O01511</t>
  </si>
  <si>
    <t>Customer_475</t>
  </si>
  <si>
    <t>O01512</t>
  </si>
  <si>
    <t>O01513</t>
  </si>
  <si>
    <t>O01514</t>
  </si>
  <si>
    <t>O01515</t>
  </si>
  <si>
    <t>O01516</t>
  </si>
  <si>
    <t>O01517</t>
  </si>
  <si>
    <t>Product_107</t>
  </si>
  <si>
    <t>O01518</t>
  </si>
  <si>
    <t>O01519</t>
  </si>
  <si>
    <t>Customer_191</t>
  </si>
  <si>
    <t>O01520</t>
  </si>
  <si>
    <t>O01521</t>
  </si>
  <si>
    <t>O01522</t>
  </si>
  <si>
    <t>Customer_468</t>
  </si>
  <si>
    <t>O01523</t>
  </si>
  <si>
    <t>O01524</t>
  </si>
  <si>
    <t>O01525</t>
  </si>
  <si>
    <t>Customer_612</t>
  </si>
  <si>
    <t>O01526</t>
  </si>
  <si>
    <t>O01527</t>
  </si>
  <si>
    <t>Customer_177</t>
  </si>
  <si>
    <t>O01528</t>
  </si>
  <si>
    <t>O01529</t>
  </si>
  <si>
    <t>Customer_218</t>
  </si>
  <si>
    <t>O01530</t>
  </si>
  <si>
    <t>O01531</t>
  </si>
  <si>
    <t>O01532</t>
  </si>
  <si>
    <t>O01533</t>
  </si>
  <si>
    <t>O01534</t>
  </si>
  <si>
    <t>O01535</t>
  </si>
  <si>
    <t>O01536</t>
  </si>
  <si>
    <t>O01537</t>
  </si>
  <si>
    <t>O01538</t>
  </si>
  <si>
    <t>O01539</t>
  </si>
  <si>
    <t>O01540</t>
  </si>
  <si>
    <t>O01541</t>
  </si>
  <si>
    <t>O01542</t>
  </si>
  <si>
    <t>O01543</t>
  </si>
  <si>
    <t>O01544</t>
  </si>
  <si>
    <t>O01545</t>
  </si>
  <si>
    <t>O01546</t>
  </si>
  <si>
    <t>O01547</t>
  </si>
  <si>
    <t>O01548</t>
  </si>
  <si>
    <t>O01549</t>
  </si>
  <si>
    <t>O01550</t>
  </si>
  <si>
    <t>O01551</t>
  </si>
  <si>
    <t>O01552</t>
  </si>
  <si>
    <t>Customer_425</t>
  </si>
  <si>
    <t>O01553</t>
  </si>
  <si>
    <t>O01554</t>
  </si>
  <si>
    <t>O01555</t>
  </si>
  <si>
    <t>O01556</t>
  </si>
  <si>
    <t>O01557</t>
  </si>
  <si>
    <t>O01558</t>
  </si>
  <si>
    <t>O01559</t>
  </si>
  <si>
    <t>O01560</t>
  </si>
  <si>
    <t>O01561</t>
  </si>
  <si>
    <t>O01562</t>
  </si>
  <si>
    <t>O01563</t>
  </si>
  <si>
    <t>O01564</t>
  </si>
  <si>
    <t>O01565</t>
  </si>
  <si>
    <t>O01566</t>
  </si>
  <si>
    <t>Customer_230</t>
  </si>
  <si>
    <t>O01567</t>
  </si>
  <si>
    <t>O01568</t>
  </si>
  <si>
    <t>O01569</t>
  </si>
  <si>
    <t>O01570</t>
  </si>
  <si>
    <t>O01571</t>
  </si>
  <si>
    <t>O01572</t>
  </si>
  <si>
    <t>O01573</t>
  </si>
  <si>
    <t>O01574</t>
  </si>
  <si>
    <t>O01575</t>
  </si>
  <si>
    <t>O01576</t>
  </si>
  <si>
    <t>Customer_269</t>
  </si>
  <si>
    <t>O01577</t>
  </si>
  <si>
    <t>O01578</t>
  </si>
  <si>
    <t>O01579</t>
  </si>
  <si>
    <t>O01580</t>
  </si>
  <si>
    <t>O01581</t>
  </si>
  <si>
    <t>O01582</t>
  </si>
  <si>
    <t>O01583</t>
  </si>
  <si>
    <t>O01584</t>
  </si>
  <si>
    <t>O01585</t>
  </si>
  <si>
    <t>O01586</t>
  </si>
  <si>
    <t>O01587</t>
  </si>
  <si>
    <t>O01588</t>
  </si>
  <si>
    <t>O01589</t>
  </si>
  <si>
    <t>O01590</t>
  </si>
  <si>
    <t>O01591</t>
  </si>
  <si>
    <t>Customer_311</t>
  </si>
  <si>
    <t>O01592</t>
  </si>
  <si>
    <t>Customer_53</t>
  </si>
  <si>
    <t>O01593</t>
  </si>
  <si>
    <t>O01594</t>
  </si>
  <si>
    <t>O01595</t>
  </si>
  <si>
    <t>O01596</t>
  </si>
  <si>
    <t>O01597</t>
  </si>
  <si>
    <t>O01598</t>
  </si>
  <si>
    <t>O01599</t>
  </si>
  <si>
    <t>O01600</t>
  </si>
  <si>
    <t>O01601</t>
  </si>
  <si>
    <t>O01602</t>
  </si>
  <si>
    <t>O01603</t>
  </si>
  <si>
    <t>O01604</t>
  </si>
  <si>
    <t>O01605</t>
  </si>
  <si>
    <t>O01606</t>
  </si>
  <si>
    <t>O01607</t>
  </si>
  <si>
    <t>O01608</t>
  </si>
  <si>
    <t>O01609</t>
  </si>
  <si>
    <t>Customer_622</t>
  </si>
  <si>
    <t>O01610</t>
  </si>
  <si>
    <t>O01611</t>
  </si>
  <si>
    <t>O01612</t>
  </si>
  <si>
    <t>O01613</t>
  </si>
  <si>
    <t>O01614</t>
  </si>
  <si>
    <t>O01615</t>
  </si>
  <si>
    <t>O01616</t>
  </si>
  <si>
    <t>O01617</t>
  </si>
  <si>
    <t>O01618</t>
  </si>
  <si>
    <t>O01619</t>
  </si>
  <si>
    <t>O01620</t>
  </si>
  <si>
    <t>O01621</t>
  </si>
  <si>
    <t>O01622</t>
  </si>
  <si>
    <t>O01623</t>
  </si>
  <si>
    <t>Customer_206</t>
  </si>
  <si>
    <t>O01624</t>
  </si>
  <si>
    <t>O01625</t>
  </si>
  <si>
    <t>O01626</t>
  </si>
  <si>
    <t>Customer_791</t>
  </si>
  <si>
    <t>O01627</t>
  </si>
  <si>
    <t>O01628</t>
  </si>
  <si>
    <t>O01629</t>
  </si>
  <si>
    <t>O01630</t>
  </si>
  <si>
    <t>O01631</t>
  </si>
  <si>
    <t>O01632</t>
  </si>
  <si>
    <t>O01633</t>
  </si>
  <si>
    <t>O01634</t>
  </si>
  <si>
    <t>O01635</t>
  </si>
  <si>
    <t>O01636</t>
  </si>
  <si>
    <t>O01637</t>
  </si>
  <si>
    <t>O01638</t>
  </si>
  <si>
    <t>O01639</t>
  </si>
  <si>
    <t>Customer_229</t>
  </si>
  <si>
    <t>O01640</t>
  </si>
  <si>
    <t>O01641</t>
  </si>
  <si>
    <t>O01642</t>
  </si>
  <si>
    <t>Customer_767</t>
  </si>
  <si>
    <t>O01643</t>
  </si>
  <si>
    <t>O01644</t>
  </si>
  <si>
    <t>Customer_748</t>
  </si>
  <si>
    <t>O01645</t>
  </si>
  <si>
    <t>O01646</t>
  </si>
  <si>
    <t>O01647</t>
  </si>
  <si>
    <t>Product_166</t>
  </si>
  <si>
    <t>O01648</t>
  </si>
  <si>
    <t>Customer_416</t>
  </si>
  <si>
    <t>Product_110</t>
  </si>
  <si>
    <t>O01649</t>
  </si>
  <si>
    <t>Customer_787</t>
  </si>
  <si>
    <t>Product_173</t>
  </si>
  <si>
    <t>O01650</t>
  </si>
  <si>
    <t>O01651</t>
  </si>
  <si>
    <t>O01652</t>
  </si>
  <si>
    <t>O01653</t>
  </si>
  <si>
    <t>O01654</t>
  </si>
  <si>
    <t>O01655</t>
  </si>
  <si>
    <t>O01656</t>
  </si>
  <si>
    <t>O01657</t>
  </si>
  <si>
    <t>O01658</t>
  </si>
  <si>
    <t>O01659</t>
  </si>
  <si>
    <t>Customer_214</t>
  </si>
  <si>
    <t>O01660</t>
  </si>
  <si>
    <t>O01661</t>
  </si>
  <si>
    <t>O01662</t>
  </si>
  <si>
    <t>O01663</t>
  </si>
  <si>
    <t>Product_119</t>
  </si>
  <si>
    <t>O01664</t>
  </si>
  <si>
    <t>O01665</t>
  </si>
  <si>
    <t>O01666</t>
  </si>
  <si>
    <t>O01667</t>
  </si>
  <si>
    <t>O01668</t>
  </si>
  <si>
    <t>O01669</t>
  </si>
  <si>
    <t>Customer_249</t>
  </si>
  <si>
    <t>O01670</t>
  </si>
  <si>
    <t>O01671</t>
  </si>
  <si>
    <t>O01672</t>
  </si>
  <si>
    <t>O01673</t>
  </si>
  <si>
    <t>Customer_644</t>
  </si>
  <si>
    <t>O01674</t>
  </si>
  <si>
    <t>O01675</t>
  </si>
  <si>
    <t>O01676</t>
  </si>
  <si>
    <t>O01677</t>
  </si>
  <si>
    <t>O01678</t>
  </si>
  <si>
    <t>Customer_314</t>
  </si>
  <si>
    <t>O01679</t>
  </si>
  <si>
    <t>O01680</t>
  </si>
  <si>
    <t>O01681</t>
  </si>
  <si>
    <t>O01682</t>
  </si>
  <si>
    <t>O01683</t>
  </si>
  <si>
    <t>O01684</t>
  </si>
  <si>
    <t>O01685</t>
  </si>
  <si>
    <t>O01686</t>
  </si>
  <si>
    <t>O01687</t>
  </si>
  <si>
    <t>O01688</t>
  </si>
  <si>
    <t>O01689</t>
  </si>
  <si>
    <t>Product_408</t>
  </si>
  <si>
    <t>O01690</t>
  </si>
  <si>
    <t>O01691</t>
  </si>
  <si>
    <t>Product_239</t>
  </si>
  <si>
    <t>O01692</t>
  </si>
  <si>
    <t>O01693</t>
  </si>
  <si>
    <t>O01694</t>
  </si>
  <si>
    <t>O01695</t>
  </si>
  <si>
    <t>O01696</t>
  </si>
  <si>
    <t>O01697</t>
  </si>
  <si>
    <t>O01698</t>
  </si>
  <si>
    <t>Customer_186</t>
  </si>
  <si>
    <t>O01699</t>
  </si>
  <si>
    <t>O01700</t>
  </si>
  <si>
    <t>O01701</t>
  </si>
  <si>
    <t>O01702</t>
  </si>
  <si>
    <t>O01703</t>
  </si>
  <si>
    <t>O01704</t>
  </si>
  <si>
    <t>O01705</t>
  </si>
  <si>
    <t>Customer_159</t>
  </si>
  <si>
    <t>O01706</t>
  </si>
  <si>
    <t>O01707</t>
  </si>
  <si>
    <t>O01708</t>
  </si>
  <si>
    <t>O01709</t>
  </si>
  <si>
    <t>O01710</t>
  </si>
  <si>
    <t>Customer_43</t>
  </si>
  <si>
    <t>O01711</t>
  </si>
  <si>
    <t>O01712</t>
  </si>
  <si>
    <t>O01713</t>
  </si>
  <si>
    <t>Customer_414</t>
  </si>
  <si>
    <t>O01714</t>
  </si>
  <si>
    <t>O01715</t>
  </si>
  <si>
    <t>O01716</t>
  </si>
  <si>
    <t>O01717</t>
  </si>
  <si>
    <t>O01718</t>
  </si>
  <si>
    <t>O01719</t>
  </si>
  <si>
    <t>O01720</t>
  </si>
  <si>
    <t>O01721</t>
  </si>
  <si>
    <t>Product_452</t>
  </si>
  <si>
    <t>O01722</t>
  </si>
  <si>
    <t>O01723</t>
  </si>
  <si>
    <t>Customer_798</t>
  </si>
  <si>
    <t>O01724</t>
  </si>
  <si>
    <t>O01725</t>
  </si>
  <si>
    <t>O01726</t>
  </si>
  <si>
    <t>O01727</t>
  </si>
  <si>
    <t>O01728</t>
  </si>
  <si>
    <t>O01729</t>
  </si>
  <si>
    <t>O01730</t>
  </si>
  <si>
    <t>O01731</t>
  </si>
  <si>
    <t>O01732</t>
  </si>
  <si>
    <t>O01733</t>
  </si>
  <si>
    <t>O01734</t>
  </si>
  <si>
    <t>O01735</t>
  </si>
  <si>
    <t>O01736</t>
  </si>
  <si>
    <t>O01737</t>
  </si>
  <si>
    <t>O01738</t>
  </si>
  <si>
    <t>O01739</t>
  </si>
  <si>
    <t>O01740</t>
  </si>
  <si>
    <t>O01741</t>
  </si>
  <si>
    <t>O01742</t>
  </si>
  <si>
    <t>Product_228</t>
  </si>
  <si>
    <t>O01743</t>
  </si>
  <si>
    <t>O01744</t>
  </si>
  <si>
    <t>O01745</t>
  </si>
  <si>
    <t>O01746</t>
  </si>
  <si>
    <t>O01747</t>
  </si>
  <si>
    <t>O01748</t>
  </si>
  <si>
    <t>O01749</t>
  </si>
  <si>
    <t>O01750</t>
  </si>
  <si>
    <t>O01751</t>
  </si>
  <si>
    <t>O01752</t>
  </si>
  <si>
    <t>Customer_164</t>
  </si>
  <si>
    <t>O01753</t>
  </si>
  <si>
    <t>O01754</t>
  </si>
  <si>
    <t>O01755</t>
  </si>
  <si>
    <t>O01756</t>
  </si>
  <si>
    <t>O01757</t>
  </si>
  <si>
    <t>O01758</t>
  </si>
  <si>
    <t>O01759</t>
  </si>
  <si>
    <t>O01760</t>
  </si>
  <si>
    <t>O01761</t>
  </si>
  <si>
    <t>O01762</t>
  </si>
  <si>
    <t>O01763</t>
  </si>
  <si>
    <t>O01764</t>
  </si>
  <si>
    <t>O01765</t>
  </si>
  <si>
    <t>O01766</t>
  </si>
  <si>
    <t>O01767</t>
  </si>
  <si>
    <t>Customer_78</t>
  </si>
  <si>
    <t>O01768</t>
  </si>
  <si>
    <t>Customer_597</t>
  </si>
  <si>
    <t>O01769</t>
  </si>
  <si>
    <t>O01770</t>
  </si>
  <si>
    <t>O01771</t>
  </si>
  <si>
    <t>O01772</t>
  </si>
  <si>
    <t>O01773</t>
  </si>
  <si>
    <t>O01774</t>
  </si>
  <si>
    <t>O01775</t>
  </si>
  <si>
    <t>O01776</t>
  </si>
  <si>
    <t>O01777</t>
  </si>
  <si>
    <t>O01778</t>
  </si>
  <si>
    <t>O01779</t>
  </si>
  <si>
    <t>O01780</t>
  </si>
  <si>
    <t>O01781</t>
  </si>
  <si>
    <t>O01782</t>
  </si>
  <si>
    <t>O01783</t>
  </si>
  <si>
    <t>O01784</t>
  </si>
  <si>
    <t>Customer_203</t>
  </si>
  <si>
    <t>O01785</t>
  </si>
  <si>
    <t>O01786</t>
  </si>
  <si>
    <t>Product_493</t>
  </si>
  <si>
    <t>O01787</t>
  </si>
  <si>
    <t>Customer_241</t>
  </si>
  <si>
    <t>O01788</t>
  </si>
  <si>
    <t>O01789</t>
  </si>
  <si>
    <t>O01790</t>
  </si>
  <si>
    <t>O01791</t>
  </si>
  <si>
    <t>O01792</t>
  </si>
  <si>
    <t>O01793</t>
  </si>
  <si>
    <t>O01794</t>
  </si>
  <si>
    <t>O01795</t>
  </si>
  <si>
    <t>O01796</t>
  </si>
  <si>
    <t>O01797</t>
  </si>
  <si>
    <t>O01798</t>
  </si>
  <si>
    <t>O01799</t>
  </si>
  <si>
    <t>Customer_148</t>
  </si>
  <si>
    <t>O01800</t>
  </si>
  <si>
    <t>O01801</t>
  </si>
  <si>
    <t>O01802</t>
  </si>
  <si>
    <t>O01803</t>
  </si>
  <si>
    <t>O01804</t>
  </si>
  <si>
    <t>O01805</t>
  </si>
  <si>
    <t>O01806</t>
  </si>
  <si>
    <t>O01807</t>
  </si>
  <si>
    <t>O01808</t>
  </si>
  <si>
    <t>O01809</t>
  </si>
  <si>
    <t>O01810</t>
  </si>
  <si>
    <t>O01811</t>
  </si>
  <si>
    <t>Customer_25</t>
  </si>
  <si>
    <t>Product_282</t>
  </si>
  <si>
    <t>O01812</t>
  </si>
  <si>
    <t>O01813</t>
  </si>
  <si>
    <t>O01814</t>
  </si>
  <si>
    <t>O01815</t>
  </si>
  <si>
    <t>O01816</t>
  </si>
  <si>
    <t>O01817</t>
  </si>
  <si>
    <t>O01818</t>
  </si>
  <si>
    <t>O01819</t>
  </si>
  <si>
    <t>O01820</t>
  </si>
  <si>
    <t>O01821</t>
  </si>
  <si>
    <t>O01822</t>
  </si>
  <si>
    <t>O01823</t>
  </si>
  <si>
    <t>O01824</t>
  </si>
  <si>
    <t>O01825</t>
  </si>
  <si>
    <t>O01826</t>
  </si>
  <si>
    <t>O01827</t>
  </si>
  <si>
    <t>O01828</t>
  </si>
  <si>
    <t>O01829</t>
  </si>
  <si>
    <t>O01830</t>
  </si>
  <si>
    <t>O01831</t>
  </si>
  <si>
    <t>O01832</t>
  </si>
  <si>
    <t>O01833</t>
  </si>
  <si>
    <t>O01834</t>
  </si>
  <si>
    <t>O01835</t>
  </si>
  <si>
    <t>Customer_697</t>
  </si>
  <si>
    <t>O01836</t>
  </si>
  <si>
    <t>O01837</t>
  </si>
  <si>
    <t>O01838</t>
  </si>
  <si>
    <t>O01839</t>
  </si>
  <si>
    <t>O01840</t>
  </si>
  <si>
    <t>O01841</t>
  </si>
  <si>
    <t>O01842</t>
  </si>
  <si>
    <t>O01843</t>
  </si>
  <si>
    <t>O01844</t>
  </si>
  <si>
    <t>O01845</t>
  </si>
  <si>
    <t>Customer_651</t>
  </si>
  <si>
    <t>O01846</t>
  </si>
  <si>
    <t>O01847</t>
  </si>
  <si>
    <t>O01848</t>
  </si>
  <si>
    <t>O01849</t>
  </si>
  <si>
    <t>O01850</t>
  </si>
  <si>
    <t>O01851</t>
  </si>
  <si>
    <t>O01852</t>
  </si>
  <si>
    <t>O01853</t>
  </si>
  <si>
    <t>O01854</t>
  </si>
  <si>
    <t>O01855</t>
  </si>
  <si>
    <t>O01856</t>
  </si>
  <si>
    <t>O01857</t>
  </si>
  <si>
    <t>O01858</t>
  </si>
  <si>
    <t>Customer_90</t>
  </si>
  <si>
    <t>O01859</t>
  </si>
  <si>
    <t>O01860</t>
  </si>
  <si>
    <t>O01861</t>
  </si>
  <si>
    <t>Customer_208</t>
  </si>
  <si>
    <t>O01862</t>
  </si>
  <si>
    <t>O01863</t>
  </si>
  <si>
    <t>O01864</t>
  </si>
  <si>
    <t>O01865</t>
  </si>
  <si>
    <t>O01866</t>
  </si>
  <si>
    <t>O01867</t>
  </si>
  <si>
    <t>O01868</t>
  </si>
  <si>
    <t>O01869</t>
  </si>
  <si>
    <t>Customer_444</t>
  </si>
  <si>
    <t>O01870</t>
  </si>
  <si>
    <t>O01871</t>
  </si>
  <si>
    <t>O01872</t>
  </si>
  <si>
    <t>O01873</t>
  </si>
  <si>
    <t>O01874</t>
  </si>
  <si>
    <t>O01875</t>
  </si>
  <si>
    <t>O01876</t>
  </si>
  <si>
    <t>O01877</t>
  </si>
  <si>
    <t>O01878</t>
  </si>
  <si>
    <t>O01879</t>
  </si>
  <si>
    <t>O01880</t>
  </si>
  <si>
    <t>O01881</t>
  </si>
  <si>
    <t>O01882</t>
  </si>
  <si>
    <t>O01883</t>
  </si>
  <si>
    <t>O01884</t>
  </si>
  <si>
    <t>O01885</t>
  </si>
  <si>
    <t>O01886</t>
  </si>
  <si>
    <t>O01887</t>
  </si>
  <si>
    <t>Customer_209</t>
  </si>
  <si>
    <t>O01888</t>
  </si>
  <si>
    <t>O01889</t>
  </si>
  <si>
    <t>O01890</t>
  </si>
  <si>
    <t>O01891</t>
  </si>
  <si>
    <t>O01892</t>
  </si>
  <si>
    <t>O01893</t>
  </si>
  <si>
    <t>O01894</t>
  </si>
  <si>
    <t>Customer_362</t>
  </si>
  <si>
    <t>O01895</t>
  </si>
  <si>
    <t>O01896</t>
  </si>
  <si>
    <t>O01897</t>
  </si>
  <si>
    <t>O01898</t>
  </si>
  <si>
    <t>O01899</t>
  </si>
  <si>
    <t>O01900</t>
  </si>
  <si>
    <t>O01901</t>
  </si>
  <si>
    <t>O01902</t>
  </si>
  <si>
    <t>O01903</t>
  </si>
  <si>
    <t>Customer_567</t>
  </si>
  <si>
    <t>O01904</t>
  </si>
  <si>
    <t>O01905</t>
  </si>
  <si>
    <t>O01906</t>
  </si>
  <si>
    <t>O01907</t>
  </si>
  <si>
    <t>Customer_69</t>
  </si>
  <si>
    <t>O01908</t>
  </si>
  <si>
    <t>O01909</t>
  </si>
  <si>
    <t>O01910</t>
  </si>
  <si>
    <t>Customer_38</t>
  </si>
  <si>
    <t>O01911</t>
  </si>
  <si>
    <t>O01912</t>
  </si>
  <si>
    <t>O01913</t>
  </si>
  <si>
    <t>O01914</t>
  </si>
  <si>
    <t>O01915</t>
  </si>
  <si>
    <t>O01916</t>
  </si>
  <si>
    <t>O01917</t>
  </si>
  <si>
    <t>Customer_12</t>
  </si>
  <si>
    <t>O01918</t>
  </si>
  <si>
    <t>O01919</t>
  </si>
  <si>
    <t>O01920</t>
  </si>
  <si>
    <t>O01921</t>
  </si>
  <si>
    <t>O01922</t>
  </si>
  <si>
    <t>O01923</t>
  </si>
  <si>
    <t>O01924</t>
  </si>
  <si>
    <t>Product_240</t>
  </si>
  <si>
    <t>O01925</t>
  </si>
  <si>
    <t>O01926</t>
  </si>
  <si>
    <t>O01927</t>
  </si>
  <si>
    <t>O01928</t>
  </si>
  <si>
    <t>O01929</t>
  </si>
  <si>
    <t>O01930</t>
  </si>
  <si>
    <t>O01931</t>
  </si>
  <si>
    <t>O01932</t>
  </si>
  <si>
    <t>O01933</t>
  </si>
  <si>
    <t>O01934</t>
  </si>
  <si>
    <t>O01935</t>
  </si>
  <si>
    <t>O01936</t>
  </si>
  <si>
    <t>Product_150</t>
  </si>
  <si>
    <t>O01937</t>
  </si>
  <si>
    <t>O01938</t>
  </si>
  <si>
    <t>O01939</t>
  </si>
  <si>
    <t>O01940</t>
  </si>
  <si>
    <t>O01941</t>
  </si>
  <si>
    <t>O01942</t>
  </si>
  <si>
    <t>O01943</t>
  </si>
  <si>
    <t>O01944</t>
  </si>
  <si>
    <t>O01945</t>
  </si>
  <si>
    <t>O01946</t>
  </si>
  <si>
    <t>O01947</t>
  </si>
  <si>
    <t>O01948</t>
  </si>
  <si>
    <t>O01949</t>
  </si>
  <si>
    <t>Customer_426</t>
  </si>
  <si>
    <t>O01950</t>
  </si>
  <si>
    <t>O01951</t>
  </si>
  <si>
    <t>O01952</t>
  </si>
  <si>
    <t>O01953</t>
  </si>
  <si>
    <t>Customer_605</t>
  </si>
  <si>
    <t>O01954</t>
  </si>
  <si>
    <t>O01955</t>
  </si>
  <si>
    <t>Customer_486</t>
  </si>
  <si>
    <t>O01956</t>
  </si>
  <si>
    <t>O01957</t>
  </si>
  <si>
    <t>O01958</t>
  </si>
  <si>
    <t>O01959</t>
  </si>
  <si>
    <t>O01960</t>
  </si>
  <si>
    <t>O01961</t>
  </si>
  <si>
    <t>O01962</t>
  </si>
  <si>
    <t>Customer_102</t>
  </si>
  <si>
    <t>O01963</t>
  </si>
  <si>
    <t>O01964</t>
  </si>
  <si>
    <t>O01965</t>
  </si>
  <si>
    <t>O01966</t>
  </si>
  <si>
    <t>O01967</t>
  </si>
  <si>
    <t>Customer_181</t>
  </si>
  <si>
    <t>O01968</t>
  </si>
  <si>
    <t>O01969</t>
  </si>
  <si>
    <t>O01970</t>
  </si>
  <si>
    <t>O01971</t>
  </si>
  <si>
    <t>O01972</t>
  </si>
  <si>
    <t>O01973</t>
  </si>
  <si>
    <t>O01974</t>
  </si>
  <si>
    <t>O01975</t>
  </si>
  <si>
    <t>O01976</t>
  </si>
  <si>
    <t>O01977</t>
  </si>
  <si>
    <t>O01978</t>
  </si>
  <si>
    <t>O01979</t>
  </si>
  <si>
    <t>O01980</t>
  </si>
  <si>
    <t>O01981</t>
  </si>
  <si>
    <t>O01982</t>
  </si>
  <si>
    <t>O01983</t>
  </si>
  <si>
    <t>O01984</t>
  </si>
  <si>
    <t>Customer_163</t>
  </si>
  <si>
    <t>Product_42</t>
  </si>
  <si>
    <t>O01985</t>
  </si>
  <si>
    <t>O01986</t>
  </si>
  <si>
    <t>Customer_522</t>
  </si>
  <si>
    <t>Product_209</t>
  </si>
  <si>
    <t>O01987</t>
  </si>
  <si>
    <t>O01988</t>
  </si>
  <si>
    <t>O01989</t>
  </si>
  <si>
    <t>O01990</t>
  </si>
  <si>
    <t>O01991</t>
  </si>
  <si>
    <t>O01992</t>
  </si>
  <si>
    <t>O01993</t>
  </si>
  <si>
    <t>O01994</t>
  </si>
  <si>
    <t>O01995</t>
  </si>
  <si>
    <t>O01996</t>
  </si>
  <si>
    <t>O01997</t>
  </si>
  <si>
    <t>O01998</t>
  </si>
  <si>
    <t>O01999</t>
  </si>
  <si>
    <t>O02000</t>
  </si>
  <si>
    <t>O02001</t>
  </si>
  <si>
    <t>O02002</t>
  </si>
  <si>
    <t>O02003</t>
  </si>
  <si>
    <t>O02004</t>
  </si>
  <si>
    <t>Customer_643</t>
  </si>
  <si>
    <t>O02005</t>
  </si>
  <si>
    <t>O02006</t>
  </si>
  <si>
    <t>O02007</t>
  </si>
  <si>
    <t>O02008</t>
  </si>
  <si>
    <t>Product_389</t>
  </si>
  <si>
    <t>O02009</t>
  </si>
  <si>
    <t>Product_53</t>
  </si>
  <si>
    <t>O02010</t>
  </si>
  <si>
    <t>O02011</t>
  </si>
  <si>
    <t>O02012</t>
  </si>
  <si>
    <t>O02013</t>
  </si>
  <si>
    <t>O02014</t>
  </si>
  <si>
    <t>O02015</t>
  </si>
  <si>
    <t>O02016</t>
  </si>
  <si>
    <t>O02017</t>
  </si>
  <si>
    <t>O02018</t>
  </si>
  <si>
    <t>Customer_678</t>
  </si>
  <si>
    <t>O02019</t>
  </si>
  <si>
    <t>O02020</t>
  </si>
  <si>
    <t>Product_88</t>
  </si>
  <si>
    <t>O02021</t>
  </si>
  <si>
    <t>O02022</t>
  </si>
  <si>
    <t>O02023</t>
  </si>
  <si>
    <t>O02024</t>
  </si>
  <si>
    <t>O02025</t>
  </si>
  <si>
    <t>O02026</t>
  </si>
  <si>
    <t>O02027</t>
  </si>
  <si>
    <t>O02028</t>
  </si>
  <si>
    <t>O02029</t>
  </si>
  <si>
    <t>O02030</t>
  </si>
  <si>
    <t>O02031</t>
  </si>
  <si>
    <t>O02032</t>
  </si>
  <si>
    <t>O02033</t>
  </si>
  <si>
    <t>O02034</t>
  </si>
  <si>
    <t>O02035</t>
  </si>
  <si>
    <t>O02036</t>
  </si>
  <si>
    <t>O02037</t>
  </si>
  <si>
    <t>O02038</t>
  </si>
  <si>
    <t>O02039</t>
  </si>
  <si>
    <t>O02040</t>
  </si>
  <si>
    <t>O02041</t>
  </si>
  <si>
    <t>O02042</t>
  </si>
  <si>
    <t>O02043</t>
  </si>
  <si>
    <t>O02044</t>
  </si>
  <si>
    <t>O02045</t>
  </si>
  <si>
    <t>O02046</t>
  </si>
  <si>
    <t>O02047</t>
  </si>
  <si>
    <t>O02048</t>
  </si>
  <si>
    <t>O02049</t>
  </si>
  <si>
    <t>O02050</t>
  </si>
  <si>
    <t>O02051</t>
  </si>
  <si>
    <t>O02052</t>
  </si>
  <si>
    <t>O02053</t>
  </si>
  <si>
    <t>Customer_544</t>
  </si>
  <si>
    <t>O02054</t>
  </si>
  <si>
    <t>O02055</t>
  </si>
  <si>
    <t>O02056</t>
  </si>
  <si>
    <t>O02057</t>
  </si>
  <si>
    <t>O02058</t>
  </si>
  <si>
    <t>O02059</t>
  </si>
  <si>
    <t>O02060</t>
  </si>
  <si>
    <t>Customer_86</t>
  </si>
  <si>
    <t>O02061</t>
  </si>
  <si>
    <t>O02062</t>
  </si>
  <si>
    <t>Customer_343</t>
  </si>
  <si>
    <t>O02063</t>
  </si>
  <si>
    <t>O02064</t>
  </si>
  <si>
    <t>O02065</t>
  </si>
  <si>
    <t>O02066</t>
  </si>
  <si>
    <t>O02067</t>
  </si>
  <si>
    <t>O02068</t>
  </si>
  <si>
    <t>O02069</t>
  </si>
  <si>
    <t>O02070</t>
  </si>
  <si>
    <t>O02071</t>
  </si>
  <si>
    <t>O02072</t>
  </si>
  <si>
    <t>Customer_57</t>
  </si>
  <si>
    <t>O02073</t>
  </si>
  <si>
    <t>O02074</t>
  </si>
  <si>
    <t>O02075</t>
  </si>
  <si>
    <t>O02076</t>
  </si>
  <si>
    <t>O02077</t>
  </si>
  <si>
    <t>Customer_459</t>
  </si>
  <si>
    <t>O02078</t>
  </si>
  <si>
    <t>O02079</t>
  </si>
  <si>
    <t>O02080</t>
  </si>
  <si>
    <t>O02081</t>
  </si>
  <si>
    <t>O02082</t>
  </si>
  <si>
    <t>O02083</t>
  </si>
  <si>
    <t>Customer_695</t>
  </si>
  <si>
    <t>O02084</t>
  </si>
  <si>
    <t>O02085</t>
  </si>
  <si>
    <t>O02086</t>
  </si>
  <si>
    <t>O02087</t>
  </si>
  <si>
    <t>O02088</t>
  </si>
  <si>
    <t>Customer_658</t>
  </si>
  <si>
    <t>O02089</t>
  </si>
  <si>
    <t>O02090</t>
  </si>
  <si>
    <t>O02091</t>
  </si>
  <si>
    <t>O02092</t>
  </si>
  <si>
    <t>O02093</t>
  </si>
  <si>
    <t>O02094</t>
  </si>
  <si>
    <t>O02095</t>
  </si>
  <si>
    <t>O02096</t>
  </si>
  <si>
    <t>O02097</t>
  </si>
  <si>
    <t>O02098</t>
  </si>
  <si>
    <t>O02099</t>
  </si>
  <si>
    <t>O02100</t>
  </si>
  <si>
    <t>O02101</t>
  </si>
  <si>
    <t>O02102</t>
  </si>
  <si>
    <t>O02103</t>
  </si>
  <si>
    <t>O02104</t>
  </si>
  <si>
    <t>O02105</t>
  </si>
  <si>
    <t>O02106</t>
  </si>
  <si>
    <t>O02107</t>
  </si>
  <si>
    <t>O02108</t>
  </si>
  <si>
    <t>O02109</t>
  </si>
  <si>
    <t>O02110</t>
  </si>
  <si>
    <t>O02111</t>
  </si>
  <si>
    <t>O02112</t>
  </si>
  <si>
    <t>O02113</t>
  </si>
  <si>
    <t>O02114</t>
  </si>
  <si>
    <t>O02115</t>
  </si>
  <si>
    <t>O02116</t>
  </si>
  <si>
    <t>O02117</t>
  </si>
  <si>
    <t>O02118</t>
  </si>
  <si>
    <t>O02119</t>
  </si>
  <si>
    <t>Customer_439</t>
  </si>
  <si>
    <t>O02120</t>
  </si>
  <si>
    <t>O02121</t>
  </si>
  <si>
    <t>O02122</t>
  </si>
  <si>
    <t>O02123</t>
  </si>
  <si>
    <t>O02124</t>
  </si>
  <si>
    <t>Customer_143</t>
  </si>
  <si>
    <t>O02125</t>
  </si>
  <si>
    <t>O02126</t>
  </si>
  <si>
    <t>O02127</t>
  </si>
  <si>
    <t>O02128</t>
  </si>
  <si>
    <t>O02129</t>
  </si>
  <si>
    <t>O02130</t>
  </si>
  <si>
    <t>O02131</t>
  </si>
  <si>
    <t>O02132</t>
  </si>
  <si>
    <t>Customer_737</t>
  </si>
  <si>
    <t>O02133</t>
  </si>
  <si>
    <t>O02134</t>
  </si>
  <si>
    <t>O02135</t>
  </si>
  <si>
    <t>O02136</t>
  </si>
  <si>
    <t>O02137</t>
  </si>
  <si>
    <t>O02138</t>
  </si>
  <si>
    <t>O02139</t>
  </si>
  <si>
    <t>O02140</t>
  </si>
  <si>
    <t>O02141</t>
  </si>
  <si>
    <t>Customer_780</t>
  </si>
  <si>
    <t>O02142</t>
  </si>
  <si>
    <t>O02143</t>
  </si>
  <si>
    <t>O02144</t>
  </si>
  <si>
    <t>O02145</t>
  </si>
  <si>
    <t>O02146</t>
  </si>
  <si>
    <t>O02147</t>
  </si>
  <si>
    <t>O02148</t>
  </si>
  <si>
    <t>O02149</t>
  </si>
  <si>
    <t>O02150</t>
  </si>
  <si>
    <t>O02151</t>
  </si>
  <si>
    <t>O02152</t>
  </si>
  <si>
    <t>O02153</t>
  </si>
  <si>
    <t>O02154</t>
  </si>
  <si>
    <t>O02155</t>
  </si>
  <si>
    <t>O02156</t>
  </si>
  <si>
    <t>O02157</t>
  </si>
  <si>
    <t>O02158</t>
  </si>
  <si>
    <t>O02159</t>
  </si>
  <si>
    <t>O02160</t>
  </si>
  <si>
    <t>O02161</t>
  </si>
  <si>
    <t>Customer_535</t>
  </si>
  <si>
    <t>O02162</t>
  </si>
  <si>
    <t>O02163</t>
  </si>
  <si>
    <t>Customer_228</t>
  </si>
  <si>
    <t>O02164</t>
  </si>
  <si>
    <t>O02165</t>
  </si>
  <si>
    <t>O02166</t>
  </si>
  <si>
    <t>O02167</t>
  </si>
  <si>
    <t>O02168</t>
  </si>
  <si>
    <t>O02169</t>
  </si>
  <si>
    <t>O02170</t>
  </si>
  <si>
    <t>O02171</t>
  </si>
  <si>
    <t>O02172</t>
  </si>
  <si>
    <t>O02173</t>
  </si>
  <si>
    <t>O02174</t>
  </si>
  <si>
    <t>O02175</t>
  </si>
  <si>
    <t>O02176</t>
  </si>
  <si>
    <t>O02177</t>
  </si>
  <si>
    <t>O02178</t>
  </si>
  <si>
    <t>O02179</t>
  </si>
  <si>
    <t>O02180</t>
  </si>
  <si>
    <t>O02181</t>
  </si>
  <si>
    <t>Customer_585</t>
  </si>
  <si>
    <t>O02182</t>
  </si>
  <si>
    <t>O02183</t>
  </si>
  <si>
    <t>O02184</t>
  </si>
  <si>
    <t>O02185</t>
  </si>
  <si>
    <t>O02186</t>
  </si>
  <si>
    <t>Customer_758</t>
  </si>
  <si>
    <t>O02187</t>
  </si>
  <si>
    <t>O02188</t>
  </si>
  <si>
    <t>O02189</t>
  </si>
  <si>
    <t>O02190</t>
  </si>
  <si>
    <t>O02191</t>
  </si>
  <si>
    <t>O02192</t>
  </si>
  <si>
    <t>O02193</t>
  </si>
  <si>
    <t>O02194</t>
  </si>
  <si>
    <t>O02195</t>
  </si>
  <si>
    <t>O02196</t>
  </si>
  <si>
    <t>O02197</t>
  </si>
  <si>
    <t>O02198</t>
  </si>
  <si>
    <t>O02199</t>
  </si>
  <si>
    <t>O02200</t>
  </si>
  <si>
    <t>O02201</t>
  </si>
  <si>
    <t>O02202</t>
  </si>
  <si>
    <t>O02203</t>
  </si>
  <si>
    <t>O02204</t>
  </si>
  <si>
    <t>O02205</t>
  </si>
  <si>
    <t>O02206</t>
  </si>
  <si>
    <t>O02207</t>
  </si>
  <si>
    <t>O02208</t>
  </si>
  <si>
    <t>O02209</t>
  </si>
  <si>
    <t>O02210</t>
  </si>
  <si>
    <t>O02211</t>
  </si>
  <si>
    <t>O02212</t>
  </si>
  <si>
    <t>O02213</t>
  </si>
  <si>
    <t>O02214</t>
  </si>
  <si>
    <t>O02215</t>
  </si>
  <si>
    <t>O02216</t>
  </si>
  <si>
    <t>O02217</t>
  </si>
  <si>
    <t>O02218</t>
  </si>
  <si>
    <t>O02219</t>
  </si>
  <si>
    <t>O02220</t>
  </si>
  <si>
    <t>Customer_545</t>
  </si>
  <si>
    <t>O02221</t>
  </si>
  <si>
    <t>O02222</t>
  </si>
  <si>
    <t>O02223</t>
  </si>
  <si>
    <t>Customer_538</t>
  </si>
  <si>
    <t>O02224</t>
  </si>
  <si>
    <t>O02225</t>
  </si>
  <si>
    <t>O02226</t>
  </si>
  <si>
    <t>O02227</t>
  </si>
  <si>
    <t>O02228</t>
  </si>
  <si>
    <t>O02229</t>
  </si>
  <si>
    <t>O02230</t>
  </si>
  <si>
    <t>O02231</t>
  </si>
  <si>
    <t>O02232</t>
  </si>
  <si>
    <t>O02233</t>
  </si>
  <si>
    <t>O02234</t>
  </si>
  <si>
    <t>O02235</t>
  </si>
  <si>
    <t>O02236</t>
  </si>
  <si>
    <t>O02237</t>
  </si>
  <si>
    <t>O02238</t>
  </si>
  <si>
    <t>O02239</t>
  </si>
  <si>
    <t>Customer_409</t>
  </si>
  <si>
    <t>O02240</t>
  </si>
  <si>
    <t>O02241</t>
  </si>
  <si>
    <t>O02242</t>
  </si>
  <si>
    <t>O02243</t>
  </si>
  <si>
    <t>O02244</t>
  </si>
  <si>
    <t>O02245</t>
  </si>
  <si>
    <t>O02246</t>
  </si>
  <si>
    <t>O02247</t>
  </si>
  <si>
    <t>O02248</t>
  </si>
  <si>
    <t>O02249</t>
  </si>
  <si>
    <t>O02250</t>
  </si>
  <si>
    <t>Customer_440</t>
  </si>
  <si>
    <t>O02251</t>
  </si>
  <si>
    <t>O02252</t>
  </si>
  <si>
    <t>Product_278</t>
  </si>
  <si>
    <t>O02253</t>
  </si>
  <si>
    <t>O02254</t>
  </si>
  <si>
    <t>O02255</t>
  </si>
  <si>
    <t>O02256</t>
  </si>
  <si>
    <t>O02257</t>
  </si>
  <si>
    <t>O02258</t>
  </si>
  <si>
    <t>O02259</t>
  </si>
  <si>
    <t>O02260</t>
  </si>
  <si>
    <t>O02261</t>
  </si>
  <si>
    <t>O02262</t>
  </si>
  <si>
    <t>O02263</t>
  </si>
  <si>
    <t>O02264</t>
  </si>
  <si>
    <t>O02265</t>
  </si>
  <si>
    <t>O02266</t>
  </si>
  <si>
    <t>O02267</t>
  </si>
  <si>
    <t>O02268</t>
  </si>
  <si>
    <t>O02269</t>
  </si>
  <si>
    <t>O02270</t>
  </si>
  <si>
    <t>O02271</t>
  </si>
  <si>
    <t>O02272</t>
  </si>
  <si>
    <t>O02273</t>
  </si>
  <si>
    <t>Customer_386</t>
  </si>
  <si>
    <t>O02274</t>
  </si>
  <si>
    <t>O02275</t>
  </si>
  <si>
    <t>O02276</t>
  </si>
  <si>
    <t>O02277</t>
  </si>
  <si>
    <t>O02278</t>
  </si>
  <si>
    <t>O02279</t>
  </si>
  <si>
    <t>O02280</t>
  </si>
  <si>
    <t>O02281</t>
  </si>
  <si>
    <t>Product_54</t>
  </si>
  <si>
    <t>O02282</t>
  </si>
  <si>
    <t>O02283</t>
  </si>
  <si>
    <t>O02284</t>
  </si>
  <si>
    <t>O02285</t>
  </si>
  <si>
    <t>O02286</t>
  </si>
  <si>
    <t>O02287</t>
  </si>
  <si>
    <t>O02288</t>
  </si>
  <si>
    <t>O02289</t>
  </si>
  <si>
    <t>O02290</t>
  </si>
  <si>
    <t>O02291</t>
  </si>
  <si>
    <t>O02292</t>
  </si>
  <si>
    <t>Customer_699</t>
  </si>
  <si>
    <t>O02293</t>
  </si>
  <si>
    <t>O02294</t>
  </si>
  <si>
    <t>O02295</t>
  </si>
  <si>
    <t>O02296</t>
  </si>
  <si>
    <t>O02297</t>
  </si>
  <si>
    <t>O02298</t>
  </si>
  <si>
    <t>O02299</t>
  </si>
  <si>
    <t>O02300</t>
  </si>
  <si>
    <t>O02301</t>
  </si>
  <si>
    <t>O02302</t>
  </si>
  <si>
    <t>O02303</t>
  </si>
  <si>
    <t>O02304</t>
  </si>
  <si>
    <t>O02305</t>
  </si>
  <si>
    <t>O02306</t>
  </si>
  <si>
    <t>O02307</t>
  </si>
  <si>
    <t>O02308</t>
  </si>
  <si>
    <t>O02309</t>
  </si>
  <si>
    <t>O02310</t>
  </si>
  <si>
    <t>O02311</t>
  </si>
  <si>
    <t>Customer_389</t>
  </si>
  <si>
    <t>O02312</t>
  </si>
  <si>
    <t>O02313</t>
  </si>
  <si>
    <t>O02314</t>
  </si>
  <si>
    <t>O02315</t>
  </si>
  <si>
    <t>O02316</t>
  </si>
  <si>
    <t>O02317</t>
  </si>
  <si>
    <t>O02318</t>
  </si>
  <si>
    <t>O02319</t>
  </si>
  <si>
    <t>O02320</t>
  </si>
  <si>
    <t>O02321</t>
  </si>
  <si>
    <t>O02322</t>
  </si>
  <si>
    <t>O02323</t>
  </si>
  <si>
    <t>O02324</t>
  </si>
  <si>
    <t>O02325</t>
  </si>
  <si>
    <t>O02326</t>
  </si>
  <si>
    <t>O02327</t>
  </si>
  <si>
    <t>O02328</t>
  </si>
  <si>
    <t>O02329</t>
  </si>
  <si>
    <t>O02330</t>
  </si>
  <si>
    <t>O02331</t>
  </si>
  <si>
    <t>O02332</t>
  </si>
  <si>
    <t>O02333</t>
  </si>
  <si>
    <t>O02334</t>
  </si>
  <si>
    <t>O02335</t>
  </si>
  <si>
    <t>O02336</t>
  </si>
  <si>
    <t>O02337</t>
  </si>
  <si>
    <t>O02338</t>
  </si>
  <si>
    <t>O02339</t>
  </si>
  <si>
    <t>O02340</t>
  </si>
  <si>
    <t>O02341</t>
  </si>
  <si>
    <t>O02342</t>
  </si>
  <si>
    <t>O02343</t>
  </si>
  <si>
    <t>Customer_452</t>
  </si>
  <si>
    <t>O02344</t>
  </si>
  <si>
    <t>O02345</t>
  </si>
  <si>
    <t>O02346</t>
  </si>
  <si>
    <t>O02347</t>
  </si>
  <si>
    <t>O02348</t>
  </si>
  <si>
    <t>O02349</t>
  </si>
  <si>
    <t>O02350</t>
  </si>
  <si>
    <t>O02351</t>
  </si>
  <si>
    <t>O02352</t>
  </si>
  <si>
    <t>Customer_280</t>
  </si>
  <si>
    <t>O02353</t>
  </si>
  <si>
    <t>O02354</t>
  </si>
  <si>
    <t>O02355</t>
  </si>
  <si>
    <t>O02356</t>
  </si>
  <si>
    <t>O02357</t>
  </si>
  <si>
    <t>O02358</t>
  </si>
  <si>
    <t>O02359</t>
  </si>
  <si>
    <t>O02360</t>
  </si>
  <si>
    <t>O02361</t>
  </si>
  <si>
    <t>O02362</t>
  </si>
  <si>
    <t>O02363</t>
  </si>
  <si>
    <t>O02364</t>
  </si>
  <si>
    <t>O02365</t>
  </si>
  <si>
    <t>O02366</t>
  </si>
  <si>
    <t>O02367</t>
  </si>
  <si>
    <t>O02368</t>
  </si>
  <si>
    <t>O02369</t>
  </si>
  <si>
    <t>O02370</t>
  </si>
  <si>
    <t>O02371</t>
  </si>
  <si>
    <t>O02372</t>
  </si>
  <si>
    <t>O02373</t>
  </si>
  <si>
    <t>O02374</t>
  </si>
  <si>
    <t>O02375</t>
  </si>
  <si>
    <t>O02376</t>
  </si>
  <si>
    <t>O02377</t>
  </si>
  <si>
    <t>O02378</t>
  </si>
  <si>
    <t>O02379</t>
  </si>
  <si>
    <t>O02380</t>
  </si>
  <si>
    <t>O02381</t>
  </si>
  <si>
    <t>Customer_570</t>
  </si>
  <si>
    <t>O02382</t>
  </si>
  <si>
    <t>O02383</t>
  </si>
  <si>
    <t>O02384</t>
  </si>
  <si>
    <t>O02385</t>
  </si>
  <si>
    <t>O02386</t>
  </si>
  <si>
    <t>O02387</t>
  </si>
  <si>
    <t>O02388</t>
  </si>
  <si>
    <t>O02389</t>
  </si>
  <si>
    <t>O02390</t>
  </si>
  <si>
    <t>O02391</t>
  </si>
  <si>
    <t>O02392</t>
  </si>
  <si>
    <t>O02393</t>
  </si>
  <si>
    <t>O02394</t>
  </si>
  <si>
    <t>O02395</t>
  </si>
  <si>
    <t>O02396</t>
  </si>
  <si>
    <t>O02397</t>
  </si>
  <si>
    <t>O02398</t>
  </si>
  <si>
    <t>O02399</t>
  </si>
  <si>
    <t>O02400</t>
  </si>
  <si>
    <t>O02401</t>
  </si>
  <si>
    <t>Customer_796</t>
  </si>
  <si>
    <t>O02402</t>
  </si>
  <si>
    <t>O02403</t>
  </si>
  <si>
    <t>O02404</t>
  </si>
  <si>
    <t>O02405</t>
  </si>
  <si>
    <t>O02406</t>
  </si>
  <si>
    <t>O02407</t>
  </si>
  <si>
    <t>O02408</t>
  </si>
  <si>
    <t>O02409</t>
  </si>
  <si>
    <t>O02410</t>
  </si>
  <si>
    <t>O02411</t>
  </si>
  <si>
    <t>Customer_735</t>
  </si>
  <si>
    <t>O02412</t>
  </si>
  <si>
    <t>O02413</t>
  </si>
  <si>
    <t>O02414</t>
  </si>
  <si>
    <t>O02415</t>
  </si>
  <si>
    <t>O02416</t>
  </si>
  <si>
    <t>O02417</t>
  </si>
  <si>
    <t>O02418</t>
  </si>
  <si>
    <t>O02419</t>
  </si>
  <si>
    <t>O02420</t>
  </si>
  <si>
    <t>O02421</t>
  </si>
  <si>
    <t>O02422</t>
  </si>
  <si>
    <t>O02423</t>
  </si>
  <si>
    <t>O02424</t>
  </si>
  <si>
    <t>O02425</t>
  </si>
  <si>
    <t>O02426</t>
  </si>
  <si>
    <t>O02427</t>
  </si>
  <si>
    <t>Customer_246</t>
  </si>
  <si>
    <t>O02428</t>
  </si>
  <si>
    <t>O02429</t>
  </si>
  <si>
    <t>O02430</t>
  </si>
  <si>
    <t>O02431</t>
  </si>
  <si>
    <t>Customer_19</t>
  </si>
  <si>
    <t>O02432</t>
  </si>
  <si>
    <t>O02433</t>
  </si>
  <si>
    <t>O02434</t>
  </si>
  <si>
    <t>O02435</t>
  </si>
  <si>
    <t>O02436</t>
  </si>
  <si>
    <t>O02437</t>
  </si>
  <si>
    <t>O02438</t>
  </si>
  <si>
    <t>O02439</t>
  </si>
  <si>
    <t>O02440</t>
  </si>
  <si>
    <t>Product_164</t>
  </si>
  <si>
    <t>O02441</t>
  </si>
  <si>
    <t>O02442</t>
  </si>
  <si>
    <t>O02443</t>
  </si>
  <si>
    <t>O02444</t>
  </si>
  <si>
    <t>O02445</t>
  </si>
  <si>
    <t>O02446</t>
  </si>
  <si>
    <t>O02447</t>
  </si>
  <si>
    <t>O02448</t>
  </si>
  <si>
    <t>O02449</t>
  </si>
  <si>
    <t>O02450</t>
  </si>
  <si>
    <t>O02451</t>
  </si>
  <si>
    <t>O02452</t>
  </si>
  <si>
    <t>O02453</t>
  </si>
  <si>
    <t>O02454</t>
  </si>
  <si>
    <t>O02455</t>
  </si>
  <si>
    <t>O02456</t>
  </si>
  <si>
    <t>O02457</t>
  </si>
  <si>
    <t>O02458</t>
  </si>
  <si>
    <t>O02459</t>
  </si>
  <si>
    <t>O02460</t>
  </si>
  <si>
    <t>O02461</t>
  </si>
  <si>
    <t>O02462</t>
  </si>
  <si>
    <t>O02463</t>
  </si>
  <si>
    <t>O02464</t>
  </si>
  <si>
    <t>O02465</t>
  </si>
  <si>
    <t>Customer_607</t>
  </si>
  <si>
    <t>O02466</t>
  </si>
  <si>
    <t>O02467</t>
  </si>
  <si>
    <t>O02468</t>
  </si>
  <si>
    <t>O02469</t>
  </si>
  <si>
    <t>O02470</t>
  </si>
  <si>
    <t>Customer_503</t>
  </si>
  <si>
    <t>O02471</t>
  </si>
  <si>
    <t>Customer_692</t>
  </si>
  <si>
    <t>O02472</t>
  </si>
  <si>
    <t>O02473</t>
  </si>
  <si>
    <t>O02474</t>
  </si>
  <si>
    <t>O02475</t>
  </si>
  <si>
    <t>O02476</t>
  </si>
  <si>
    <t>O02477</t>
  </si>
  <si>
    <t>O02478</t>
  </si>
  <si>
    <t>O02479</t>
  </si>
  <si>
    <t>O02480</t>
  </si>
  <si>
    <t>O02481</t>
  </si>
  <si>
    <t>O02482</t>
  </si>
  <si>
    <t>O02483</t>
  </si>
  <si>
    <t>O02484</t>
  </si>
  <si>
    <t>O02485</t>
  </si>
  <si>
    <t>O02486</t>
  </si>
  <si>
    <t>O02487</t>
  </si>
  <si>
    <t>O02488</t>
  </si>
  <si>
    <t>O02489</t>
  </si>
  <si>
    <t>O02490</t>
  </si>
  <si>
    <t>O02491</t>
  </si>
  <si>
    <t>O02492</t>
  </si>
  <si>
    <t>O02493</t>
  </si>
  <si>
    <t>O02494</t>
  </si>
  <si>
    <t>O02495</t>
  </si>
  <si>
    <t>O02496</t>
  </si>
  <si>
    <t>O02497</t>
  </si>
  <si>
    <t>O02498</t>
  </si>
  <si>
    <t>O02499</t>
  </si>
  <si>
    <t>O02500</t>
  </si>
  <si>
    <t>O02501</t>
  </si>
  <si>
    <t>O02502</t>
  </si>
  <si>
    <t>O02503</t>
  </si>
  <si>
    <t>O02504</t>
  </si>
  <si>
    <t>O02505</t>
  </si>
  <si>
    <t>O02506</t>
  </si>
  <si>
    <t>O02507</t>
  </si>
  <si>
    <t>O02508</t>
  </si>
  <si>
    <t>O02509</t>
  </si>
  <si>
    <t>Customer_260</t>
  </si>
  <si>
    <t>O02510</t>
  </si>
  <si>
    <t>O02511</t>
  </si>
  <si>
    <t>O02512</t>
  </si>
  <si>
    <t>O02513</t>
  </si>
  <si>
    <t>O02514</t>
  </si>
  <si>
    <t>O02515</t>
  </si>
  <si>
    <t>O02516</t>
  </si>
  <si>
    <t>O02517</t>
  </si>
  <si>
    <t>O02518</t>
  </si>
  <si>
    <t>O02519</t>
  </si>
  <si>
    <t>O02520</t>
  </si>
  <si>
    <t>O02521</t>
  </si>
  <si>
    <t>O02522</t>
  </si>
  <si>
    <t>O02523</t>
  </si>
  <si>
    <t>O02524</t>
  </si>
  <si>
    <t>O02525</t>
  </si>
  <si>
    <t>O02526</t>
  </si>
  <si>
    <t>O02527</t>
  </si>
  <si>
    <t>O02528</t>
  </si>
  <si>
    <t>O02529</t>
  </si>
  <si>
    <t>O02530</t>
  </si>
  <si>
    <t>O02531</t>
  </si>
  <si>
    <t>O02532</t>
  </si>
  <si>
    <t>O02533</t>
  </si>
  <si>
    <t>O02534</t>
  </si>
  <si>
    <t>O02535</t>
  </si>
  <si>
    <t>O02536</t>
  </si>
  <si>
    <t>O02537</t>
  </si>
  <si>
    <t>O02538</t>
  </si>
  <si>
    <t>O02539</t>
  </si>
  <si>
    <t>O02540</t>
  </si>
  <si>
    <t>Customer_527</t>
  </si>
  <si>
    <t>O02541</t>
  </si>
  <si>
    <t>O02542</t>
  </si>
  <si>
    <t>O02543</t>
  </si>
  <si>
    <t>O02544</t>
  </si>
  <si>
    <t>O02545</t>
  </si>
  <si>
    <t>O02546</t>
  </si>
  <si>
    <t>O02547</t>
  </si>
  <si>
    <t>O02548</t>
  </si>
  <si>
    <t>O02549</t>
  </si>
  <si>
    <t>O02550</t>
  </si>
  <si>
    <t>O02551</t>
  </si>
  <si>
    <t>O02552</t>
  </si>
  <si>
    <t>O02553</t>
  </si>
  <si>
    <t>O02554</t>
  </si>
  <si>
    <t>O02555</t>
  </si>
  <si>
    <t>O02556</t>
  </si>
  <si>
    <t>O02557</t>
  </si>
  <si>
    <t>O02558</t>
  </si>
  <si>
    <t>O02559</t>
  </si>
  <si>
    <t>O02560</t>
  </si>
  <si>
    <t>O02561</t>
  </si>
  <si>
    <t>O02562</t>
  </si>
  <si>
    <t>O02563</t>
  </si>
  <si>
    <t>O02564</t>
  </si>
  <si>
    <t>O02565</t>
  </si>
  <si>
    <t>O02566</t>
  </si>
  <si>
    <t>O02567</t>
  </si>
  <si>
    <t>O02568</t>
  </si>
  <si>
    <t>O02569</t>
  </si>
  <si>
    <t>O02570</t>
  </si>
  <si>
    <t>O02571</t>
  </si>
  <si>
    <t>O02572</t>
  </si>
  <si>
    <t>O02573</t>
  </si>
  <si>
    <t>O02574</t>
  </si>
  <si>
    <t>O02575</t>
  </si>
  <si>
    <t>O02576</t>
  </si>
  <si>
    <t>O02577</t>
  </si>
  <si>
    <t>O02578</t>
  </si>
  <si>
    <t>O02579</t>
  </si>
  <si>
    <t>O02580</t>
  </si>
  <si>
    <t>O02581</t>
  </si>
  <si>
    <t>O02582</t>
  </si>
  <si>
    <t>O02583</t>
  </si>
  <si>
    <t>O02584</t>
  </si>
  <si>
    <t>O02585</t>
  </si>
  <si>
    <t>O02586</t>
  </si>
  <si>
    <t>O02587</t>
  </si>
  <si>
    <t>Customer_681</t>
  </si>
  <si>
    <t>O02588</t>
  </si>
  <si>
    <t>O02589</t>
  </si>
  <si>
    <t>O02590</t>
  </si>
  <si>
    <t>O02591</t>
  </si>
  <si>
    <t>O02592</t>
  </si>
  <si>
    <t>O02593</t>
  </si>
  <si>
    <t>O02594</t>
  </si>
  <si>
    <t>O02595</t>
  </si>
  <si>
    <t>O02596</t>
  </si>
  <si>
    <t>O02597</t>
  </si>
  <si>
    <t>O02598</t>
  </si>
  <si>
    <t>O02599</t>
  </si>
  <si>
    <t>O02600</t>
  </si>
  <si>
    <t>O02601</t>
  </si>
  <si>
    <t>O02602</t>
  </si>
  <si>
    <t>O02603</t>
  </si>
  <si>
    <t>O02604</t>
  </si>
  <si>
    <t>O02605</t>
  </si>
  <si>
    <t>O02606</t>
  </si>
  <si>
    <t>O02607</t>
  </si>
  <si>
    <t>O02608</t>
  </si>
  <si>
    <t>O02609</t>
  </si>
  <si>
    <t>O02610</t>
  </si>
  <si>
    <t>O02611</t>
  </si>
  <si>
    <t>O02612</t>
  </si>
  <si>
    <t>O02613</t>
  </si>
  <si>
    <t>O02614</t>
  </si>
  <si>
    <t>O02615</t>
  </si>
  <si>
    <t>O02616</t>
  </si>
  <si>
    <t>O02617</t>
  </si>
  <si>
    <t>O02618</t>
  </si>
  <si>
    <t>O02619</t>
  </si>
  <si>
    <t>O02620</t>
  </si>
  <si>
    <t>O02621</t>
  </si>
  <si>
    <t>O02622</t>
  </si>
  <si>
    <t>O02623</t>
  </si>
  <si>
    <t>O02624</t>
  </si>
  <si>
    <t>O02625</t>
  </si>
  <si>
    <t>O02626</t>
  </si>
  <si>
    <t>O02627</t>
  </si>
  <si>
    <t>O02628</t>
  </si>
  <si>
    <t>O02629</t>
  </si>
  <si>
    <t>O02630</t>
  </si>
  <si>
    <t>O02631</t>
  </si>
  <si>
    <t>O02632</t>
  </si>
  <si>
    <t>O02633</t>
  </si>
  <si>
    <t>O02634</t>
  </si>
  <si>
    <t>O02635</t>
  </si>
  <si>
    <t>O02636</t>
  </si>
  <si>
    <t>O02637</t>
  </si>
  <si>
    <t>O02638</t>
  </si>
  <si>
    <t>O02639</t>
  </si>
  <si>
    <t>O02640</t>
  </si>
  <si>
    <t>O02641</t>
  </si>
  <si>
    <t>O02642</t>
  </si>
  <si>
    <t>O02643</t>
  </si>
  <si>
    <t>O02644</t>
  </si>
  <si>
    <t>O02645</t>
  </si>
  <si>
    <t>O02646</t>
  </si>
  <si>
    <t>O02647</t>
  </si>
  <si>
    <t>O02648</t>
  </si>
  <si>
    <t>O02649</t>
  </si>
  <si>
    <t>O02650</t>
  </si>
  <si>
    <t>O02651</t>
  </si>
  <si>
    <t>O02652</t>
  </si>
  <si>
    <t>O02653</t>
  </si>
  <si>
    <t>O02654</t>
  </si>
  <si>
    <t>O02655</t>
  </si>
  <si>
    <t>O02656</t>
  </si>
  <si>
    <t>O02657</t>
  </si>
  <si>
    <t>O02658</t>
  </si>
  <si>
    <t>O02659</t>
  </si>
  <si>
    <t>O02660</t>
  </si>
  <si>
    <t>Customer_725</t>
  </si>
  <si>
    <t>O02661</t>
  </si>
  <si>
    <t>O02662</t>
  </si>
  <si>
    <t>O02663</t>
  </si>
  <si>
    <t>O02664</t>
  </si>
  <si>
    <t>O02665</t>
  </si>
  <si>
    <t>O02666</t>
  </si>
  <si>
    <t>O02667</t>
  </si>
  <si>
    <t>Customer_560</t>
  </si>
  <si>
    <t>O02668</t>
  </si>
  <si>
    <t>O02669</t>
  </si>
  <si>
    <t>O02670</t>
  </si>
  <si>
    <t>Customer_31</t>
  </si>
  <si>
    <t>O02671</t>
  </si>
  <si>
    <t>O02672</t>
  </si>
  <si>
    <t>O02673</t>
  </si>
  <si>
    <t>O02674</t>
  </si>
  <si>
    <t>O02675</t>
  </si>
  <si>
    <t>O02676</t>
  </si>
  <si>
    <t>O02677</t>
  </si>
  <si>
    <t>O02678</t>
  </si>
  <si>
    <t>O02679</t>
  </si>
  <si>
    <t>O02680</t>
  </si>
  <si>
    <t>O02681</t>
  </si>
  <si>
    <t>O02682</t>
  </si>
  <si>
    <t>O02683</t>
  </si>
  <si>
    <t>O02684</t>
  </si>
  <si>
    <t>O02685</t>
  </si>
  <si>
    <t>O02686</t>
  </si>
  <si>
    <t>Customer_571</t>
  </si>
  <si>
    <t>O02687</t>
  </si>
  <si>
    <t>O02688</t>
  </si>
  <si>
    <t>O02689</t>
  </si>
  <si>
    <t>O02690</t>
  </si>
  <si>
    <t>O02691</t>
  </si>
  <si>
    <t>O02692</t>
  </si>
  <si>
    <t>O02693</t>
  </si>
  <si>
    <t>O02694</t>
  </si>
  <si>
    <t>O02695</t>
  </si>
  <si>
    <t>O02696</t>
  </si>
  <si>
    <t>O02697</t>
  </si>
  <si>
    <t>O02698</t>
  </si>
  <si>
    <t>O02699</t>
  </si>
  <si>
    <t>O02700</t>
  </si>
  <si>
    <t>O02701</t>
  </si>
  <si>
    <t>O02702</t>
  </si>
  <si>
    <t>O02703</t>
  </si>
  <si>
    <t>O02704</t>
  </si>
  <si>
    <t>O02705</t>
  </si>
  <si>
    <t>O02706</t>
  </si>
  <si>
    <t>O02707</t>
  </si>
  <si>
    <t>O02708</t>
  </si>
  <si>
    <t>O02709</t>
  </si>
  <si>
    <t>O02710</t>
  </si>
  <si>
    <t>O02711</t>
  </si>
  <si>
    <t>O02712</t>
  </si>
  <si>
    <t>O02713</t>
  </si>
  <si>
    <t>O02714</t>
  </si>
  <si>
    <t>O02715</t>
  </si>
  <si>
    <t>O02716</t>
  </si>
  <si>
    <t>O02717</t>
  </si>
  <si>
    <t>O02718</t>
  </si>
  <si>
    <t>O02719</t>
  </si>
  <si>
    <t>O02720</t>
  </si>
  <si>
    <t>O02721</t>
  </si>
  <si>
    <t>O02722</t>
  </si>
  <si>
    <t>O02723</t>
  </si>
  <si>
    <t>O02724</t>
  </si>
  <si>
    <t>O02725</t>
  </si>
  <si>
    <t>O02726</t>
  </si>
  <si>
    <t>O02727</t>
  </si>
  <si>
    <t>O02728</t>
  </si>
  <si>
    <t>O02729</t>
  </si>
  <si>
    <t>O02730</t>
  </si>
  <si>
    <t>O02731</t>
  </si>
  <si>
    <t>O02732</t>
  </si>
  <si>
    <t>O02733</t>
  </si>
  <si>
    <t>O02734</t>
  </si>
  <si>
    <t>O02735</t>
  </si>
  <si>
    <t>O02736</t>
  </si>
  <si>
    <t>O02737</t>
  </si>
  <si>
    <t>O02738</t>
  </si>
  <si>
    <t>O02739</t>
  </si>
  <si>
    <t>O02740</t>
  </si>
  <si>
    <t>O02741</t>
  </si>
  <si>
    <t>O02742</t>
  </si>
  <si>
    <t>O02743</t>
  </si>
  <si>
    <t>O02744</t>
  </si>
  <si>
    <t>O02745</t>
  </si>
  <si>
    <t>O02746</t>
  </si>
  <si>
    <t>O02747</t>
  </si>
  <si>
    <t>O02748</t>
  </si>
  <si>
    <t>O02749</t>
  </si>
  <si>
    <t>O02750</t>
  </si>
  <si>
    <t>O02751</t>
  </si>
  <si>
    <t>O02752</t>
  </si>
  <si>
    <t>O02753</t>
  </si>
  <si>
    <t>O02754</t>
  </si>
  <si>
    <t>O02755</t>
  </si>
  <si>
    <t>O02756</t>
  </si>
  <si>
    <t>O02757</t>
  </si>
  <si>
    <t>O02758</t>
  </si>
  <si>
    <t>O02759</t>
  </si>
  <si>
    <t>O02760</t>
  </si>
  <si>
    <t>O02761</t>
  </si>
  <si>
    <t>O02762</t>
  </si>
  <si>
    <t>O02763</t>
  </si>
  <si>
    <t>O02764</t>
  </si>
  <si>
    <t>O02765</t>
  </si>
  <si>
    <t>O02766</t>
  </si>
  <si>
    <t>O02767</t>
  </si>
  <si>
    <t>O02768</t>
  </si>
  <si>
    <t>O02769</t>
  </si>
  <si>
    <t>O02770</t>
  </si>
  <si>
    <t>O02771</t>
  </si>
  <si>
    <t>O02772</t>
  </si>
  <si>
    <t>O02773</t>
  </si>
  <si>
    <t>O02774</t>
  </si>
  <si>
    <t>O02775</t>
  </si>
  <si>
    <t>O02776</t>
  </si>
  <si>
    <t>O02777</t>
  </si>
  <si>
    <t>O02778</t>
  </si>
  <si>
    <t>O02779</t>
  </si>
  <si>
    <t>O02780</t>
  </si>
  <si>
    <t>O02781</t>
  </si>
  <si>
    <t>O02782</t>
  </si>
  <si>
    <t>O02783</t>
  </si>
  <si>
    <t>O02784</t>
  </si>
  <si>
    <t>O02785</t>
  </si>
  <si>
    <t>O02786</t>
  </si>
  <si>
    <t>O02787</t>
  </si>
  <si>
    <t>O02788</t>
  </si>
  <si>
    <t>O02789</t>
  </si>
  <si>
    <t>O02790</t>
  </si>
  <si>
    <t>O02791</t>
  </si>
  <si>
    <t>O02792</t>
  </si>
  <si>
    <t>O02793</t>
  </si>
  <si>
    <t>O02794</t>
  </si>
  <si>
    <t>O02795</t>
  </si>
  <si>
    <t>O02796</t>
  </si>
  <si>
    <t>O02797</t>
  </si>
  <si>
    <t>O02798</t>
  </si>
  <si>
    <t>O02799</t>
  </si>
  <si>
    <t>O02800</t>
  </si>
  <si>
    <t>O02801</t>
  </si>
  <si>
    <t>O02802</t>
  </si>
  <si>
    <t>O02803</t>
  </si>
  <si>
    <t>O02804</t>
  </si>
  <si>
    <t>O02805</t>
  </si>
  <si>
    <t>O02806</t>
  </si>
  <si>
    <t>O02807</t>
  </si>
  <si>
    <t>O02808</t>
  </si>
  <si>
    <t>O02809</t>
  </si>
  <si>
    <t>O02810</t>
  </si>
  <si>
    <t>O02811</t>
  </si>
  <si>
    <t>O02812</t>
  </si>
  <si>
    <t>O02813</t>
  </si>
  <si>
    <t>O02814</t>
  </si>
  <si>
    <t>O02815</t>
  </si>
  <si>
    <t>O02816</t>
  </si>
  <si>
    <t>O02817</t>
  </si>
  <si>
    <t>O02818</t>
  </si>
  <si>
    <t>O02819</t>
  </si>
  <si>
    <t>O02820</t>
  </si>
  <si>
    <t>O02821</t>
  </si>
  <si>
    <t>O02822</t>
  </si>
  <si>
    <t>O02823</t>
  </si>
  <si>
    <t>O02824</t>
  </si>
  <si>
    <t>O02825</t>
  </si>
  <si>
    <t>O02826</t>
  </si>
  <si>
    <t>O02827</t>
  </si>
  <si>
    <t>O02828</t>
  </si>
  <si>
    <t>O02829</t>
  </si>
  <si>
    <t>O02830</t>
  </si>
  <si>
    <t>O02831</t>
  </si>
  <si>
    <t>O02832</t>
  </si>
  <si>
    <t>O02833</t>
  </si>
  <si>
    <t>O02834</t>
  </si>
  <si>
    <t>O02835</t>
  </si>
  <si>
    <t>O02836</t>
  </si>
  <si>
    <t>O02837</t>
  </si>
  <si>
    <t>O02838</t>
  </si>
  <si>
    <t>O02839</t>
  </si>
  <si>
    <t>O02840</t>
  </si>
  <si>
    <t>O02841</t>
  </si>
  <si>
    <t>O02842</t>
  </si>
  <si>
    <t>O02843</t>
  </si>
  <si>
    <t>O02844</t>
  </si>
  <si>
    <t>O02845</t>
  </si>
  <si>
    <t>O02846</t>
  </si>
  <si>
    <t>O02847</t>
  </si>
  <si>
    <t>O02848</t>
  </si>
  <si>
    <t>O02849</t>
  </si>
  <si>
    <t>O02850</t>
  </si>
  <si>
    <t>O02851</t>
  </si>
  <si>
    <t>O02852</t>
  </si>
  <si>
    <t>O02853</t>
  </si>
  <si>
    <t>O02854</t>
  </si>
  <si>
    <t>O02855</t>
  </si>
  <si>
    <t>O02856</t>
  </si>
  <si>
    <t>O02857</t>
  </si>
  <si>
    <t>O02858</t>
  </si>
  <si>
    <t>O02859</t>
  </si>
  <si>
    <t>O02860</t>
  </si>
  <si>
    <t>O02861</t>
  </si>
  <si>
    <t>O02862</t>
  </si>
  <si>
    <t>O02863</t>
  </si>
  <si>
    <t>O02864</t>
  </si>
  <si>
    <t>O02865</t>
  </si>
  <si>
    <t>O02866</t>
  </si>
  <si>
    <t>O02867</t>
  </si>
  <si>
    <t>O02868</t>
  </si>
  <si>
    <t>O02869</t>
  </si>
  <si>
    <t>O02870</t>
  </si>
  <si>
    <t>O02871</t>
  </si>
  <si>
    <t>O02872</t>
  </si>
  <si>
    <t>O02873</t>
  </si>
  <si>
    <t>O02874</t>
  </si>
  <si>
    <t>O02875</t>
  </si>
  <si>
    <t>O02876</t>
  </si>
  <si>
    <t>O02877</t>
  </si>
  <si>
    <t>O02878</t>
  </si>
  <si>
    <t>O02879</t>
  </si>
  <si>
    <t>O02880</t>
  </si>
  <si>
    <t>O02881</t>
  </si>
  <si>
    <t>O02882</t>
  </si>
  <si>
    <t>O02883</t>
  </si>
  <si>
    <t>O02884</t>
  </si>
  <si>
    <t>O02885</t>
  </si>
  <si>
    <t>O02886</t>
  </si>
  <si>
    <t>O02887</t>
  </si>
  <si>
    <t>O02888</t>
  </si>
  <si>
    <t>O02889</t>
  </si>
  <si>
    <t>O02890</t>
  </si>
  <si>
    <t>O02891</t>
  </si>
  <si>
    <t>O02892</t>
  </si>
  <si>
    <t>O02893</t>
  </si>
  <si>
    <t>Customer_59</t>
  </si>
  <si>
    <t>O02894</t>
  </si>
  <si>
    <t>O02895</t>
  </si>
  <si>
    <t>O02896</t>
  </si>
  <si>
    <t>O02897</t>
  </si>
  <si>
    <t>O02898</t>
  </si>
  <si>
    <t>O02899</t>
  </si>
  <si>
    <t>O02900</t>
  </si>
  <si>
    <t>O02901</t>
  </si>
  <si>
    <t>O02902</t>
  </si>
  <si>
    <t>O02903</t>
  </si>
  <si>
    <t>O02904</t>
  </si>
  <si>
    <t>O02905</t>
  </si>
  <si>
    <t>O02906</t>
  </si>
  <si>
    <t>O02907</t>
  </si>
  <si>
    <t>O02908</t>
  </si>
  <si>
    <t>O02909</t>
  </si>
  <si>
    <t>O02910</t>
  </si>
  <si>
    <t>O02911</t>
  </si>
  <si>
    <t>Customer_623</t>
  </si>
  <si>
    <t>O02912</t>
  </si>
  <si>
    <t>O02913</t>
  </si>
  <si>
    <t>Customer_669</t>
  </si>
  <si>
    <t>O02914</t>
  </si>
  <si>
    <t>O02915</t>
  </si>
  <si>
    <t>O02916</t>
  </si>
  <si>
    <t>O02917</t>
  </si>
  <si>
    <t>O02918</t>
  </si>
  <si>
    <t>O02919</t>
  </si>
  <si>
    <t>O02920</t>
  </si>
  <si>
    <t>Customer_35</t>
  </si>
  <si>
    <t>O02921</t>
  </si>
  <si>
    <t>O02922</t>
  </si>
  <si>
    <t>O02923</t>
  </si>
  <si>
    <t>O02924</t>
  </si>
  <si>
    <t>O02925</t>
  </si>
  <si>
    <t>O02926</t>
  </si>
  <si>
    <t>O02927</t>
  </si>
  <si>
    <t>Customer_763</t>
  </si>
  <si>
    <t>O02928</t>
  </si>
  <si>
    <t>O02929</t>
  </si>
  <si>
    <t>O02930</t>
  </si>
  <si>
    <t>O02931</t>
  </si>
  <si>
    <t>O02932</t>
  </si>
  <si>
    <t>O02933</t>
  </si>
  <si>
    <t>O02934</t>
  </si>
  <si>
    <t>O02935</t>
  </si>
  <si>
    <t>O02936</t>
  </si>
  <si>
    <t>O02937</t>
  </si>
  <si>
    <t>O02938</t>
  </si>
  <si>
    <t>O02939</t>
  </si>
  <si>
    <t>O02940</t>
  </si>
  <si>
    <t>O02941</t>
  </si>
  <si>
    <t>O02942</t>
  </si>
  <si>
    <t>O02943</t>
  </si>
  <si>
    <t>O02944</t>
  </si>
  <si>
    <t>O02945</t>
  </si>
  <si>
    <t>O02946</t>
  </si>
  <si>
    <t>Customer_289</t>
  </si>
  <si>
    <t>O02947</t>
  </si>
  <si>
    <t>O02948</t>
  </si>
  <si>
    <t>O02949</t>
  </si>
  <si>
    <t>O02950</t>
  </si>
  <si>
    <t>O02951</t>
  </si>
  <si>
    <t>O02952</t>
  </si>
  <si>
    <t>O02953</t>
  </si>
  <si>
    <t>O02954</t>
  </si>
  <si>
    <t>O02955</t>
  </si>
  <si>
    <t>O02956</t>
  </si>
  <si>
    <t>O02957</t>
  </si>
  <si>
    <t>O02958</t>
  </si>
  <si>
    <t>O02959</t>
  </si>
  <si>
    <t>O02960</t>
  </si>
  <si>
    <t>O02961</t>
  </si>
  <si>
    <t>O02962</t>
  </si>
  <si>
    <t>O02963</t>
  </si>
  <si>
    <t>O02964</t>
  </si>
  <si>
    <t>O02965</t>
  </si>
  <si>
    <t>O02966</t>
  </si>
  <si>
    <t>O02967</t>
  </si>
  <si>
    <t>O02968</t>
  </si>
  <si>
    <t>O02969</t>
  </si>
  <si>
    <t>O02970</t>
  </si>
  <si>
    <t>O02971</t>
  </si>
  <si>
    <t>O02972</t>
  </si>
  <si>
    <t>O02973</t>
  </si>
  <si>
    <t>O02974</t>
  </si>
  <si>
    <t>O02975</t>
  </si>
  <si>
    <t>O02976</t>
  </si>
  <si>
    <t>O02977</t>
  </si>
  <si>
    <t>O02978</t>
  </si>
  <si>
    <t>O02979</t>
  </si>
  <si>
    <t>O02980</t>
  </si>
  <si>
    <t>O02981</t>
  </si>
  <si>
    <t>O02982</t>
  </si>
  <si>
    <t>O02983</t>
  </si>
  <si>
    <t>O02984</t>
  </si>
  <si>
    <t>O02985</t>
  </si>
  <si>
    <t>O02986</t>
  </si>
  <si>
    <t>O02987</t>
  </si>
  <si>
    <t>O02988</t>
  </si>
  <si>
    <t>O02989</t>
  </si>
  <si>
    <t>O02990</t>
  </si>
  <si>
    <t>O02991</t>
  </si>
  <si>
    <t>O02992</t>
  </si>
  <si>
    <t>O02993</t>
  </si>
  <si>
    <t>O02994</t>
  </si>
  <si>
    <t>O02995</t>
  </si>
  <si>
    <t>O02996</t>
  </si>
  <si>
    <t>O02997</t>
  </si>
  <si>
    <t>O02998</t>
  </si>
  <si>
    <t>O02999</t>
  </si>
  <si>
    <t>Customer_264</t>
  </si>
  <si>
    <t>O03000</t>
  </si>
  <si>
    <t>Profit_Category</t>
  </si>
  <si>
    <t>Profit_Margin</t>
  </si>
  <si>
    <t>Month</t>
  </si>
  <si>
    <t>Year</t>
  </si>
  <si>
    <t>Row Labels</t>
  </si>
  <si>
    <t>Jan</t>
  </si>
  <si>
    <t>Feb</t>
  </si>
  <si>
    <t>Mar</t>
  </si>
  <si>
    <t>Apr</t>
  </si>
  <si>
    <t>May</t>
  </si>
  <si>
    <t>Jun</t>
  </si>
  <si>
    <t>Jul</t>
  </si>
  <si>
    <t>Aug</t>
  </si>
  <si>
    <t>Sep</t>
  </si>
  <si>
    <t>Oct</t>
  </si>
  <si>
    <t>Nov</t>
  </si>
  <si>
    <t>Dec</t>
  </si>
  <si>
    <t>Grand Total</t>
  </si>
  <si>
    <t>Sum of Sales</t>
  </si>
  <si>
    <t>Loss</t>
  </si>
  <si>
    <t>Sum of Profit</t>
  </si>
  <si>
    <t>Customer Sales &amp; Profitability Dashboard</t>
  </si>
  <si>
    <t>Total Sales</t>
  </si>
  <si>
    <t>Total Profit</t>
  </si>
  <si>
    <t>Profit Margin</t>
  </si>
  <si>
    <t>Loss Order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</si>
</sst>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 #,##0.00"/>
    <numFmt numFmtId="165" formatCode="#,##0.0"/>
  </numFmts>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2"/>
      <color rgb="FF00B0F0"/>
      <name val="Times New Roman"/>
      <family val="1"/>
    </font>
    <font>
      <b/>
      <sz val="18"/>
      <color rgb="FF00B0F0"/>
      <name val="Times New Roman"/>
      <family val="1"/>
    </font>
    <font>
      <b/>
      <sz val="16"/>
      <color rgb="FF00B0F0"/>
      <name val="Times New Roman"/>
      <family val="1"/>
    </font>
    <font>
      <sz val="16"/>
      <color rgb="FF00B0F0"/>
      <name val="Times New Roman"/>
      <family val="1"/>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4">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center"/>
    </xf>
    <xf numFmtId="0" fontId="16" fillId="0" borderId="0" xfId="0" applyFont="1"/>
    <xf numFmtId="0" fontId="19" fillId="0" borderId="0" xfId="0" applyFont="1"/>
    <xf numFmtId="0" fontId="18" fillId="0" borderId="0" xfId="0" applyFont="1" applyAlignment="1">
      <alignment horizontal="center"/>
    </xf>
    <xf numFmtId="4" fontId="0" fillId="0" borderId="0" xfId="0" applyNumberFormat="1"/>
    <xf numFmtId="4" fontId="20" fillId="0" borderId="0" xfId="0" applyNumberFormat="1" applyFont="1"/>
    <xf numFmtId="164" fontId="20" fillId="0" borderId="0" xfId="0" applyNumberFormat="1" applyFont="1"/>
    <xf numFmtId="2" fontId="19" fillId="0" borderId="0" xfId="0" applyNumberFormat="1" applyFont="1"/>
    <xf numFmtId="164" fontId="21" fillId="0" borderId="0" xfId="0" applyNumberFormat="1" applyFont="1"/>
    <xf numFmtId="165" fontId="20" fillId="0" borderId="0" xfId="0" applyNumberFormat="1"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5">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font>
        <color rgb="FF9C0006"/>
      </font>
      <fill>
        <patternFill>
          <bgColor rgb="FFFFC7CE"/>
        </patternFill>
      </fill>
    </dxf>
    <dxf>
      <numFmt numFmtId="0" formatCode="General"/>
    </dxf>
    <dxf>
      <numFmt numFmtId="0" formatCode="General"/>
    </dxf>
    <dxf>
      <numFmt numFmtId="0" formatCode="General"/>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[Customer_Sales_Profitability_Dashboard.xlsx]PivotTable!PivotTable1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solidFill>
                  <a:srgbClr val="00B0F0"/>
                </a:solidFill>
              </a:rPr>
              <a:t>Monthly Sales Trend</a:t>
            </a:r>
            <a:endParaRPr lang="en-US">
              <a:solidFill>
                <a:srgbClr val="00B0F0"/>
              </a:solidFill>
            </a:endParaRPr>
          </a:p>
        </c:rich>
      </c:tx>
      <c:layout>
        <c:manualLayout>
          <c:xMode val="edge"/>
          <c:yMode val="edge"/>
          <c:x val="0.31997222222222221"/>
          <c:y val="2.314814814814814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numFmt formatCode="#,##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28575" cap="rnd">
            <a:solidFill>
              <a:schemeClr val="accent1"/>
            </a:solidFill>
            <a:round/>
          </a:ln>
          <a:effectLst/>
        </c:spPr>
        <c:marker>
          <c:symbol val="none"/>
        </c:marker>
        <c:dLbl>
          <c:idx val="0"/>
          <c:numFmt formatCode="#,##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ln w="28575" cap="rnd">
            <a:solidFill>
              <a:schemeClr val="accent1"/>
            </a:solidFill>
            <a:round/>
          </a:ln>
          <a:effectLst/>
        </c:spPr>
        <c:marker>
          <c:symbol val="none"/>
        </c:marker>
        <c:dLbl>
          <c:idx val="0"/>
          <c:numFmt formatCode="#,##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lineChart>
        <c:grouping val="standard"/>
        <c:varyColors val="0"/>
        <c:ser>
          <c:idx val="0"/>
          <c:order val="0"/>
          <c:tx>
            <c:strRef>
              <c:f>PivotTable!$B$1</c:f>
              <c:strCache>
                <c:ptCount val="1"/>
                <c:pt idx="0">
                  <c:v>Total</c:v>
                </c:pt>
              </c:strCache>
            </c:strRef>
          </c:tx>
          <c:spPr>
            <a:ln w="28575" cap="rnd">
              <a:solidFill>
                <a:schemeClr val="accent1"/>
              </a:solidFill>
              <a:round/>
            </a:ln>
            <a:effectLst/>
          </c:spPr>
          <c:marker>
            <c:symbol val="none"/>
          </c:marker>
          <c:dLbls>
            <c:numFmt formatCode="#,##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PivotTable!$A$2:$A$14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PivotTable!$B$2:$B$14</c:f>
              <c:numCache>
                <c:formatCode>#,##0.00</c:formatCode>
                <c:ptCount val="12"/>
                <c:pt idx="0">
                  <c:v>637602.29999999993</c:v>
                </c:pt>
                <c:pt idx="1">
                  <c:v>601453.27999999956</c:v>
                </c:pt>
                <c:pt idx="2">
                  <c:v>598817.36999999976</c:v>
                </c:pt>
                <c:pt idx="3">
                  <c:v>572437.03</c:v>
                </c:pt>
                <c:pt idx="4">
                  <c:v>679727.52</c:v>
                </c:pt>
                <c:pt idx="5">
                  <c:v>666686.43999999983</c:v>
                </c:pt>
                <c:pt idx="6">
                  <c:v>697406.70999999973</c:v>
                </c:pt>
                <c:pt idx="7">
                  <c:v>613451.33000000019</c:v>
                </c:pt>
                <c:pt idx="8">
                  <c:v>548722.63</c:v>
                </c:pt>
                <c:pt idx="9">
                  <c:v>755867.5200000006</c:v>
                </c:pt>
                <c:pt idx="10">
                  <c:v>636963.01</c:v>
                </c:pt>
                <c:pt idx="11">
                  <c:v>599786.43999999994</c:v>
                </c:pt>
              </c:numCache>
            </c:numRef>
          </c:val>
          <c:smooth val="0"/>
          <c:extLst>
            <c:ext xmlns:c16="http://schemas.microsoft.com/office/drawing/2014/chart" uri="{C3380CC4-5D6E-409C-BE32-E72D297353CC}">
              <c16:uniqueId val="{00000000-4D9C-4A43-80FE-1F176094259B}"/>
            </c:ext>
          </c:extLst>
        </c:ser>
        <c:dLbls>
          <c:showLegendKey val="0"/>
          <c:showVal val="0"/>
          <c:showCatName val="0"/>
          <c:showSerName val="0"/>
          <c:showPercent val="0"/>
          <c:showBubbleSize val="0"/>
        </c:dLbls>
        <c:smooth val="0"/>
        <c:axId val="546828943"/>
        <c:axId val="546827983"/>
      </c:lineChart>
      <c:catAx>
        <c:axId val="546828943"/>
        <c:scaling>
          <c:orientation val="minMax"/>
        </c:scaling>
        <c:delete val="1"/>
        <c:axPos val="b"/>
        <c:numFmt formatCode="General" sourceLinked="1"/>
        <c:majorTickMark val="none"/>
        <c:minorTickMark val="none"/>
        <c:tickLblPos val="nextTo"/>
        <c:crossAx val="546827983"/>
        <c:crosses val="autoZero"/>
        <c:auto val="1"/>
        <c:lblAlgn val="ctr"/>
        <c:lblOffset val="100"/>
        <c:noMultiLvlLbl val="0"/>
      </c:catAx>
      <c:valAx>
        <c:axId val="546827983"/>
        <c:scaling>
          <c:orientation val="minMax"/>
        </c:scaling>
        <c:delete val="1"/>
        <c:axPos val="l"/>
        <c:numFmt formatCode="#,##0.00" sourceLinked="1"/>
        <c:majorTickMark val="none"/>
        <c:minorTickMark val="none"/>
        <c:tickLblPos val="nextTo"/>
        <c:crossAx val="5468289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[Customer_Sales_Profitability_Dashboard.xlsx]PivotTable!PivotTable4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solidFill>
                  <a:srgbClr val="00B0F0"/>
                </a:solidFill>
              </a:rPr>
              <a:t>Sales by Region</a:t>
            </a:r>
            <a:endParaRPr lang="en-US">
              <a:solidFill>
                <a:srgbClr val="00B0F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PivotTable!$L$1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PivotTable!$K$2:$K$6</c:f>
              <c:strCache>
                <c:ptCount val="4"/>
                <c:pt idx="0">
                  <c:v>Central</c:v>
                </c:pt>
                <c:pt idx="1">
                  <c:v>East</c:v>
                </c:pt>
                <c:pt idx="2">
                  <c:v>South</c:v>
                </c:pt>
                <c:pt idx="3">
                  <c:v>West</c:v>
                </c:pt>
              </c:strCache>
            </c:strRef>
          </c:cat>
          <c:val>
            <c:numRef>
              <c:f>PivotTable!$L$2:$L$6</c:f>
              <c:numCache>
                <c:formatCode>#,##0.00</c:formatCode>
                <c:ptCount val="4"/>
                <c:pt idx="0">
                  <c:v>1873446.3500000008</c:v>
                </c:pt>
                <c:pt idx="1">
                  <c:v>1976609.9300000009</c:v>
                </c:pt>
                <c:pt idx="2">
                  <c:v>1863641.1899999988</c:v>
                </c:pt>
                <c:pt idx="3">
                  <c:v>1895224.1099999989</c:v>
                </c:pt>
              </c:numCache>
            </c:numRef>
          </c:val>
          <c:extLst>
            <c:ext xmlns:c16="http://schemas.microsoft.com/office/drawing/2014/chart" uri="{C3380CC4-5D6E-409C-BE32-E72D297353CC}">
              <c16:uniqueId val="{00000000-32C4-4E74-8C9F-EE56F745FE68}"/>
            </c:ext>
          </c:extLst>
        </c:ser>
        <c:dLbls>
          <c:dLblPos val="outEnd"/>
          <c:showLegendKey val="0"/>
          <c:showVal val="1"/>
          <c:showCatName val="0"/>
          <c:showSerName val="0"/>
          <c:showPercent val="0"/>
          <c:showBubbleSize val="0"/>
        </c:dLbls>
        <c:gapWidth val="219"/>
        <c:axId val="546017967"/>
        <c:axId val="546019887"/>
      </c:barChart>
      <c:catAx>
        <c:axId val="546017967"/>
        <c:scaling>
          <c:orientation val="minMax"/>
        </c:scaling>
        <c:delete val="1"/>
        <c:axPos val="b"/>
        <c:numFmt formatCode="General" sourceLinked="1"/>
        <c:majorTickMark val="none"/>
        <c:minorTickMark val="none"/>
        <c:tickLblPos val="nextTo"/>
        <c:crossAx val="546019887"/>
        <c:crosses val="autoZero"/>
        <c:auto val="1"/>
        <c:lblAlgn val="ctr"/>
        <c:lblOffset val="100"/>
        <c:noMultiLvlLbl val="0"/>
      </c:catAx>
      <c:valAx>
        <c:axId val="546019887"/>
        <c:scaling>
          <c:orientation val="minMax"/>
        </c:scaling>
        <c:delete val="1"/>
        <c:axPos val="l"/>
        <c:numFmt formatCode="#,##0.00" sourceLinked="1"/>
        <c:majorTickMark val="none"/>
        <c:minorTickMark val="none"/>
        <c:tickLblPos val="nextTo"/>
        <c:crossAx val="5460179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[Customer_Sales_Profitability_Dashboard.xlsx]PivotTable!PivotTable5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Profit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PivotTable!$O$1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C1A-4A4D-A961-C455F0D2013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C1A-4A4D-A961-C455F0D2013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C1A-4A4D-A961-C455F0D2013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PivotTable!$N$2:$N$5</c:f>
              <c:strCache>
                <c:ptCount val="3"/>
                <c:pt idx="0">
                  <c:v>Furniture</c:v>
                </c:pt>
                <c:pt idx="1">
                  <c:v>Office Supplies</c:v>
                </c:pt>
                <c:pt idx="2">
                  <c:v>Technology</c:v>
                </c:pt>
              </c:strCache>
            </c:strRef>
          </c:cat>
          <c:val>
            <c:numRef>
              <c:f>PivotTable!$O$2:$O$5</c:f>
              <c:numCache>
                <c:formatCode>General</c:formatCode>
                <c:ptCount val="3"/>
                <c:pt idx="0">
                  <c:v>-122628.74999999997</c:v>
                </c:pt>
                <c:pt idx="1">
                  <c:v>-137145.8199999998</c:v>
                </c:pt>
                <c:pt idx="2">
                  <c:v>-119571.57999999981</c:v>
                </c:pt>
              </c:numCache>
            </c:numRef>
          </c:val>
          <c:extLst>
            <c:ext xmlns:c16="http://schemas.microsoft.com/office/drawing/2014/chart" uri="{C3380CC4-5D6E-409C-BE32-E72D297353CC}">
              <c16:uniqueId val="{00000006-FC1A-4A4D-A961-C455F0D20138}"/>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[Customer_Sales_Profitability_Dashboard.xlsx]PivotTable!PivotTable3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Top 10 Customers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PivotTable!$I$1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PivotTable!$H$2:$H$12</c:f>
              <c:strCache>
                <c:ptCount val="10"/>
                <c:pt idx="0">
                  <c:v>Customer_321</c:v>
                </c:pt>
                <c:pt idx="1">
                  <c:v>Customer_626</c:v>
                </c:pt>
                <c:pt idx="2">
                  <c:v>Customer_184</c:v>
                </c:pt>
                <c:pt idx="3">
                  <c:v>Customer_552</c:v>
                </c:pt>
                <c:pt idx="4">
                  <c:v>Customer_662</c:v>
                </c:pt>
                <c:pt idx="5">
                  <c:v>Customer_455</c:v>
                </c:pt>
                <c:pt idx="6">
                  <c:v>Customer_182</c:v>
                </c:pt>
                <c:pt idx="7">
                  <c:v>Customer_675</c:v>
                </c:pt>
                <c:pt idx="8">
                  <c:v>Customer_701</c:v>
                </c:pt>
                <c:pt idx="9">
                  <c:v>Customer_779</c:v>
                </c:pt>
              </c:strCache>
            </c:strRef>
          </c:cat>
          <c:val>
            <c:numRef>
              <c:f>PivotTable!$I$2:$I$12</c:f>
              <c:numCache>
                <c:formatCode>#,##0.00</c:formatCode>
                <c:ptCount val="10"/>
                <c:pt idx="0">
                  <c:v>30492.769999999997</c:v>
                </c:pt>
                <c:pt idx="1">
                  <c:v>28869.58</c:v>
                </c:pt>
                <c:pt idx="2">
                  <c:v>28505.189999999995</c:v>
                </c:pt>
                <c:pt idx="3">
                  <c:v>26305.719999999998</c:v>
                </c:pt>
                <c:pt idx="4">
                  <c:v>25763.510000000002</c:v>
                </c:pt>
                <c:pt idx="5">
                  <c:v>25305.82</c:v>
                </c:pt>
                <c:pt idx="6">
                  <c:v>25088.36</c:v>
                </c:pt>
                <c:pt idx="7">
                  <c:v>24996.9</c:v>
                </c:pt>
                <c:pt idx="8">
                  <c:v>24836.549999999996</c:v>
                </c:pt>
                <c:pt idx="9">
                  <c:v>24281.750000000007</c:v>
                </c:pt>
              </c:numCache>
            </c:numRef>
          </c:val>
          <c:extLst>
            <c:ext xmlns:c16="http://schemas.microsoft.com/office/drawing/2014/chart" uri="{C3380CC4-5D6E-409C-BE32-E72D297353CC}">
              <c16:uniqueId val="{00000000-C17C-4A62-8282-E79F6A443125}"/>
            </c:ext>
          </c:extLst>
        </c:ser>
        <c:dLbls>
          <c:dLblPos val="outEnd"/>
          <c:showLegendKey val="0"/>
          <c:showVal val="1"/>
          <c:showCatName val="0"/>
          <c:showSerName val="0"/>
          <c:showPercent val="0"/>
          <c:showBubbleSize val="0"/>
        </c:dLbls>
        <c:gapWidth val="182"/>
        <c:axId val="308265679"/>
        <c:axId val="308257999"/>
      </c:barChart>
      <c:catAx>
        <c:axId val="30826567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8257999"/>
        <c:crosses val="autoZero"/>
        <c:auto val="1"/>
        <c:lblAlgn val="ctr"/>
        <c:lblOffset val="100"/>
        <c:noMultiLvlLbl val="0"/>
      </c:catAx>
      <c:valAx>
        <c:axId val="308257999"/>
        <c:scaling>
          <c:orientation val="minMax"/>
        </c:scaling>
        <c:delete val="0"/>
        <c:axPos val="b"/>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82656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7</xdr:row>
      <xdr:rowOff>22860</xdr:rowOff>
    </xdr:from>
    <xdr:to>
      <xdr:col>6</xdr:col>
      <xdr:colOff>38100</xdr:colOff>
      <xdr:row>19</xdr:row>
      <xdr:rowOff>175260</xdr:rowOff>
    </xdr:to>
    <xdr:graphicFrame macro="">
      <xdr:nvGraphicFramePr>
        <xdr:cNvPr id="2" name="Chart 1">
          <a:extLst>
            <a:ext uri="{FF2B5EF4-FFF2-40B4-BE49-F238E27FC236}">
              <a16:creationId xmlns:a16="http://schemas.microsoft.com/office/drawing/2014/main" id="{37744682-C518-484D-B39A-C931C2DA65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0</xdr:colOff>
      <xdr:row>7</xdr:row>
      <xdr:rowOff>0</xdr:rowOff>
    </xdr:from>
    <xdr:to>
      <xdr:col>12</xdr:col>
      <xdr:colOff>0</xdr:colOff>
      <xdr:row>19</xdr:row>
      <xdr:rowOff>175260</xdr:rowOff>
    </xdr:to>
    <xdr:graphicFrame macro="">
      <xdr:nvGraphicFramePr>
        <xdr:cNvPr id="3" name="Chart 2">
          <a:extLst>
            <a:ext uri="{FF2B5EF4-FFF2-40B4-BE49-F238E27FC236}">
              <a16:creationId xmlns:a16="http://schemas.microsoft.com/office/drawing/2014/main" id="{5C743DF2-D79E-40BC-BD88-5E61B45489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23</xdr:row>
      <xdr:rowOff>152400</xdr:rowOff>
    </xdr:from>
    <xdr:to>
      <xdr:col>6</xdr:col>
      <xdr:colOff>53340</xdr:colOff>
      <xdr:row>37</xdr:row>
      <xdr:rowOff>22860</xdr:rowOff>
    </xdr:to>
    <xdr:graphicFrame macro="">
      <xdr:nvGraphicFramePr>
        <xdr:cNvPr id="4" name="Chart 3">
          <a:extLst>
            <a:ext uri="{FF2B5EF4-FFF2-40B4-BE49-F238E27FC236}">
              <a16:creationId xmlns:a16="http://schemas.microsoft.com/office/drawing/2014/main" id="{3B4EFD13-DDCF-4A7A-912C-2D1E284347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0</xdr:colOff>
      <xdr:row>24</xdr:row>
      <xdr:rowOff>0</xdr:rowOff>
    </xdr:from>
    <xdr:to>
      <xdr:col>12</xdr:col>
      <xdr:colOff>0</xdr:colOff>
      <xdr:row>37</xdr:row>
      <xdr:rowOff>22860</xdr:rowOff>
    </xdr:to>
    <xdr:graphicFrame macro="">
      <xdr:nvGraphicFramePr>
        <xdr:cNvPr id="5" name="Chart 4">
          <a:extLst>
            <a:ext uri="{FF2B5EF4-FFF2-40B4-BE49-F238E27FC236}">
              <a16:creationId xmlns:a16="http://schemas.microsoft.com/office/drawing/2014/main" id="{1E83C005-E94A-48AB-9A66-6A39BD3419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12</xdr:col>
      <xdr:colOff>388620</xdr:colOff>
      <xdr:row>1</xdr:row>
      <xdr:rowOff>30480</xdr:rowOff>
    </xdr:from>
    <xdr:to>
      <xdr:col>15</xdr:col>
      <xdr:colOff>388620</xdr:colOff>
      <xdr:row>13</xdr:row>
      <xdr:rowOff>112395</xdr:rowOff>
    </xdr:to>
    <mc:AlternateContent xmlns:mc="http://schemas.openxmlformats.org/markup-compatibility/2006" xmlns:a14="http://schemas.microsoft.com/office/drawing/2010/main">
      <mc:Choice Requires="a14">
        <xdr:graphicFrame macro="">
          <xdr:nvGraphicFramePr>
            <xdr:cNvPr id="6" name="Region">
              <a:extLst>
                <a:ext uri="{FF2B5EF4-FFF2-40B4-BE49-F238E27FC236}">
                  <a16:creationId xmlns:a16="http://schemas.microsoft.com/office/drawing/2014/main" id="{84CEDDB9-862E-22BF-53A8-5B5A54F38C8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0431780" y="3810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LINI KARNATI" refreshedDate="46071.467612152781" createdVersion="8" refreshedVersion="8" minRefreshableVersion="3" recordCount="3000" xr:uid="{0A61721C-5BF1-45CD-B600-57ED378470F9}">
  <cacheSource type="worksheet">
    <worksheetSource name="SalesData"/>
  </cacheSource>
  <cacheFields count="14">
    <cacheField name="Order_ID" numFmtId="0">
      <sharedItems/>
    </cacheField>
    <cacheField name="Order_Date" numFmtId="14">
      <sharedItems containsSemiMixedTypes="0" containsNonDate="0" containsDate="1" containsString="0" minDate="2022-01-01T00:00:00" maxDate="2024-01-02T00:00:00"/>
    </cacheField>
    <cacheField name="Customer_Name" numFmtId="0">
      <sharedItems count="781">
        <s v="Customer_693"/>
        <s v="Customer_575"/>
        <s v="Customer_778"/>
        <s v="Customer_95"/>
        <s v="Customer_128"/>
        <s v="Customer_197"/>
        <s v="Customer_390"/>
        <s v="Customer_700"/>
        <s v="Customer_656"/>
        <s v="Customer_68"/>
        <s v="Customer_470"/>
        <s v="Customer_598"/>
        <s v="Customer_157"/>
        <s v="Customer_542"/>
        <s v="Customer_788"/>
        <s v="Customer_513"/>
        <s v="Customer_383"/>
        <s v="Customer_315"/>
        <s v="Customer_779"/>
        <s v="Customer_434"/>
        <s v="Customer_666"/>
        <s v="Customer_568"/>
        <s v="Customer_339"/>
        <s v="Customer_591"/>
        <s v="Customer_421"/>
        <s v="Customer_746"/>
        <s v="Customer_286"/>
        <s v="Customer_554"/>
        <s v="Customer_61"/>
        <s v="Customer_714"/>
        <s v="Customer_766"/>
        <s v="Customer_521"/>
        <s v="Customer_584"/>
        <s v="Customer_324"/>
        <s v="Customer_308"/>
        <s v="Customer_551"/>
        <s v="Customer_292"/>
        <s v="Customer_9"/>
        <s v="Customer_761"/>
        <s v="Customer_518"/>
        <s v="Customer_790"/>
        <s v="Customer_115"/>
        <s v="Customer_441"/>
        <s v="Customer_216"/>
        <s v="Customer_768"/>
        <s v="Customer_184"/>
        <s v="Customer_111"/>
        <s v="Customer_234"/>
        <s v="Customer_360"/>
        <s v="Customer_595"/>
        <s v="Customer_524"/>
        <s v="Customer_704"/>
        <s v="Customer_562"/>
        <s v="Customer_453"/>
        <s v="Customer_675"/>
        <s v="Customer_689"/>
        <s v="Customer_467"/>
        <s v="Customer_152"/>
        <s v="Customer_52"/>
        <s v="Customer_610"/>
        <s v="Customer_457"/>
        <s v="Customer_497"/>
        <s v="Customer_83"/>
        <s v="Customer_21"/>
        <s v="Customer_552"/>
        <s v="Customer_415"/>
        <s v="Customer_578"/>
        <s v="Customer_336"/>
        <s v="Customer_259"/>
        <s v="Customer_71"/>
        <s v="Customer_485"/>
        <s v="Customer_385"/>
        <s v="Customer_356"/>
        <s v="Customer_109"/>
        <s v="Customer_752"/>
        <s v="Customer_252"/>
        <s v="Customer_30"/>
        <s v="Customer_611"/>
        <s v="Customer_569"/>
        <s v="Customer_227"/>
        <s v="Customer_436"/>
        <s v="Customer_130"/>
        <s v="Customer_106"/>
        <s v="Customer_490"/>
        <s v="Customer_153"/>
        <s v="Customer_232"/>
        <s v="Customer_62"/>
        <s v="Customer_566"/>
        <s v="Customer_296"/>
        <s v="Customer_604"/>
        <s v="Customer_74"/>
        <s v="Customer_480"/>
        <s v="Customer_443"/>
        <s v="Customer_602"/>
        <s v="Customer_668"/>
        <s v="Customer_482"/>
        <s v="Customer_508"/>
        <s v="Customer_792"/>
        <s v="Customer_531"/>
        <s v="Customer_295"/>
        <s v="Customer_727"/>
        <s v="Customer_473"/>
        <s v="Customer_495"/>
        <s v="Customer_72"/>
        <s v="Customer_744"/>
        <s v="Customer_496"/>
        <s v="Customer_245"/>
        <s v="Customer_396"/>
        <s v="Customer_103"/>
        <s v="Customer_272"/>
        <s v="Customer_701"/>
        <s v="Customer_455"/>
        <s v="Customer_442"/>
        <s v="Customer_625"/>
        <s v="Customer_261"/>
        <s v="Customer_162"/>
        <s v="Customer_310"/>
        <s v="Customer_303"/>
        <s v="Customer_621"/>
        <s v="Customer_257"/>
        <s v="Customer_374"/>
        <s v="Customer_375"/>
        <s v="Customer_765"/>
        <s v="Customer_742"/>
        <s v="Customer_466"/>
        <s v="Customer_664"/>
        <s v="Customer_312"/>
        <s v="Customer_631"/>
        <s v="Customer_372"/>
        <s v="Customer_195"/>
        <s v="Customer_222"/>
        <s v="Customer_603"/>
        <s v="Customer_488"/>
        <s v="Customer_45"/>
        <s v="Customer_282"/>
        <s v="Customer_118"/>
        <s v="Customer_321"/>
        <s v="Customer_94"/>
        <s v="Customer_601"/>
        <s v="Customer_359"/>
        <s v="Customer_629"/>
        <s v="Customer_348"/>
        <s v="Customer_32"/>
        <s v="Customer_739"/>
        <s v="Customer_51"/>
        <s v="Customer_774"/>
        <s v="Customer_316"/>
        <s v="Customer_783"/>
        <s v="Customer_546"/>
        <s v="Customer_447"/>
        <s v="Customer_297"/>
        <s v="Customer_371"/>
        <s v="Customer_764"/>
        <s v="Customer_795"/>
        <s v="Customer_178"/>
        <s v="Customer_361"/>
        <s v="Customer_93"/>
        <s v="Customer_732"/>
        <s v="Customer_536"/>
        <s v="Customer_647"/>
        <s v="Customer_618"/>
        <s v="Customer_716"/>
        <s v="Customer_131"/>
        <s v="Customer_350"/>
        <s v="Customer_626"/>
        <s v="Customer_199"/>
        <s v="Customer_429"/>
        <s v="Customer_151"/>
        <s v="Customer_515"/>
        <s v="Customer_344"/>
        <s v="Customer_481"/>
        <s v="Customer_541"/>
        <s v="Customer_469"/>
        <s v="Customer_299"/>
        <s v="Customer_537"/>
        <s v="Customer_247"/>
        <s v="Customer_659"/>
        <s v="Customer_65"/>
        <s v="Customer_528"/>
        <s v="Customer_800"/>
        <s v="Customer_762"/>
        <s v="Customer_274"/>
        <s v="Customer_329"/>
        <s v="Customer_707"/>
        <s v="Customer_376"/>
        <s v="Customer_27"/>
        <s v="Customer_463"/>
        <s v="Customer_684"/>
        <s v="Customer_506"/>
        <s v="Customer_89"/>
        <s v="Customer_76"/>
        <s v="Customer_799"/>
        <s v="Customer_291"/>
        <s v="Customer_547"/>
        <s v="Customer_738"/>
        <s v="Customer_559"/>
        <s v="Customer_75"/>
        <s v="Customer_736"/>
        <s v="Customer_248"/>
        <s v="Customer_511"/>
        <s v="Customer_221"/>
        <s v="Customer_293"/>
        <s v="Customer_517"/>
        <s v="Customer_100"/>
        <s v="Customer_412"/>
        <s v="Customer_608"/>
        <s v="Customer_378"/>
        <s v="Customer_645"/>
        <s v="Customer_423"/>
        <s v="Customer_723"/>
        <s v="Customer_298"/>
        <s v="Customer_220"/>
        <s v="Customer_759"/>
        <s v="Customer_424"/>
        <s v="Customer_417"/>
        <s v="Customer_428"/>
        <s v="Customer_39"/>
        <s v="Customer_557"/>
        <s v="Customer_749"/>
        <s v="Customer_691"/>
        <s v="Customer_411"/>
        <s v="Customer_458"/>
        <s v="Customer_710"/>
        <s v="Customer_789"/>
        <s v="Customer_137"/>
        <s v="Customer_776"/>
        <s v="Customer_550"/>
        <s v="Customer_474"/>
        <s v="Customer_47"/>
        <s v="Customer_33"/>
        <s v="Customer_384"/>
        <s v="Customer_670"/>
        <s v="Customer_775"/>
        <s v="Customer_254"/>
        <s v="Customer_677"/>
        <s v="Customer_144"/>
        <s v="Customer_243"/>
        <s v="Customer_606"/>
        <s v="Customer_688"/>
        <s v="Customer_773"/>
        <s v="Customer_576"/>
        <s v="Customer_663"/>
        <s v="Customer_387"/>
        <s v="Customer_491"/>
        <s v="Customer_330"/>
        <s v="Customer_478"/>
        <s v="Customer_564"/>
        <s v="Customer_174"/>
        <s v="Customer_237"/>
        <s v="Customer_683"/>
        <s v="Customer_740"/>
        <s v="Customer_110"/>
        <s v="Customer_407"/>
        <s v="Customer_176"/>
        <s v="Customer_213"/>
        <s v="Customer_399"/>
        <s v="Customer_55"/>
        <s v="Customer_793"/>
        <s v="Customer_731"/>
        <s v="Customer_325"/>
        <s v="Customer_136"/>
        <s v="Customer_363"/>
        <s v="Customer_743"/>
        <s v="Customer_505"/>
        <s v="Customer_258"/>
        <s v="Customer_7"/>
        <s v="Customer_609"/>
        <s v="Customer_327"/>
        <s v="Customer_288"/>
        <s v="Customer_28"/>
        <s v="Customer_690"/>
        <s v="Customer_112"/>
        <s v="Customer_694"/>
        <s v="Customer_572"/>
        <s v="Customer_354"/>
        <s v="Customer_357"/>
        <s v="Customer_464"/>
        <s v="Customer_756"/>
        <s v="Customer_502"/>
        <s v="Customer_633"/>
        <s v="Customer_138"/>
        <s v="Customer_10"/>
        <s v="Customer_504"/>
        <s v="Customer_300"/>
        <s v="Customer_563"/>
        <s v="Customer_34"/>
        <s v="Customer_215"/>
        <s v="Customer_212"/>
        <s v="Customer_649"/>
        <s v="Customer_592"/>
        <s v="Customer_471"/>
        <s v="Customer_170"/>
        <s v="Customer_721"/>
        <s v="Customer_235"/>
        <s v="Customer_451"/>
        <s v="Customer_223"/>
        <s v="Customer_323"/>
        <s v="Customer_85"/>
        <s v="Customer_624"/>
        <s v="Customer_719"/>
        <s v="Customer_381"/>
        <s v="Customer_279"/>
        <s v="Customer_512"/>
        <s v="Customer_37"/>
        <s v="Customer_586"/>
        <s v="Customer_420"/>
        <s v="Customer_2"/>
        <s v="Customer_77"/>
        <s v="Customer_718"/>
        <s v="Customer_256"/>
        <s v="Customer_134"/>
        <s v="Customer_266"/>
        <s v="Customer_126"/>
        <s v="Customer_509"/>
        <s v="Customer_60"/>
        <s v="Customer_364"/>
        <s v="Customer_29"/>
        <s v="Customer_556"/>
        <s v="Customer_750"/>
        <s v="Customer_340"/>
        <s v="Customer_687"/>
        <s v="Customer_388"/>
        <s v="Customer_231"/>
        <s v="Customer_351"/>
        <s v="Customer_347"/>
        <s v="Customer_56"/>
        <s v="Customer_408"/>
        <s v="Customer_379"/>
        <s v="Customer_64"/>
        <s v="Customer_587"/>
        <s v="Customer_530"/>
        <s v="Customer_265"/>
        <s v="Customer_533"/>
        <s v="Customer_154"/>
        <s v="Customer_498"/>
        <s v="Customer_40"/>
        <s v="Customer_662"/>
        <s v="Customer_583"/>
        <s v="Customer_722"/>
        <s v="Customer_353"/>
        <s v="Customer_167"/>
        <s v="Customer_313"/>
        <s v="Customer_639"/>
        <s v="Customer_284"/>
        <s v="Customer_615"/>
        <s v="Customer_352"/>
        <s v="Customer_431"/>
        <s v="Customer_147"/>
        <s v="Customer_5"/>
        <s v="Customer_196"/>
        <s v="Customer_133"/>
        <s v="Customer_169"/>
        <s v="Customer_427"/>
        <s v="Customer_646"/>
        <s v="Customer_141"/>
        <s v="Customer_510"/>
        <s v="Customer_3"/>
        <s v="Customer_271"/>
        <s v="Customer_680"/>
        <s v="Customer_432"/>
        <s v="Customer_322"/>
        <s v="Customer_574"/>
        <s v="Customer_124"/>
        <s v="Customer_709"/>
        <s v="Customer_394"/>
        <s v="Customer_728"/>
        <s v="Customer_492"/>
        <s v="Customer_294"/>
        <s v="Customer_244"/>
        <s v="Customer_302"/>
        <s v="Customer_42"/>
        <s v="Customer_309"/>
        <s v="Customer_189"/>
        <s v="Customer_219"/>
        <s v="Customer_771"/>
        <s v="Customer_250"/>
        <s v="Customer_107"/>
        <s v="Customer_158"/>
        <s v="Customer_18"/>
        <s v="Customer_784"/>
        <s v="Customer_561"/>
        <s v="Customer_525"/>
        <s v="Customer_581"/>
        <s v="Customer_101"/>
        <s v="Customer_711"/>
        <s v="Customer_253"/>
        <s v="Customer_20"/>
        <s v="Customer_267"/>
        <s v="Customer_150"/>
        <s v="Customer_240"/>
        <s v="Customer_48"/>
        <s v="Customer_593"/>
        <s v="Customer_619"/>
        <s v="Customer_23"/>
        <s v="Customer_225"/>
        <s v="Customer_172"/>
        <s v="Customer_17"/>
        <s v="Customer_630"/>
        <s v="Customer_553"/>
        <s v="Customer_543"/>
        <s v="Customer_590"/>
        <s v="Customer_613"/>
        <s v="Customer_437"/>
        <s v="Customer_446"/>
        <s v="Customer_11"/>
        <s v="Customer_755"/>
        <s v="Customer_698"/>
        <s v="Customer_255"/>
        <s v="Customer_634"/>
        <s v="Customer_483"/>
        <s v="Customer_708"/>
        <s v="Customer_333"/>
        <s v="Customer_149"/>
        <s v="Customer_82"/>
        <s v="Customer_405"/>
        <s v="Customer_317"/>
        <s v="Customer_92"/>
        <s v="Customer_270"/>
        <s v="Customer_702"/>
        <s v="Customer_187"/>
        <s v="Customer_193"/>
        <s v="Customer_276"/>
        <s v="Customer_58"/>
        <s v="Customer_391"/>
        <s v="Customer_204"/>
        <s v="Customer_331"/>
        <s v="Customer_654"/>
        <s v="Customer_445"/>
        <s v="Customer_596"/>
        <s v="Customer_703"/>
        <s v="Customer_129"/>
        <s v="Customer_751"/>
        <s v="Customer_724"/>
        <s v="Customer_332"/>
        <s v="Customer_555"/>
        <s v="Customer_373"/>
        <s v="Customer_99"/>
        <s v="Customer_63"/>
        <s v="Customer_273"/>
        <s v="Customer_454"/>
        <s v="Customer_369"/>
        <s v="Customer_139"/>
        <s v="Customer_283"/>
        <s v="Customer_741"/>
        <s v="Customer_797"/>
        <s v="Customer_715"/>
        <s v="Customer_781"/>
        <s v="Customer_754"/>
        <s v="Customer_116"/>
        <s v="Customer_217"/>
        <s v="Customer_676"/>
        <s v="Customer_641"/>
        <s v="Customer_403"/>
        <s v="Customer_233"/>
        <s v="Customer_422"/>
        <s v="Customer_135"/>
        <s v="Customer_730"/>
        <s v="Customer_438"/>
        <s v="Customer_532"/>
        <s v="Customer_713"/>
        <s v="Customer_207"/>
        <s v="Customer_627"/>
        <s v="Customer_190"/>
        <s v="Customer_306"/>
        <s v="Customer_726"/>
        <s v="Customer_160"/>
        <s v="Customer_534"/>
        <s v="Customer_519"/>
        <s v="Customer_318"/>
        <s v="Customer_397"/>
        <s v="Customer_628"/>
        <s v="Customer_393"/>
        <s v="Customer_717"/>
        <s v="Customer_81"/>
        <s v="Customer_402"/>
        <s v="Customer_67"/>
        <s v="Customer_589"/>
        <s v="Customer_73"/>
        <s v="Customer_494"/>
        <s v="Customer_588"/>
        <s v="Customer_507"/>
        <s v="Customer_211"/>
        <s v="Customer_720"/>
        <s v="Customer_448"/>
        <s v="Customer_477"/>
        <s v="Customer_80"/>
        <s v="Customer_745"/>
        <s v="Customer_653"/>
        <s v="Customer_614"/>
        <s v="Customer_580"/>
        <s v="Customer_655"/>
        <s v="Customer_166"/>
        <s v="Customer_183"/>
        <s v="Customer_342"/>
        <s v="Customer_449"/>
        <s v="Customer_117"/>
        <s v="Customer_462"/>
        <s v="Customer_91"/>
        <s v="Customer_236"/>
        <s v="Customer_46"/>
        <s v="Customer_395"/>
        <s v="Customer_180"/>
        <s v="Customer_24"/>
        <s v="Customer_22"/>
        <s v="Customer_165"/>
        <s v="Customer_120"/>
        <s v="Customer_36"/>
        <s v="Customer_26"/>
        <s v="Customer_520"/>
        <s v="Customer_366"/>
        <s v="Customer_201"/>
        <s v="Customer_200"/>
        <s v="Customer_487"/>
        <s v="Customer_44"/>
        <s v="Customer_123"/>
        <s v="Customer_328"/>
        <s v="Customer_365"/>
        <s v="Customer_188"/>
        <s v="Customer_278"/>
        <s v="Customer_382"/>
        <s v="Customer_573"/>
        <s v="Customer_320"/>
        <s v="Customer_782"/>
        <s v="Customer_127"/>
        <s v="Customer_377"/>
        <s v="Customer_88"/>
        <s v="Customer_435"/>
        <s v="Customer_70"/>
        <s v="Customer_301"/>
        <s v="Customer_733"/>
        <s v="Customer_632"/>
        <s v="Customer_358"/>
        <s v="Customer_582"/>
        <s v="Customer_400"/>
        <s v="Customer_549"/>
        <s v="Customer_185"/>
        <s v="Customer_275"/>
        <s v="Customer_650"/>
        <s v="Customer_242"/>
        <s v="Customer_794"/>
        <s v="Customer_125"/>
        <s v="Customer_465"/>
        <s v="Customer_4"/>
        <s v="Customer_642"/>
        <s v="Customer_15"/>
        <s v="Customer_263"/>
        <s v="Customer_674"/>
        <s v="Customer_173"/>
        <s v="Customer_84"/>
        <s v="Customer_6"/>
        <s v="Customer_617"/>
        <s v="Customer_368"/>
        <s v="Customer_577"/>
        <s v="Customer_526"/>
        <s v="Customer_540"/>
        <s v="Customer_461"/>
        <s v="Customer_370"/>
        <s v="Customer_757"/>
        <s v="Customer_500"/>
        <s v="Customer_637"/>
        <s v="Customer_346"/>
        <s v="Customer_686"/>
        <s v="Customer_87"/>
        <s v="Customer_155"/>
        <s v="Customer_121"/>
        <s v="Customer_50"/>
        <s v="Customer_239"/>
        <s v="Customer_769"/>
        <s v="Customer_392"/>
        <s v="Customer_648"/>
        <s v="Customer_182"/>
        <s v="Customer_777"/>
        <s v="Customer_8"/>
        <s v="Customer_132"/>
        <s v="Customer_281"/>
        <s v="Customer_49"/>
        <s v="Customer_338"/>
        <s v="Customer_54"/>
        <s v="Customer_667"/>
        <s v="Customer_456"/>
        <s v="Customer_493"/>
        <s v="Customer_251"/>
        <s v="Customer_770"/>
        <s v="Customer_661"/>
        <s v="Customer_268"/>
        <s v="Customer_594"/>
        <s v="Customer_349"/>
        <s v="Customer_401"/>
        <s v="Customer_66"/>
        <s v="Customer_305"/>
        <s v="Customer_335"/>
        <s v="Customer_786"/>
        <s v="Customer_640"/>
        <s v="Customer_760"/>
        <s v="Customer_145"/>
        <s v="Customer_14"/>
        <s v="Customer_262"/>
        <s v="Customer_679"/>
        <s v="Customer_671"/>
        <s v="Customer_345"/>
        <s v="Customer_734"/>
        <s v="Customer_785"/>
        <s v="Customer_140"/>
        <s v="Customer_319"/>
        <s v="Customer_696"/>
        <s v="Customer_105"/>
        <s v="Customer_657"/>
        <s v="Customer_501"/>
        <s v="Customer_41"/>
        <s v="Customer_1"/>
        <s v="Customer_98"/>
        <s v="Customer_326"/>
        <s v="Customer_489"/>
        <s v="Customer_307"/>
        <s v="Customer_337"/>
        <s v="Customer_104"/>
        <s v="Customer_122"/>
        <s v="Customer_514"/>
        <s v="Customer_418"/>
        <s v="Customer_660"/>
        <s v="Customer_287"/>
        <s v="Customer_516"/>
        <s v="Customer_224"/>
        <s v="Customer_304"/>
        <s v="Customer_548"/>
        <s v="Customer_226"/>
        <s v="Customer_238"/>
        <s v="Customer_194"/>
        <s v="Customer_404"/>
        <s v="Customer_168"/>
        <s v="Customer_146"/>
        <s v="Customer_620"/>
        <s v="Customer_472"/>
        <s v="Customer_13"/>
        <s v="Customer_579"/>
        <s v="Customer_96"/>
        <s v="Customer_529"/>
        <s v="Customer_97"/>
        <s v="Customer_635"/>
        <s v="Customer_398"/>
        <s v="Customer_616"/>
        <s v="Customer_380"/>
        <s v="Customer_558"/>
        <s v="Customer_413"/>
        <s v="Customer_192"/>
        <s v="Customer_499"/>
        <s v="Customer_198"/>
        <s v="Customer_205"/>
        <s v="Customer_285"/>
        <s v="Customer_202"/>
        <s v="Customer_772"/>
        <s v="Customer_114"/>
        <s v="Customer_277"/>
        <s v="Customer_638"/>
        <s v="Customer_341"/>
        <s v="Customer_79"/>
        <s v="Customer_484"/>
        <s v="Customer_16"/>
        <s v="Customer_682"/>
        <s v="Customer_433"/>
        <s v="Customer_705"/>
        <s v="Customer_210"/>
        <s v="Customer_175"/>
        <s v="Customer_673"/>
        <s v="Customer_367"/>
        <s v="Customer_672"/>
        <s v="Customer_539"/>
        <s v="Customer_142"/>
        <s v="Customer_119"/>
        <s v="Customer_565"/>
        <s v="Customer_334"/>
        <s v="Customer_460"/>
        <s v="Customer_599"/>
        <s v="Customer_156"/>
        <s v="Customer_430"/>
        <s v="Customer_406"/>
        <s v="Customer_108"/>
        <s v="Customer_171"/>
        <s v="Customer_685"/>
        <s v="Customer_712"/>
        <s v="Customer_475"/>
        <s v="Customer_191"/>
        <s v="Customer_468"/>
        <s v="Customer_612"/>
        <s v="Customer_177"/>
        <s v="Customer_218"/>
        <s v="Customer_425"/>
        <s v="Customer_230"/>
        <s v="Customer_269"/>
        <s v="Customer_311"/>
        <s v="Customer_53"/>
        <s v="Customer_622"/>
        <s v="Customer_206"/>
        <s v="Customer_791"/>
        <s v="Customer_229"/>
        <s v="Customer_767"/>
        <s v="Customer_748"/>
        <s v="Customer_416"/>
        <s v="Customer_787"/>
        <s v="Customer_214"/>
        <s v="Customer_249"/>
        <s v="Customer_644"/>
        <s v="Customer_314"/>
        <s v="Customer_186"/>
        <s v="Customer_159"/>
        <s v="Customer_43"/>
        <s v="Customer_414"/>
        <s v="Customer_798"/>
        <s v="Customer_164"/>
        <s v="Customer_78"/>
        <s v="Customer_597"/>
        <s v="Customer_203"/>
        <s v="Customer_241"/>
        <s v="Customer_148"/>
        <s v="Customer_25"/>
        <s v="Customer_697"/>
        <s v="Customer_651"/>
        <s v="Customer_90"/>
        <s v="Customer_208"/>
        <s v="Customer_444"/>
        <s v="Customer_209"/>
        <s v="Customer_362"/>
        <s v="Customer_567"/>
        <s v="Customer_69"/>
        <s v="Customer_38"/>
        <s v="Customer_12"/>
        <s v="Customer_426"/>
        <s v="Customer_605"/>
        <s v="Customer_486"/>
        <s v="Customer_102"/>
        <s v="Customer_181"/>
        <s v="Customer_163"/>
        <s v="Customer_522"/>
        <s v="Customer_643"/>
        <s v="Customer_678"/>
        <s v="Customer_544"/>
        <s v="Customer_86"/>
        <s v="Customer_343"/>
        <s v="Customer_57"/>
        <s v="Customer_459"/>
        <s v="Customer_695"/>
        <s v="Customer_658"/>
        <s v="Customer_439"/>
        <s v="Customer_143"/>
        <s v="Customer_737"/>
        <s v="Customer_780"/>
        <s v="Customer_535"/>
        <s v="Customer_228"/>
        <s v="Customer_585"/>
        <s v="Customer_758"/>
        <s v="Customer_545"/>
        <s v="Customer_538"/>
        <s v="Customer_409"/>
        <s v="Customer_440"/>
        <s v="Customer_386"/>
        <s v="Customer_699"/>
        <s v="Customer_389"/>
        <s v="Customer_452"/>
        <s v="Customer_280"/>
        <s v="Customer_570"/>
        <s v="Customer_796"/>
        <s v="Customer_735"/>
        <s v="Customer_246"/>
        <s v="Customer_19"/>
        <s v="Customer_607"/>
        <s v="Customer_503"/>
        <s v="Customer_692"/>
        <s v="Customer_260"/>
        <s v="Customer_527"/>
        <s v="Customer_681"/>
        <s v="Customer_725"/>
        <s v="Customer_560"/>
        <s v="Customer_31"/>
        <s v="Customer_571"/>
        <s v="Customer_59"/>
        <s v="Customer_623"/>
        <s v="Customer_669"/>
        <s v="Customer_35"/>
        <s v="Customer_763"/>
        <s v="Customer_289"/>
        <s v="Customer_264"/>
      </sharedItems>
    </cacheField>
    <cacheField name="Region" numFmtId="0">
      <sharedItems count="4">
        <s v="West"/>
        <s v="East"/>
        <s v="South"/>
        <s v="Central"/>
      </sharedItems>
    </cacheField>
    <cacheField name="Category" numFmtId="0">
      <sharedItems count="3">
        <s v="Office Supplies"/>
        <s v="Technology"/>
        <s v="Furniture"/>
      </sharedItems>
    </cacheField>
    <cacheField name="Sub_Category" numFmtId="0">
      <sharedItems/>
    </cacheField>
    <cacheField name="Product_Name" numFmtId="0">
      <sharedItems/>
    </cacheField>
    <cacheField name="Sales" numFmtId="0">
      <sharedItems containsSemiMixedTypes="0" containsString="0" containsNumber="1" minValue="101.21" maxValue="4998.07"/>
    </cacheField>
    <cacheField name="Profit" numFmtId="0">
      <sharedItems containsSemiMixedTypes="0" containsString="0" containsNumber="1" minValue="-2281.02" maxValue="1811.59"/>
    </cacheField>
    <cacheField name="Discount" numFmtId="0">
      <sharedItems containsSemiMixedTypes="0" containsString="0" containsNumber="1" minValue="0" maxValue="0.3"/>
    </cacheField>
    <cacheField name="Profit_Category" numFmtId="0">
      <sharedItems count="2">
        <s v="Loss"/>
        <s v="Profit"/>
      </sharedItems>
    </cacheField>
    <cacheField name="Profit_Margin" numFmtId="0">
      <sharedItems containsSemiMixedTypes="0" containsString="0" containsNumber="1" minValue="-0.49874658402161798" maxValue="0.3756775552526066"/>
    </cacheField>
    <cacheField name="Month" numFmtId="0">
      <sharedItems count="12">
        <s v="Apr"/>
        <s v="Jan"/>
        <s v="Jul"/>
        <s v="Aug"/>
        <s v="Dec"/>
        <s v="Oct"/>
        <s v="Mar"/>
        <s v="Sep"/>
        <s v="Jun"/>
        <s v="Nov"/>
        <s v="Feb"/>
        <s v="May"/>
      </sharedItems>
    </cacheField>
    <cacheField name="Year" numFmtId="0">
      <sharedItems containsSemiMixedTypes="0" containsString="0" containsNumber="1" containsInteger="1" minValue="2022" maxValue="2024"/>
    </cacheField>
  </cacheFields>
  <extLst>
    <ext xmlns:x14="http://schemas.microsoft.com/office/spreadsheetml/2009/9/main" uri="{725AE2AE-9491-48be-B2B4-4EB974FC3084}">
      <x14:pivotCacheDefinition pivotCacheId="36576132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0">
  <r>
    <s v="O00001"/>
    <d v="2022-04-15T00:00:00"/>
    <x v="0"/>
    <x v="0"/>
    <x v="0"/>
    <s v="Binders"/>
    <s v="Product_303"/>
    <n v="222.55"/>
    <n v="-32.51"/>
    <n v="0.08"/>
    <x v="0"/>
    <n v="-0.14607953268928328"/>
    <x v="0"/>
    <n v="2022"/>
  </r>
  <r>
    <s v="O00002"/>
    <d v="2022-01-28T00:00:00"/>
    <x v="1"/>
    <x v="1"/>
    <x v="1"/>
    <s v="Phones"/>
    <s v="Product_367"/>
    <n v="246.01"/>
    <n v="8.17"/>
    <n v="7.0000000000000007E-2"/>
    <x v="1"/>
    <n v="3.3210032112515754E-2"/>
    <x v="1"/>
    <n v="2022"/>
  </r>
  <r>
    <s v="O00003"/>
    <d v="2022-01-07T00:00:00"/>
    <x v="2"/>
    <x v="1"/>
    <x v="0"/>
    <s v="Storage"/>
    <s v="Product_358"/>
    <n v="2770.21"/>
    <n v="231.48"/>
    <n v="7.0000000000000007E-2"/>
    <x v="1"/>
    <n v="8.3560452095689491E-2"/>
    <x v="1"/>
    <n v="2022"/>
  </r>
  <r>
    <s v="O00004"/>
    <d v="2022-04-15T00:00:00"/>
    <x v="3"/>
    <x v="2"/>
    <x v="1"/>
    <s v="Accessories"/>
    <s v="Product_50"/>
    <n v="1461.57"/>
    <n v="289.52999999999997"/>
    <n v="0.06"/>
    <x v="1"/>
    <n v="0.19809519899833739"/>
    <x v="0"/>
    <n v="2022"/>
  </r>
  <r>
    <s v="O00005"/>
    <d v="2023-07-04T00:00:00"/>
    <x v="4"/>
    <x v="2"/>
    <x v="1"/>
    <s v="Accessories"/>
    <s v="Product_41"/>
    <n v="3058.26"/>
    <n v="-6.61"/>
    <n v="0.24"/>
    <x v="0"/>
    <n v="-2.1613597274267068E-3"/>
    <x v="2"/>
    <n v="2023"/>
  </r>
  <r>
    <s v="O00006"/>
    <d v="2023-08-15T00:00:00"/>
    <x v="5"/>
    <x v="0"/>
    <x v="0"/>
    <s v="Paper"/>
    <s v="Product_24"/>
    <n v="4164.08"/>
    <n v="528.94000000000005"/>
    <n v="0.19"/>
    <x v="1"/>
    <n v="0.12702445678277077"/>
    <x v="3"/>
    <n v="2023"/>
  </r>
  <r>
    <s v="O00007"/>
    <d v="2022-04-14T00:00:00"/>
    <x v="6"/>
    <x v="3"/>
    <x v="0"/>
    <s v="Binders"/>
    <s v="Product_233"/>
    <n v="3888.03"/>
    <n v="51.29"/>
    <n v="0.3"/>
    <x v="1"/>
    <n v="1.3191770639629837E-2"/>
    <x v="0"/>
    <n v="2022"/>
  </r>
  <r>
    <s v="O00008"/>
    <d v="2023-12-20T00:00:00"/>
    <x v="7"/>
    <x v="0"/>
    <x v="0"/>
    <s v="Paper"/>
    <s v="Product_312"/>
    <n v="897.01"/>
    <n v="82.62"/>
    <n v="0.11"/>
    <x v="1"/>
    <n v="9.2105996588666805E-2"/>
    <x v="4"/>
    <n v="2023"/>
  </r>
  <r>
    <s v="O00009"/>
    <d v="2022-10-04T00:00:00"/>
    <x v="8"/>
    <x v="1"/>
    <x v="0"/>
    <s v="Binders"/>
    <s v="Product_351"/>
    <n v="2717.29"/>
    <n v="19.989999999999998"/>
    <n v="7.0000000000000007E-2"/>
    <x v="1"/>
    <n v="7.3565942538337823E-3"/>
    <x v="5"/>
    <n v="2022"/>
  </r>
  <r>
    <s v="O00010"/>
    <d v="2022-10-02T00:00:00"/>
    <x v="9"/>
    <x v="1"/>
    <x v="1"/>
    <s v="Phones"/>
    <s v="Product_468"/>
    <n v="1222.3399999999999"/>
    <n v="-25.34"/>
    <n v="0.01"/>
    <x v="0"/>
    <n v="-2.0730729584240066E-2"/>
    <x v="5"/>
    <n v="2022"/>
  </r>
  <r>
    <s v="O00011"/>
    <d v="2023-10-21T00:00:00"/>
    <x v="10"/>
    <x v="1"/>
    <x v="0"/>
    <s v="Storage"/>
    <s v="Product_136"/>
    <n v="1641.92"/>
    <n v="-267.01"/>
    <n v="0.2"/>
    <x v="0"/>
    <n v="-0.16262059052816213"/>
    <x v="5"/>
    <n v="2023"/>
  </r>
  <r>
    <s v="O00012"/>
    <d v="2023-03-15T00:00:00"/>
    <x v="11"/>
    <x v="2"/>
    <x v="2"/>
    <s v="Chairs"/>
    <s v="Product_186"/>
    <n v="3750.45"/>
    <n v="330.82"/>
    <n v="0.16"/>
    <x v="1"/>
    <n v="8.8208081696863047E-2"/>
    <x v="6"/>
    <n v="2023"/>
  </r>
  <r>
    <s v="O00013"/>
    <d v="2022-04-23T00:00:00"/>
    <x v="12"/>
    <x v="1"/>
    <x v="2"/>
    <s v="Chairs"/>
    <s v="Product_406"/>
    <n v="2596.6799999999998"/>
    <n v="-523.83000000000004"/>
    <n v="0.03"/>
    <x v="0"/>
    <n v="-0.20173067147280377"/>
    <x v="0"/>
    <n v="2022"/>
  </r>
  <r>
    <s v="O00014"/>
    <d v="2023-04-25T00:00:00"/>
    <x v="13"/>
    <x v="3"/>
    <x v="0"/>
    <s v="Paper"/>
    <s v="Product_498"/>
    <n v="3022.4"/>
    <n v="113.44"/>
    <n v="0.12"/>
    <x v="1"/>
    <n v="3.7533086289041818E-2"/>
    <x v="0"/>
    <n v="2023"/>
  </r>
  <r>
    <s v="O00015"/>
    <d v="2022-10-01T00:00:00"/>
    <x v="14"/>
    <x v="3"/>
    <x v="0"/>
    <s v="Binders"/>
    <s v="Product_58"/>
    <n v="3433.39"/>
    <n v="1033.01"/>
    <n v="0.03"/>
    <x v="1"/>
    <n v="0.30087173318498628"/>
    <x v="5"/>
    <n v="2022"/>
  </r>
  <r>
    <s v="O00016"/>
    <d v="2022-09-27T00:00:00"/>
    <x v="15"/>
    <x v="1"/>
    <x v="1"/>
    <s v="Accessories"/>
    <s v="Product_260"/>
    <n v="874.97"/>
    <n v="204.09"/>
    <n v="0"/>
    <x v="1"/>
    <n v="0.23325371155582478"/>
    <x v="7"/>
    <n v="2022"/>
  </r>
  <r>
    <s v="O00017"/>
    <d v="2022-06-06T00:00:00"/>
    <x v="16"/>
    <x v="1"/>
    <x v="2"/>
    <s v="Bookcases"/>
    <s v="Product_277"/>
    <n v="1562.38"/>
    <n v="-38.46"/>
    <n v="0.19"/>
    <x v="0"/>
    <n v="-2.4616290531112788E-2"/>
    <x v="8"/>
    <n v="2022"/>
  </r>
  <r>
    <s v="O00018"/>
    <d v="2023-01-07T00:00:00"/>
    <x v="17"/>
    <x v="1"/>
    <x v="0"/>
    <s v="Binders"/>
    <s v="Product_30"/>
    <n v="3034.83"/>
    <n v="-858.49"/>
    <n v="0.15"/>
    <x v="0"/>
    <n v="-0.28287910690219881"/>
    <x v="1"/>
    <n v="2023"/>
  </r>
  <r>
    <s v="O00019"/>
    <d v="2022-03-12T00:00:00"/>
    <x v="18"/>
    <x v="1"/>
    <x v="2"/>
    <s v="Bookcases"/>
    <s v="Product_66"/>
    <n v="4740.05"/>
    <n v="291.95999999999998"/>
    <n v="0.03"/>
    <x v="1"/>
    <n v="6.1594286980095142E-2"/>
    <x v="6"/>
    <n v="2022"/>
  </r>
  <r>
    <s v="O00020"/>
    <d v="2023-09-14T00:00:00"/>
    <x v="19"/>
    <x v="1"/>
    <x v="0"/>
    <s v="Paper"/>
    <s v="Product_476"/>
    <n v="4739.5600000000004"/>
    <n v="315.67"/>
    <n v="0.05"/>
    <x v="1"/>
    <n v="6.6603228991720748E-2"/>
    <x v="7"/>
    <n v="2023"/>
  </r>
  <r>
    <s v="O00021"/>
    <d v="2023-11-19T00:00:00"/>
    <x v="20"/>
    <x v="3"/>
    <x v="0"/>
    <s v="Storage"/>
    <s v="Product_225"/>
    <n v="3480.35"/>
    <n v="-593.76"/>
    <n v="0.21"/>
    <x v="0"/>
    <n v="-0.17060353125404054"/>
    <x v="9"/>
    <n v="2023"/>
  </r>
  <r>
    <s v="O00022"/>
    <d v="2023-08-26T00:00:00"/>
    <x v="21"/>
    <x v="1"/>
    <x v="0"/>
    <s v="Paper"/>
    <s v="Product_302"/>
    <n v="692.92"/>
    <n v="-46.53"/>
    <n v="7.0000000000000007E-2"/>
    <x v="0"/>
    <n v="-6.7150609016913929E-2"/>
    <x v="3"/>
    <n v="2023"/>
  </r>
  <r>
    <s v="O00023"/>
    <d v="2022-02-02T00:00:00"/>
    <x v="22"/>
    <x v="0"/>
    <x v="2"/>
    <s v="Chairs"/>
    <s v="Product_264"/>
    <n v="447.87"/>
    <n v="-113.15"/>
    <n v="0.19"/>
    <x v="0"/>
    <n v="-0.25264027507982229"/>
    <x v="10"/>
    <n v="2022"/>
  </r>
  <r>
    <s v="O00024"/>
    <d v="2023-08-08T00:00:00"/>
    <x v="23"/>
    <x v="2"/>
    <x v="2"/>
    <s v="Tables"/>
    <s v="Product_125"/>
    <n v="3377.99"/>
    <n v="-610.11"/>
    <n v="0.06"/>
    <x v="0"/>
    <n v="-0.18061332330764746"/>
    <x v="3"/>
    <n v="2023"/>
  </r>
  <r>
    <s v="O00025"/>
    <d v="2023-03-10T00:00:00"/>
    <x v="24"/>
    <x v="2"/>
    <x v="1"/>
    <s v="Accessories"/>
    <s v="Product_443"/>
    <n v="1033.01"/>
    <n v="29.58"/>
    <n v="0.03"/>
    <x v="1"/>
    <n v="2.8634766362377904E-2"/>
    <x v="6"/>
    <n v="2023"/>
  </r>
  <r>
    <s v="O00026"/>
    <d v="2023-02-17T00:00:00"/>
    <x v="25"/>
    <x v="3"/>
    <x v="0"/>
    <s v="Binders"/>
    <s v="Product_410"/>
    <n v="3399.49"/>
    <n v="-1499"/>
    <n v="0.3"/>
    <x v="0"/>
    <n v="-0.44094849521545881"/>
    <x v="10"/>
    <n v="2023"/>
  </r>
  <r>
    <s v="O00027"/>
    <d v="2022-07-07T00:00:00"/>
    <x v="26"/>
    <x v="2"/>
    <x v="2"/>
    <s v="Chairs"/>
    <s v="Product_128"/>
    <n v="1038.79"/>
    <n v="-286.58999999999997"/>
    <n v="0.16"/>
    <x v="0"/>
    <n v="-0.27588829311025326"/>
    <x v="2"/>
    <n v="2022"/>
  </r>
  <r>
    <s v="O00028"/>
    <d v="2023-10-30T00:00:00"/>
    <x v="27"/>
    <x v="0"/>
    <x v="2"/>
    <s v="Tables"/>
    <s v="Product_497"/>
    <n v="4059.31"/>
    <n v="-1628.82"/>
    <n v="0.26"/>
    <x v="0"/>
    <n v="-0.40125538576753189"/>
    <x v="5"/>
    <n v="2023"/>
  </r>
  <r>
    <s v="O00029"/>
    <d v="2023-02-15T00:00:00"/>
    <x v="28"/>
    <x v="1"/>
    <x v="2"/>
    <s v="Chairs"/>
    <s v="Product_195"/>
    <n v="914.92"/>
    <n v="-202.88"/>
    <n v="0.15"/>
    <x v="0"/>
    <n v="-0.2217461635990032"/>
    <x v="10"/>
    <n v="2023"/>
  </r>
  <r>
    <s v="O00030"/>
    <d v="2023-03-10T00:00:00"/>
    <x v="29"/>
    <x v="2"/>
    <x v="2"/>
    <s v="Tables"/>
    <s v="Product_80"/>
    <n v="1399.49"/>
    <n v="-233.71"/>
    <n v="0.24"/>
    <x v="0"/>
    <n v="-0.1669965487427563"/>
    <x v="6"/>
    <n v="2023"/>
  </r>
  <r>
    <s v="O00031"/>
    <d v="2022-03-04T00:00:00"/>
    <x v="30"/>
    <x v="3"/>
    <x v="2"/>
    <s v="Tables"/>
    <s v="Product_30"/>
    <n v="1166.73"/>
    <n v="258.36"/>
    <n v="0.02"/>
    <x v="1"/>
    <n v="0.22143940757501737"/>
    <x v="6"/>
    <n v="2022"/>
  </r>
  <r>
    <s v="O00032"/>
    <d v="2022-02-28T00:00:00"/>
    <x v="31"/>
    <x v="0"/>
    <x v="2"/>
    <s v="Bookcases"/>
    <s v="Product_436"/>
    <n v="2436.2600000000002"/>
    <n v="-393.03"/>
    <n v="0.28000000000000003"/>
    <x v="0"/>
    <n v="-0.16132514592038613"/>
    <x v="10"/>
    <n v="2022"/>
  </r>
  <r>
    <s v="O00033"/>
    <d v="2022-05-03T00:00:00"/>
    <x v="32"/>
    <x v="1"/>
    <x v="2"/>
    <s v="Chairs"/>
    <s v="Product_297"/>
    <n v="3015.67"/>
    <n v="-780.69"/>
    <n v="0.2"/>
    <x v="0"/>
    <n v="-0.25887779498419922"/>
    <x v="11"/>
    <n v="2022"/>
  </r>
  <r>
    <s v="O00034"/>
    <d v="2023-06-20T00:00:00"/>
    <x v="33"/>
    <x v="3"/>
    <x v="0"/>
    <s v="Binders"/>
    <s v="Product_105"/>
    <n v="3134.97"/>
    <n v="63.34"/>
    <n v="0.13"/>
    <x v="1"/>
    <n v="2.0204340073429732E-2"/>
    <x v="8"/>
    <n v="2023"/>
  </r>
  <r>
    <s v="O00035"/>
    <d v="2023-10-23T00:00:00"/>
    <x v="34"/>
    <x v="2"/>
    <x v="0"/>
    <s v="Storage"/>
    <s v="Product_162"/>
    <n v="1639.5"/>
    <n v="-330.32"/>
    <n v="0.08"/>
    <x v="0"/>
    <n v="-0.20147605977432143"/>
    <x v="5"/>
    <n v="2023"/>
  </r>
  <r>
    <s v="O00036"/>
    <d v="2022-03-17T00:00:00"/>
    <x v="35"/>
    <x v="1"/>
    <x v="2"/>
    <s v="Chairs"/>
    <s v="Product_260"/>
    <n v="2345.6"/>
    <n v="229.07"/>
    <n v="0.3"/>
    <x v="1"/>
    <n v="9.765944747612551E-2"/>
    <x v="6"/>
    <n v="2022"/>
  </r>
  <r>
    <s v="O00037"/>
    <d v="2023-01-14T00:00:00"/>
    <x v="36"/>
    <x v="1"/>
    <x v="1"/>
    <s v="Phones"/>
    <s v="Product_225"/>
    <n v="4672.97"/>
    <n v="315.72000000000003"/>
    <n v="0.26"/>
    <x v="1"/>
    <n v="6.7563027368033601E-2"/>
    <x v="1"/>
    <n v="2023"/>
  </r>
  <r>
    <s v="O00038"/>
    <d v="2023-06-26T00:00:00"/>
    <x v="37"/>
    <x v="3"/>
    <x v="0"/>
    <s v="Storage"/>
    <s v="Product_478"/>
    <n v="1582.33"/>
    <n v="-24.91"/>
    <n v="0.3"/>
    <x v="0"/>
    <n v="-1.5742607420702381E-2"/>
    <x v="8"/>
    <n v="2023"/>
  </r>
  <r>
    <s v="O00039"/>
    <d v="2022-04-20T00:00:00"/>
    <x v="38"/>
    <x v="1"/>
    <x v="0"/>
    <s v="Binders"/>
    <s v="Product_140"/>
    <n v="4700.76"/>
    <n v="-802.62"/>
    <n v="0.04"/>
    <x v="0"/>
    <n v="-0.17074260332371785"/>
    <x v="0"/>
    <n v="2022"/>
  </r>
  <r>
    <s v="O00040"/>
    <d v="2022-09-28T00:00:00"/>
    <x v="39"/>
    <x v="2"/>
    <x v="1"/>
    <s v="Copiers"/>
    <s v="Product_129"/>
    <n v="1132.0899999999999"/>
    <n v="127.36"/>
    <n v="0.1"/>
    <x v="1"/>
    <n v="0.11249988958475034"/>
    <x v="7"/>
    <n v="2022"/>
  </r>
  <r>
    <s v="O00041"/>
    <d v="2022-12-08T00:00:00"/>
    <x v="40"/>
    <x v="1"/>
    <x v="2"/>
    <s v="Chairs"/>
    <s v="Product_327"/>
    <n v="3207.99"/>
    <n v="-1358.74"/>
    <n v="0.25"/>
    <x v="0"/>
    <n v="-0.42354870183510551"/>
    <x v="4"/>
    <n v="2022"/>
  </r>
  <r>
    <s v="O00042"/>
    <d v="2022-01-10T00:00:00"/>
    <x v="41"/>
    <x v="0"/>
    <x v="1"/>
    <s v="Phones"/>
    <s v="Product_484"/>
    <n v="3732.03"/>
    <n v="-423.17"/>
    <n v="0.17"/>
    <x v="0"/>
    <n v="-0.11338869194513441"/>
    <x v="1"/>
    <n v="2022"/>
  </r>
  <r>
    <s v="O00043"/>
    <d v="2022-06-01T00:00:00"/>
    <x v="42"/>
    <x v="1"/>
    <x v="0"/>
    <s v="Binders"/>
    <s v="Product_22"/>
    <n v="2773.39"/>
    <n v="-278.70999999999998"/>
    <n v="0.25"/>
    <x v="0"/>
    <n v="-0.10049434086082376"/>
    <x v="8"/>
    <n v="2022"/>
  </r>
  <r>
    <s v="O00044"/>
    <d v="2023-01-02T00:00:00"/>
    <x v="43"/>
    <x v="1"/>
    <x v="1"/>
    <s v="Accessories"/>
    <s v="Product_342"/>
    <n v="4505.01"/>
    <n v="344.28"/>
    <n v="0.24"/>
    <x v="1"/>
    <n v="7.6421583969846898E-2"/>
    <x v="1"/>
    <n v="2023"/>
  </r>
  <r>
    <s v="O00045"/>
    <d v="2023-09-28T00:00:00"/>
    <x v="44"/>
    <x v="1"/>
    <x v="2"/>
    <s v="Tables"/>
    <s v="Product_474"/>
    <n v="3922.57"/>
    <n v="-887.18"/>
    <n v="0.27"/>
    <x v="0"/>
    <n v="-0.22617314668699345"/>
    <x v="7"/>
    <n v="2023"/>
  </r>
  <r>
    <s v="O00046"/>
    <d v="2022-01-26T00:00:00"/>
    <x v="45"/>
    <x v="3"/>
    <x v="2"/>
    <s v="Chairs"/>
    <s v="Product_401"/>
    <n v="4883.41"/>
    <n v="433.89"/>
    <n v="0.24"/>
    <x v="1"/>
    <n v="8.8849799627719162E-2"/>
    <x v="1"/>
    <n v="2022"/>
  </r>
  <r>
    <s v="O00047"/>
    <d v="2023-12-20T00:00:00"/>
    <x v="46"/>
    <x v="2"/>
    <x v="1"/>
    <s v="Copiers"/>
    <s v="Product_447"/>
    <n v="4333.91"/>
    <n v="-1213.1300000000001"/>
    <n v="0.24"/>
    <x v="0"/>
    <n v="-0.27991582658615433"/>
    <x v="4"/>
    <n v="2023"/>
  </r>
  <r>
    <s v="O00048"/>
    <d v="2022-11-09T00:00:00"/>
    <x v="47"/>
    <x v="1"/>
    <x v="2"/>
    <s v="Tables"/>
    <s v="Product_13"/>
    <n v="1189.93"/>
    <n v="-194.93"/>
    <n v="0.24"/>
    <x v="0"/>
    <n v="-0.16381635894548419"/>
    <x v="9"/>
    <n v="2022"/>
  </r>
  <r>
    <s v="O00049"/>
    <d v="2022-10-13T00:00:00"/>
    <x v="48"/>
    <x v="2"/>
    <x v="0"/>
    <s v="Binders"/>
    <s v="Product_348"/>
    <n v="2052.48"/>
    <n v="-489.2"/>
    <n v="0.08"/>
    <x v="0"/>
    <n v="-0.23834580604926722"/>
    <x v="5"/>
    <n v="2022"/>
  </r>
  <r>
    <s v="O00050"/>
    <d v="2022-07-02T00:00:00"/>
    <x v="49"/>
    <x v="3"/>
    <x v="0"/>
    <s v="Paper"/>
    <s v="Product_20"/>
    <n v="4702.26"/>
    <n v="1656.33"/>
    <n v="0.03"/>
    <x v="1"/>
    <n v="0.35224126271197254"/>
    <x v="2"/>
    <n v="2022"/>
  </r>
  <r>
    <s v="O00051"/>
    <d v="2023-09-13T00:00:00"/>
    <x v="50"/>
    <x v="0"/>
    <x v="2"/>
    <s v="Bookcases"/>
    <s v="Product_198"/>
    <n v="2229.36"/>
    <n v="-516.75"/>
    <n v="0.22"/>
    <x v="0"/>
    <n v="-0.23179298094520398"/>
    <x v="7"/>
    <n v="2023"/>
  </r>
  <r>
    <s v="O00052"/>
    <d v="2023-07-06T00:00:00"/>
    <x v="51"/>
    <x v="1"/>
    <x v="0"/>
    <s v="Binders"/>
    <s v="Product_187"/>
    <n v="1348.14"/>
    <n v="-551.37"/>
    <n v="0.21"/>
    <x v="0"/>
    <n v="-0.40898571364991765"/>
    <x v="2"/>
    <n v="2023"/>
  </r>
  <r>
    <s v="O00053"/>
    <d v="2023-11-11T00:00:00"/>
    <x v="4"/>
    <x v="3"/>
    <x v="1"/>
    <s v="Phones"/>
    <s v="Product_260"/>
    <n v="4749.4799999999996"/>
    <n v="-503.95"/>
    <n v="0.28000000000000003"/>
    <x v="0"/>
    <n v="-0.10610635269545299"/>
    <x v="9"/>
    <n v="2023"/>
  </r>
  <r>
    <s v="O00054"/>
    <d v="2022-05-11T00:00:00"/>
    <x v="5"/>
    <x v="2"/>
    <x v="1"/>
    <s v="Copiers"/>
    <s v="Product_341"/>
    <n v="2101.13"/>
    <n v="-299.64"/>
    <n v="0.12"/>
    <x v="0"/>
    <n v="-0.142608977074241"/>
    <x v="11"/>
    <n v="2022"/>
  </r>
  <r>
    <s v="O00055"/>
    <d v="2023-02-20T00:00:00"/>
    <x v="52"/>
    <x v="0"/>
    <x v="1"/>
    <s v="Copiers"/>
    <s v="Product_156"/>
    <n v="3765.86"/>
    <n v="344.44"/>
    <n v="0.05"/>
    <x v="1"/>
    <n v="9.1463835617893383E-2"/>
    <x v="10"/>
    <n v="2023"/>
  </r>
  <r>
    <s v="O00056"/>
    <d v="2023-04-22T00:00:00"/>
    <x v="53"/>
    <x v="2"/>
    <x v="1"/>
    <s v="Phones"/>
    <s v="Product_346"/>
    <n v="2206.4499999999998"/>
    <n v="50.36"/>
    <n v="0.17"/>
    <x v="1"/>
    <n v="2.282399329239276E-2"/>
    <x v="0"/>
    <n v="2023"/>
  </r>
  <r>
    <s v="O00057"/>
    <d v="2022-06-23T00:00:00"/>
    <x v="54"/>
    <x v="0"/>
    <x v="2"/>
    <s v="Bookcases"/>
    <s v="Product_146"/>
    <n v="2418.61"/>
    <n v="18.420000000000002"/>
    <n v="0.27"/>
    <x v="1"/>
    <n v="7.6159446955069241E-3"/>
    <x v="8"/>
    <n v="2022"/>
  </r>
  <r>
    <s v="O00058"/>
    <d v="2022-08-29T00:00:00"/>
    <x v="55"/>
    <x v="3"/>
    <x v="0"/>
    <s v="Storage"/>
    <s v="Product_116"/>
    <n v="3201.41"/>
    <n v="611.64"/>
    <n v="0.1"/>
    <x v="1"/>
    <n v="0.19105331713213866"/>
    <x v="3"/>
    <n v="2022"/>
  </r>
  <r>
    <s v="O00059"/>
    <d v="2022-03-16T00:00:00"/>
    <x v="56"/>
    <x v="2"/>
    <x v="2"/>
    <s v="Chairs"/>
    <s v="Product_454"/>
    <n v="219.68"/>
    <n v="3.31"/>
    <n v="7.0000000000000007E-2"/>
    <x v="1"/>
    <n v="1.5067370721048799E-2"/>
    <x v="6"/>
    <n v="2022"/>
  </r>
  <r>
    <s v="O00060"/>
    <d v="2022-09-07T00:00:00"/>
    <x v="57"/>
    <x v="0"/>
    <x v="0"/>
    <s v="Storage"/>
    <s v="Product_458"/>
    <n v="1052.73"/>
    <n v="-119.35"/>
    <n v="0.21"/>
    <x v="0"/>
    <n v="-0.11337189972737548"/>
    <x v="7"/>
    <n v="2022"/>
  </r>
  <r>
    <s v="O00061"/>
    <d v="2023-04-21T00:00:00"/>
    <x v="58"/>
    <x v="1"/>
    <x v="2"/>
    <s v="Tables"/>
    <s v="Product_470"/>
    <n v="1172.32"/>
    <n v="-26.32"/>
    <n v="0.24"/>
    <x v="0"/>
    <n v="-2.2451207861334789E-2"/>
    <x v="0"/>
    <n v="2023"/>
  </r>
  <r>
    <s v="O00062"/>
    <d v="2023-07-27T00:00:00"/>
    <x v="59"/>
    <x v="3"/>
    <x v="2"/>
    <s v="Tables"/>
    <s v="Product_487"/>
    <n v="753.36"/>
    <n v="-16.059999999999999"/>
    <n v="0.14000000000000001"/>
    <x v="0"/>
    <n v="-2.1317829457364337E-2"/>
    <x v="2"/>
    <n v="2023"/>
  </r>
  <r>
    <s v="O00063"/>
    <d v="2023-07-16T00:00:00"/>
    <x v="60"/>
    <x v="1"/>
    <x v="1"/>
    <s v="Copiers"/>
    <s v="Product_381"/>
    <n v="4093.53"/>
    <n v="-875.83"/>
    <n v="0.27"/>
    <x v="0"/>
    <n v="-0.21395470413066472"/>
    <x v="2"/>
    <n v="2023"/>
  </r>
  <r>
    <s v="O00064"/>
    <d v="2023-06-18T00:00:00"/>
    <x v="61"/>
    <x v="1"/>
    <x v="1"/>
    <s v="Accessories"/>
    <s v="Product_141"/>
    <n v="1370.04"/>
    <n v="154.26"/>
    <n v="7.0000000000000007E-2"/>
    <x v="1"/>
    <n v="0.11259525269335202"/>
    <x v="8"/>
    <n v="2023"/>
  </r>
  <r>
    <s v="O00065"/>
    <d v="2023-07-08T00:00:00"/>
    <x v="62"/>
    <x v="1"/>
    <x v="1"/>
    <s v="Phones"/>
    <s v="Product_78"/>
    <n v="3596.37"/>
    <n v="-246.32"/>
    <n v="7.0000000000000007E-2"/>
    <x v="0"/>
    <n v="-6.8491284267191643E-2"/>
    <x v="2"/>
    <n v="2023"/>
  </r>
  <r>
    <s v="O00066"/>
    <d v="2023-02-22T00:00:00"/>
    <x v="22"/>
    <x v="2"/>
    <x v="2"/>
    <s v="Tables"/>
    <s v="Product_213"/>
    <n v="3500.35"/>
    <n v="-1300.25"/>
    <n v="0.21"/>
    <x v="0"/>
    <n v="-0.37146285371462856"/>
    <x v="10"/>
    <n v="2023"/>
  </r>
  <r>
    <s v="O00067"/>
    <d v="2023-12-14T00:00:00"/>
    <x v="63"/>
    <x v="2"/>
    <x v="2"/>
    <s v="Chairs"/>
    <s v="Product_245"/>
    <n v="4181.17"/>
    <n v="593.21"/>
    <n v="0.12"/>
    <x v="1"/>
    <n v="0.14187655608358427"/>
    <x v="4"/>
    <n v="2023"/>
  </r>
  <r>
    <s v="O00068"/>
    <d v="2023-03-06T00:00:00"/>
    <x v="64"/>
    <x v="1"/>
    <x v="2"/>
    <s v="Tables"/>
    <s v="Product_250"/>
    <n v="1563.2"/>
    <n v="336.06"/>
    <n v="0.12"/>
    <x v="1"/>
    <n v="0.21498208802456498"/>
    <x v="6"/>
    <n v="2023"/>
  </r>
  <r>
    <s v="O00069"/>
    <d v="2023-11-27T00:00:00"/>
    <x v="65"/>
    <x v="1"/>
    <x v="2"/>
    <s v="Tables"/>
    <s v="Product_431"/>
    <n v="2235.6"/>
    <n v="-18.61"/>
    <n v="0.01"/>
    <x v="0"/>
    <n v="-8.3243871891214884E-3"/>
    <x v="9"/>
    <n v="2023"/>
  </r>
  <r>
    <s v="O00070"/>
    <d v="2023-08-30T00:00:00"/>
    <x v="66"/>
    <x v="0"/>
    <x v="1"/>
    <s v="Phones"/>
    <s v="Product_43"/>
    <n v="4905.54"/>
    <n v="903.39"/>
    <n v="0.16"/>
    <x v="1"/>
    <n v="0.1841570958548906"/>
    <x v="3"/>
    <n v="2023"/>
  </r>
  <r>
    <s v="O00071"/>
    <d v="2023-01-24T00:00:00"/>
    <x v="67"/>
    <x v="1"/>
    <x v="0"/>
    <s v="Paper"/>
    <s v="Product_233"/>
    <n v="764.93"/>
    <n v="-237"/>
    <n v="0.14000000000000001"/>
    <x v="0"/>
    <n v="-0.30983227223406068"/>
    <x v="1"/>
    <n v="2023"/>
  </r>
  <r>
    <s v="O00072"/>
    <d v="2023-03-08T00:00:00"/>
    <x v="68"/>
    <x v="0"/>
    <x v="1"/>
    <s v="Accessories"/>
    <s v="Product_241"/>
    <n v="3830.03"/>
    <n v="540.82000000000005"/>
    <n v="0.11"/>
    <x v="1"/>
    <n v="0.14120516027289604"/>
    <x v="6"/>
    <n v="2023"/>
  </r>
  <r>
    <s v="O00073"/>
    <d v="2023-10-28T00:00:00"/>
    <x v="69"/>
    <x v="0"/>
    <x v="2"/>
    <s v="Bookcases"/>
    <s v="Product_387"/>
    <n v="2743.15"/>
    <n v="-795.58"/>
    <n v="0.3"/>
    <x v="0"/>
    <n v="-0.29002424220330641"/>
    <x v="5"/>
    <n v="2023"/>
  </r>
  <r>
    <s v="O00074"/>
    <d v="2022-05-10T00:00:00"/>
    <x v="70"/>
    <x v="0"/>
    <x v="2"/>
    <s v="Chairs"/>
    <s v="Product_289"/>
    <n v="1076.8699999999999"/>
    <n v="-127.69"/>
    <n v="0.01"/>
    <x v="0"/>
    <n v="-0.11857512977425316"/>
    <x v="11"/>
    <n v="2022"/>
  </r>
  <r>
    <s v="O00075"/>
    <d v="2023-09-14T00:00:00"/>
    <x v="30"/>
    <x v="0"/>
    <x v="2"/>
    <s v="Tables"/>
    <s v="Product_399"/>
    <n v="3527.38"/>
    <n v="-1161.6600000000001"/>
    <n v="0.23"/>
    <x v="0"/>
    <n v="-0.32932658233589807"/>
    <x v="7"/>
    <n v="2023"/>
  </r>
  <r>
    <s v="O00076"/>
    <d v="2023-11-25T00:00:00"/>
    <x v="71"/>
    <x v="2"/>
    <x v="2"/>
    <s v="Tables"/>
    <s v="Product_483"/>
    <n v="629.67999999999995"/>
    <n v="-14.37"/>
    <n v="0.01"/>
    <x v="0"/>
    <n v="-2.2821115487231609E-2"/>
    <x v="9"/>
    <n v="2023"/>
  </r>
  <r>
    <s v="O00077"/>
    <d v="2022-04-15T00:00:00"/>
    <x v="29"/>
    <x v="3"/>
    <x v="0"/>
    <s v="Binders"/>
    <s v="Product_436"/>
    <n v="472.38"/>
    <n v="-15.9"/>
    <n v="0.21"/>
    <x v="0"/>
    <n v="-3.3659342055125115E-2"/>
    <x v="0"/>
    <n v="2022"/>
  </r>
  <r>
    <s v="O00078"/>
    <d v="2022-02-12T00:00:00"/>
    <x v="72"/>
    <x v="2"/>
    <x v="0"/>
    <s v="Storage"/>
    <s v="Product_339"/>
    <n v="4047.09"/>
    <n v="-406.49"/>
    <n v="0.24"/>
    <x v="0"/>
    <n v="-0.10044006928434999"/>
    <x v="10"/>
    <n v="2022"/>
  </r>
  <r>
    <s v="O00079"/>
    <d v="2023-05-17T00:00:00"/>
    <x v="73"/>
    <x v="2"/>
    <x v="1"/>
    <s v="Phones"/>
    <s v="Product_492"/>
    <n v="2579.21"/>
    <n v="540.98"/>
    <n v="0.1"/>
    <x v="1"/>
    <n v="0.2097463952140384"/>
    <x v="11"/>
    <n v="2023"/>
  </r>
  <r>
    <s v="O00080"/>
    <d v="2022-06-30T00:00:00"/>
    <x v="74"/>
    <x v="3"/>
    <x v="1"/>
    <s v="Copiers"/>
    <s v="Product_316"/>
    <n v="4468.72"/>
    <n v="-1109.1600000000001"/>
    <n v="0.14000000000000001"/>
    <x v="0"/>
    <n v="-0.24820530263699672"/>
    <x v="8"/>
    <n v="2022"/>
  </r>
  <r>
    <s v="O00081"/>
    <d v="2022-11-27T00:00:00"/>
    <x v="75"/>
    <x v="0"/>
    <x v="0"/>
    <s v="Paper"/>
    <s v="Product_143"/>
    <n v="2377.88"/>
    <n v="-224.75"/>
    <n v="0.25"/>
    <x v="0"/>
    <n v="-9.4516964691237562E-2"/>
    <x v="9"/>
    <n v="2022"/>
  </r>
  <r>
    <s v="O00082"/>
    <d v="2022-12-11T00:00:00"/>
    <x v="76"/>
    <x v="2"/>
    <x v="1"/>
    <s v="Phones"/>
    <s v="Product_436"/>
    <n v="3777.33"/>
    <n v="116.77"/>
    <n v="0.17"/>
    <x v="1"/>
    <n v="3.0913370025917777E-2"/>
    <x v="4"/>
    <n v="2022"/>
  </r>
  <r>
    <s v="O00083"/>
    <d v="2022-10-14T00:00:00"/>
    <x v="77"/>
    <x v="3"/>
    <x v="1"/>
    <s v="Phones"/>
    <s v="Product_285"/>
    <n v="2488.9899999999998"/>
    <n v="-385.76"/>
    <n v="0.11"/>
    <x v="0"/>
    <n v="-0.15498656081382409"/>
    <x v="5"/>
    <n v="2022"/>
  </r>
  <r>
    <s v="O00084"/>
    <d v="2023-05-16T00:00:00"/>
    <x v="78"/>
    <x v="1"/>
    <x v="2"/>
    <s v="Bookcases"/>
    <s v="Product_354"/>
    <n v="4745.51"/>
    <n v="958.81"/>
    <n v="0.03"/>
    <x v="1"/>
    <n v="0.20204572322047576"/>
    <x v="11"/>
    <n v="2023"/>
  </r>
  <r>
    <s v="O00085"/>
    <d v="2022-10-29T00:00:00"/>
    <x v="79"/>
    <x v="2"/>
    <x v="1"/>
    <s v="Copiers"/>
    <s v="Product_355"/>
    <n v="3588.03"/>
    <n v="-1146.93"/>
    <n v="0.13"/>
    <x v="0"/>
    <n v="-0.31965451793881322"/>
    <x v="5"/>
    <n v="2022"/>
  </r>
  <r>
    <s v="O00086"/>
    <d v="2022-12-19T00:00:00"/>
    <x v="80"/>
    <x v="3"/>
    <x v="2"/>
    <s v="Tables"/>
    <s v="Product_181"/>
    <n v="3353.4"/>
    <n v="74.06"/>
    <n v="0.11"/>
    <x v="1"/>
    <n v="2.2085048010973937E-2"/>
    <x v="4"/>
    <n v="2022"/>
  </r>
  <r>
    <s v="O00087"/>
    <d v="2022-07-17T00:00:00"/>
    <x v="33"/>
    <x v="0"/>
    <x v="0"/>
    <s v="Paper"/>
    <s v="Product_381"/>
    <n v="1427.49"/>
    <n v="-296.36"/>
    <n v="0.08"/>
    <x v="0"/>
    <n v="-0.20760916013422162"/>
    <x v="2"/>
    <n v="2022"/>
  </r>
  <r>
    <s v="O00088"/>
    <d v="2023-08-27T00:00:00"/>
    <x v="18"/>
    <x v="3"/>
    <x v="0"/>
    <s v="Storage"/>
    <s v="Product_52"/>
    <n v="1007.23"/>
    <n v="30.74"/>
    <n v="0.06"/>
    <x v="1"/>
    <n v="3.0519345134676287E-2"/>
    <x v="3"/>
    <n v="2023"/>
  </r>
  <r>
    <s v="O00089"/>
    <d v="2023-07-01T00:00:00"/>
    <x v="81"/>
    <x v="3"/>
    <x v="2"/>
    <s v="Tables"/>
    <s v="Product_24"/>
    <n v="1214.67"/>
    <n v="-293.36"/>
    <n v="0.05"/>
    <x v="0"/>
    <n v="-0.24151415610824339"/>
    <x v="2"/>
    <n v="2023"/>
  </r>
  <r>
    <s v="O00090"/>
    <d v="2023-05-18T00:00:00"/>
    <x v="82"/>
    <x v="0"/>
    <x v="2"/>
    <s v="Bookcases"/>
    <s v="Product_294"/>
    <n v="1531.47"/>
    <n v="-148.97999999999999"/>
    <n v="0.28000000000000003"/>
    <x v="0"/>
    <n v="-9.7279084800877574E-2"/>
    <x v="11"/>
    <n v="2023"/>
  </r>
  <r>
    <s v="O00091"/>
    <d v="2022-09-16T00:00:00"/>
    <x v="83"/>
    <x v="0"/>
    <x v="1"/>
    <s v="Accessories"/>
    <s v="Product_421"/>
    <n v="2445.6999999999998"/>
    <n v="683.08"/>
    <n v="0.1"/>
    <x v="1"/>
    <n v="0.27929836038761913"/>
    <x v="7"/>
    <n v="2022"/>
  </r>
  <r>
    <s v="O00092"/>
    <d v="2022-06-05T00:00:00"/>
    <x v="84"/>
    <x v="3"/>
    <x v="2"/>
    <s v="Tables"/>
    <s v="Product_44"/>
    <n v="2509.56"/>
    <n v="105.08"/>
    <n v="0.17"/>
    <x v="1"/>
    <n v="4.1871881923524444E-2"/>
    <x v="8"/>
    <n v="2022"/>
  </r>
  <r>
    <s v="O00093"/>
    <d v="2023-09-26T00:00:00"/>
    <x v="85"/>
    <x v="2"/>
    <x v="2"/>
    <s v="Chairs"/>
    <s v="Product_231"/>
    <n v="2834.56"/>
    <n v="106.8"/>
    <n v="0.12"/>
    <x v="1"/>
    <n v="3.7677805373673517E-2"/>
    <x v="7"/>
    <n v="2023"/>
  </r>
  <r>
    <s v="O00094"/>
    <d v="2023-09-28T00:00:00"/>
    <x v="86"/>
    <x v="0"/>
    <x v="1"/>
    <s v="Accessories"/>
    <s v="Product_486"/>
    <n v="4314.82"/>
    <n v="-1366.81"/>
    <n v="0.3"/>
    <x v="0"/>
    <n v="-0.31677103563995718"/>
    <x v="7"/>
    <n v="2023"/>
  </r>
  <r>
    <s v="O00095"/>
    <d v="2022-06-27T00:00:00"/>
    <x v="87"/>
    <x v="0"/>
    <x v="2"/>
    <s v="Bookcases"/>
    <s v="Product_81"/>
    <n v="1134.02"/>
    <n v="-346.74"/>
    <n v="0.2"/>
    <x v="0"/>
    <n v="-0.30576180314280171"/>
    <x v="8"/>
    <n v="2022"/>
  </r>
  <r>
    <s v="O00096"/>
    <d v="2022-08-26T00:00:00"/>
    <x v="88"/>
    <x v="3"/>
    <x v="2"/>
    <s v="Tables"/>
    <s v="Product_360"/>
    <n v="2307.4699999999998"/>
    <n v="-473.6"/>
    <n v="0.18"/>
    <x v="0"/>
    <n v="-0.20524643874026535"/>
    <x v="3"/>
    <n v="2022"/>
  </r>
  <r>
    <s v="O00097"/>
    <d v="2023-10-03T00:00:00"/>
    <x v="89"/>
    <x v="1"/>
    <x v="1"/>
    <s v="Phones"/>
    <s v="Product_218"/>
    <n v="3468.19"/>
    <n v="-25.33"/>
    <n v="0.28000000000000003"/>
    <x v="0"/>
    <n v="-7.303521433370143E-3"/>
    <x v="5"/>
    <n v="2023"/>
  </r>
  <r>
    <s v="O00098"/>
    <d v="2022-05-26T00:00:00"/>
    <x v="90"/>
    <x v="0"/>
    <x v="2"/>
    <s v="Bookcases"/>
    <s v="Product_85"/>
    <n v="1201.57"/>
    <n v="-96.87"/>
    <n v="0.04"/>
    <x v="0"/>
    <n v="-8.06195227910151E-2"/>
    <x v="11"/>
    <n v="2022"/>
  </r>
  <r>
    <s v="O00099"/>
    <d v="2022-05-08T00:00:00"/>
    <x v="91"/>
    <x v="3"/>
    <x v="1"/>
    <s v="Copiers"/>
    <s v="Product_359"/>
    <n v="3769.89"/>
    <n v="-742.04"/>
    <n v="0.17"/>
    <x v="0"/>
    <n v="-0.1968333293544374"/>
    <x v="11"/>
    <n v="2022"/>
  </r>
  <r>
    <s v="O00100"/>
    <d v="2022-02-10T00:00:00"/>
    <x v="92"/>
    <x v="3"/>
    <x v="1"/>
    <s v="Accessories"/>
    <s v="Product_310"/>
    <n v="2552.31"/>
    <n v="-770.12"/>
    <n v="0.15"/>
    <x v="0"/>
    <n v="-0.30173450717193445"/>
    <x v="10"/>
    <n v="2022"/>
  </r>
  <r>
    <s v="O00101"/>
    <d v="2023-08-13T00:00:00"/>
    <x v="93"/>
    <x v="0"/>
    <x v="1"/>
    <s v="Phones"/>
    <s v="Product_392"/>
    <n v="547.5"/>
    <n v="6.34"/>
    <n v="0.28999999999999998"/>
    <x v="1"/>
    <n v="1.1579908675799087E-2"/>
    <x v="3"/>
    <n v="2023"/>
  </r>
  <r>
    <s v="O00102"/>
    <d v="2023-06-16T00:00:00"/>
    <x v="94"/>
    <x v="2"/>
    <x v="0"/>
    <s v="Paper"/>
    <s v="Product_470"/>
    <n v="2923.61"/>
    <n v="-949.84"/>
    <n v="0.23"/>
    <x v="0"/>
    <n v="-0.32488601420846147"/>
    <x v="8"/>
    <n v="2023"/>
  </r>
  <r>
    <s v="O00103"/>
    <d v="2022-04-04T00:00:00"/>
    <x v="95"/>
    <x v="3"/>
    <x v="1"/>
    <s v="Phones"/>
    <s v="Product_210"/>
    <n v="4985.03"/>
    <n v="790.36"/>
    <n v="0.13"/>
    <x v="1"/>
    <n v="0.15854668878622596"/>
    <x v="0"/>
    <n v="2022"/>
  </r>
  <r>
    <s v="O00104"/>
    <d v="2023-12-12T00:00:00"/>
    <x v="96"/>
    <x v="3"/>
    <x v="1"/>
    <s v="Accessories"/>
    <s v="Product_340"/>
    <n v="3383.65"/>
    <n v="-886.91"/>
    <n v="0.26"/>
    <x v="0"/>
    <n v="-0.26211635364177738"/>
    <x v="4"/>
    <n v="2023"/>
  </r>
  <r>
    <s v="O00105"/>
    <d v="2022-04-29T00:00:00"/>
    <x v="97"/>
    <x v="2"/>
    <x v="1"/>
    <s v="Copiers"/>
    <s v="Product_443"/>
    <n v="279.82"/>
    <n v="-21.98"/>
    <n v="0.03"/>
    <x v="0"/>
    <n v="-7.8550496747909371E-2"/>
    <x v="0"/>
    <n v="2022"/>
  </r>
  <r>
    <s v="O00106"/>
    <d v="2022-07-12T00:00:00"/>
    <x v="98"/>
    <x v="3"/>
    <x v="0"/>
    <s v="Binders"/>
    <s v="Product_319"/>
    <n v="3322.54"/>
    <n v="-372.3"/>
    <n v="0.16"/>
    <x v="0"/>
    <n v="-0.11205282705400085"/>
    <x v="2"/>
    <n v="2022"/>
  </r>
  <r>
    <s v="O00107"/>
    <d v="2022-05-15T00:00:00"/>
    <x v="99"/>
    <x v="2"/>
    <x v="1"/>
    <s v="Copiers"/>
    <s v="Product_451"/>
    <n v="2266"/>
    <n v="-135.43"/>
    <n v="0.02"/>
    <x v="0"/>
    <n v="-5.9766107678729044E-2"/>
    <x v="11"/>
    <n v="2022"/>
  </r>
  <r>
    <s v="O00108"/>
    <d v="2022-09-03T00:00:00"/>
    <x v="100"/>
    <x v="1"/>
    <x v="0"/>
    <s v="Paper"/>
    <s v="Product_160"/>
    <n v="694.99"/>
    <n v="-86.65"/>
    <n v="0.28999999999999998"/>
    <x v="0"/>
    <n v="-0.12467805292162477"/>
    <x v="7"/>
    <n v="2022"/>
  </r>
  <r>
    <s v="O00109"/>
    <d v="2022-04-27T00:00:00"/>
    <x v="101"/>
    <x v="0"/>
    <x v="0"/>
    <s v="Binders"/>
    <s v="Product_332"/>
    <n v="2806.03"/>
    <n v="1025.2"/>
    <n v="0.03"/>
    <x v="1"/>
    <n v="0.365356036820704"/>
    <x v="0"/>
    <n v="2022"/>
  </r>
  <r>
    <s v="O00110"/>
    <d v="2023-03-02T00:00:00"/>
    <x v="102"/>
    <x v="2"/>
    <x v="2"/>
    <s v="Tables"/>
    <s v="Product_125"/>
    <n v="4670"/>
    <n v="622.26"/>
    <n v="0.09"/>
    <x v="1"/>
    <n v="0.13324625267665952"/>
    <x v="6"/>
    <n v="2023"/>
  </r>
  <r>
    <s v="O00111"/>
    <d v="2022-05-20T00:00:00"/>
    <x v="103"/>
    <x v="3"/>
    <x v="1"/>
    <s v="Copiers"/>
    <s v="Product_396"/>
    <n v="808.75"/>
    <n v="80.569999999999993"/>
    <n v="0.06"/>
    <x v="1"/>
    <n v="9.9622874806800613E-2"/>
    <x v="11"/>
    <n v="2022"/>
  </r>
  <r>
    <s v="O00112"/>
    <d v="2022-10-17T00:00:00"/>
    <x v="104"/>
    <x v="3"/>
    <x v="1"/>
    <s v="Accessories"/>
    <s v="Product_429"/>
    <n v="4677.82"/>
    <n v="665.79"/>
    <n v="0.15"/>
    <x v="1"/>
    <n v="0.1423291191195899"/>
    <x v="5"/>
    <n v="2022"/>
  </r>
  <r>
    <s v="O00113"/>
    <d v="2023-07-06T00:00:00"/>
    <x v="105"/>
    <x v="3"/>
    <x v="0"/>
    <s v="Storage"/>
    <s v="Product_171"/>
    <n v="4994.62"/>
    <n v="-1302.81"/>
    <n v="0.15"/>
    <x v="0"/>
    <n v="-0.26084266670937928"/>
    <x v="2"/>
    <n v="2023"/>
  </r>
  <r>
    <s v="O00114"/>
    <d v="2023-12-16T00:00:00"/>
    <x v="106"/>
    <x v="2"/>
    <x v="0"/>
    <s v="Storage"/>
    <s v="Product_120"/>
    <n v="1948.33"/>
    <n v="81.36"/>
    <n v="0.28000000000000003"/>
    <x v="1"/>
    <n v="4.1758839621624674E-2"/>
    <x v="4"/>
    <n v="2023"/>
  </r>
  <r>
    <s v="O00115"/>
    <d v="2023-01-26T00:00:00"/>
    <x v="107"/>
    <x v="1"/>
    <x v="1"/>
    <s v="Phones"/>
    <s v="Product_254"/>
    <n v="1659.06"/>
    <n v="345.18"/>
    <n v="0.14000000000000001"/>
    <x v="1"/>
    <n v="0.20805757477125603"/>
    <x v="1"/>
    <n v="2023"/>
  </r>
  <r>
    <s v="O00116"/>
    <d v="2023-03-27T00:00:00"/>
    <x v="108"/>
    <x v="2"/>
    <x v="2"/>
    <s v="Chairs"/>
    <s v="Product_8"/>
    <n v="2561.23"/>
    <n v="363.23"/>
    <n v="0.18"/>
    <x v="1"/>
    <n v="0.1418185793544508"/>
    <x v="6"/>
    <n v="2023"/>
  </r>
  <r>
    <s v="O00117"/>
    <d v="2023-04-26T00:00:00"/>
    <x v="109"/>
    <x v="3"/>
    <x v="0"/>
    <s v="Binders"/>
    <s v="Product_320"/>
    <n v="2108.9"/>
    <n v="-648.24"/>
    <n v="0.2"/>
    <x v="0"/>
    <n v="-0.30738299587462659"/>
    <x v="0"/>
    <n v="2023"/>
  </r>
  <r>
    <s v="O00118"/>
    <d v="2023-07-01T00:00:00"/>
    <x v="6"/>
    <x v="3"/>
    <x v="0"/>
    <s v="Paper"/>
    <s v="Product_321"/>
    <n v="3284.2"/>
    <n v="168.82"/>
    <n v="0.26"/>
    <x v="1"/>
    <n v="5.1403690396443581E-2"/>
    <x v="2"/>
    <n v="2023"/>
  </r>
  <r>
    <s v="O00119"/>
    <d v="2023-10-09T00:00:00"/>
    <x v="110"/>
    <x v="3"/>
    <x v="0"/>
    <s v="Paper"/>
    <s v="Product_117"/>
    <n v="4374.68"/>
    <n v="-739.09"/>
    <n v="0.01"/>
    <x v="0"/>
    <n v="-0.16894721442482649"/>
    <x v="5"/>
    <n v="2023"/>
  </r>
  <r>
    <s v="O00120"/>
    <d v="2022-04-13T00:00:00"/>
    <x v="111"/>
    <x v="1"/>
    <x v="0"/>
    <s v="Binders"/>
    <s v="Product_356"/>
    <n v="2226.46"/>
    <n v="334.52"/>
    <n v="0.03"/>
    <x v="1"/>
    <n v="0.15024747805934083"/>
    <x v="0"/>
    <n v="2022"/>
  </r>
  <r>
    <s v="O00121"/>
    <d v="2023-01-19T00:00:00"/>
    <x v="112"/>
    <x v="1"/>
    <x v="1"/>
    <s v="Phones"/>
    <s v="Product_126"/>
    <n v="325.36"/>
    <n v="-85.89"/>
    <n v="0.24"/>
    <x v="0"/>
    <n v="-0.26398450946643714"/>
    <x v="1"/>
    <n v="2023"/>
  </r>
  <r>
    <s v="O00122"/>
    <d v="2022-03-22T00:00:00"/>
    <x v="113"/>
    <x v="2"/>
    <x v="0"/>
    <s v="Paper"/>
    <s v="Product_318"/>
    <n v="2873.05"/>
    <n v="-971.12"/>
    <n v="0.24"/>
    <x v="0"/>
    <n v="-0.33801012860896956"/>
    <x v="6"/>
    <n v="2022"/>
  </r>
  <r>
    <s v="O00123"/>
    <d v="2023-10-16T00:00:00"/>
    <x v="114"/>
    <x v="2"/>
    <x v="0"/>
    <s v="Binders"/>
    <s v="Product_131"/>
    <n v="2538.5700000000002"/>
    <n v="-585.61"/>
    <n v="0.17"/>
    <x v="0"/>
    <n v="-0.23068499194428357"/>
    <x v="5"/>
    <n v="2023"/>
  </r>
  <r>
    <s v="O00124"/>
    <d v="2023-07-14T00:00:00"/>
    <x v="115"/>
    <x v="0"/>
    <x v="0"/>
    <s v="Binders"/>
    <s v="Product_227"/>
    <n v="4504.6499999999996"/>
    <n v="-754.17"/>
    <n v="0.14000000000000001"/>
    <x v="0"/>
    <n v="-0.16742033232326597"/>
    <x v="2"/>
    <n v="2023"/>
  </r>
  <r>
    <s v="O00125"/>
    <d v="2023-04-13T00:00:00"/>
    <x v="116"/>
    <x v="1"/>
    <x v="1"/>
    <s v="Copiers"/>
    <s v="Product_197"/>
    <n v="1565.86"/>
    <n v="-118.71"/>
    <n v="0.28999999999999998"/>
    <x v="0"/>
    <n v="-7.5811375218729646E-2"/>
    <x v="0"/>
    <n v="2023"/>
  </r>
  <r>
    <s v="O00126"/>
    <d v="2023-12-18T00:00:00"/>
    <x v="117"/>
    <x v="0"/>
    <x v="1"/>
    <s v="Phones"/>
    <s v="Product_425"/>
    <n v="1262.31"/>
    <n v="-31.7"/>
    <n v="0.17"/>
    <x v="0"/>
    <n v="-2.5112690226647971E-2"/>
    <x v="4"/>
    <n v="2023"/>
  </r>
  <r>
    <s v="O00127"/>
    <d v="2022-02-20T00:00:00"/>
    <x v="118"/>
    <x v="2"/>
    <x v="0"/>
    <s v="Paper"/>
    <s v="Product_427"/>
    <n v="1444.95"/>
    <n v="59.94"/>
    <n v="0.17"/>
    <x v="1"/>
    <n v="4.1482404235440667E-2"/>
    <x v="10"/>
    <n v="2022"/>
  </r>
  <r>
    <s v="O00128"/>
    <d v="2023-09-28T00:00:00"/>
    <x v="119"/>
    <x v="1"/>
    <x v="1"/>
    <s v="Phones"/>
    <s v="Product_322"/>
    <n v="3074.62"/>
    <n v="221.28"/>
    <n v="0.11"/>
    <x v="1"/>
    <n v="7.1969869447281287E-2"/>
    <x v="7"/>
    <n v="2023"/>
  </r>
  <r>
    <s v="O00129"/>
    <d v="2023-08-17T00:00:00"/>
    <x v="120"/>
    <x v="1"/>
    <x v="2"/>
    <s v="Bookcases"/>
    <s v="Product_47"/>
    <n v="3267.07"/>
    <n v="-83.33"/>
    <n v="0.09"/>
    <x v="0"/>
    <n v="-2.550603445901067E-2"/>
    <x v="3"/>
    <n v="2023"/>
  </r>
  <r>
    <s v="O00130"/>
    <d v="2023-07-07T00:00:00"/>
    <x v="121"/>
    <x v="3"/>
    <x v="1"/>
    <s v="Accessories"/>
    <s v="Product_426"/>
    <n v="3762.66"/>
    <n v="-642.29999999999995"/>
    <n v="0.05"/>
    <x v="0"/>
    <n v="-0.17070370429430243"/>
    <x v="2"/>
    <n v="2023"/>
  </r>
  <r>
    <s v="O00131"/>
    <d v="2022-10-30T00:00:00"/>
    <x v="122"/>
    <x v="3"/>
    <x v="2"/>
    <s v="Tables"/>
    <s v="Product_412"/>
    <n v="4578.84"/>
    <n v="459.85"/>
    <n v="0.28000000000000003"/>
    <x v="1"/>
    <n v="0.10042936638974063"/>
    <x v="5"/>
    <n v="2022"/>
  </r>
  <r>
    <s v="O00132"/>
    <d v="2023-11-24T00:00:00"/>
    <x v="123"/>
    <x v="2"/>
    <x v="2"/>
    <s v="Tables"/>
    <s v="Product_496"/>
    <n v="4818.18"/>
    <n v="1637.7"/>
    <n v="0.04"/>
    <x v="1"/>
    <n v="0.33990012826419935"/>
    <x v="9"/>
    <n v="2023"/>
  </r>
  <r>
    <s v="O00133"/>
    <d v="2022-05-07T00:00:00"/>
    <x v="124"/>
    <x v="3"/>
    <x v="0"/>
    <s v="Paper"/>
    <s v="Product_345"/>
    <n v="542.48"/>
    <n v="-87.52"/>
    <n v="0.12"/>
    <x v="0"/>
    <n v="-0.16133313670550065"/>
    <x v="11"/>
    <n v="2022"/>
  </r>
  <r>
    <s v="O00134"/>
    <d v="2023-01-16T00:00:00"/>
    <x v="46"/>
    <x v="1"/>
    <x v="0"/>
    <s v="Storage"/>
    <s v="Product_242"/>
    <n v="1384.59"/>
    <n v="101.25"/>
    <n v="0.11"/>
    <x v="1"/>
    <n v="7.3126340649578583E-2"/>
    <x v="1"/>
    <n v="2023"/>
  </r>
  <r>
    <s v="O00135"/>
    <d v="2022-08-15T00:00:00"/>
    <x v="125"/>
    <x v="0"/>
    <x v="2"/>
    <s v="Bookcases"/>
    <s v="Product_326"/>
    <n v="4432.75"/>
    <n v="794.14"/>
    <n v="0.17"/>
    <x v="1"/>
    <n v="0.17915289605775195"/>
    <x v="3"/>
    <n v="2022"/>
  </r>
  <r>
    <s v="O00136"/>
    <d v="2022-02-08T00:00:00"/>
    <x v="126"/>
    <x v="2"/>
    <x v="1"/>
    <s v="Copiers"/>
    <s v="Product_60"/>
    <n v="1580.73"/>
    <n v="-373.26"/>
    <n v="0.12"/>
    <x v="0"/>
    <n v="-0.23613140764077356"/>
    <x v="10"/>
    <n v="2022"/>
  </r>
  <r>
    <s v="O00137"/>
    <d v="2023-11-18T00:00:00"/>
    <x v="38"/>
    <x v="2"/>
    <x v="2"/>
    <s v="Chairs"/>
    <s v="Product_301"/>
    <n v="4447.57"/>
    <n v="143.15"/>
    <n v="0.04"/>
    <x v="1"/>
    <n v="3.2186115114545701E-2"/>
    <x v="9"/>
    <n v="2023"/>
  </r>
  <r>
    <s v="O00138"/>
    <d v="2023-05-17T00:00:00"/>
    <x v="127"/>
    <x v="2"/>
    <x v="0"/>
    <s v="Storage"/>
    <s v="Product_481"/>
    <n v="857.16"/>
    <n v="-223.36"/>
    <n v="0.12"/>
    <x v="0"/>
    <n v="-0.26058145503756597"/>
    <x v="11"/>
    <n v="2023"/>
  </r>
  <r>
    <s v="O00139"/>
    <d v="2022-08-30T00:00:00"/>
    <x v="128"/>
    <x v="0"/>
    <x v="1"/>
    <s v="Phones"/>
    <s v="Product_352"/>
    <n v="3482.38"/>
    <n v="-11.08"/>
    <n v="7.0000000000000007E-2"/>
    <x v="0"/>
    <n v="-3.1817320338389261E-3"/>
    <x v="3"/>
    <n v="2022"/>
  </r>
  <r>
    <s v="O00140"/>
    <d v="2022-10-10T00:00:00"/>
    <x v="129"/>
    <x v="0"/>
    <x v="1"/>
    <s v="Copiers"/>
    <s v="Product_486"/>
    <n v="4518.3100000000004"/>
    <n v="-1597.99"/>
    <n v="0.19"/>
    <x v="0"/>
    <n v="-0.35366984558385767"/>
    <x v="5"/>
    <n v="2022"/>
  </r>
  <r>
    <s v="O00141"/>
    <d v="2022-01-22T00:00:00"/>
    <x v="58"/>
    <x v="3"/>
    <x v="1"/>
    <s v="Phones"/>
    <s v="Product_125"/>
    <n v="3347.57"/>
    <n v="-106.16"/>
    <n v="0.19"/>
    <x v="0"/>
    <n v="-3.1712555674713296E-2"/>
    <x v="1"/>
    <n v="2022"/>
  </r>
  <r>
    <s v="O00142"/>
    <d v="2023-08-24T00:00:00"/>
    <x v="130"/>
    <x v="1"/>
    <x v="2"/>
    <s v="Bookcases"/>
    <s v="Product_169"/>
    <n v="1105.51"/>
    <n v="-129.87"/>
    <n v="0.25"/>
    <x v="0"/>
    <n v="-0.11747519244511584"/>
    <x v="3"/>
    <n v="2023"/>
  </r>
  <r>
    <s v="O00143"/>
    <d v="2022-05-14T00:00:00"/>
    <x v="27"/>
    <x v="3"/>
    <x v="2"/>
    <s v="Bookcases"/>
    <s v="Product_409"/>
    <n v="113.89"/>
    <n v="-42.5"/>
    <n v="0.26"/>
    <x v="0"/>
    <n v="-0.37316709105277024"/>
    <x v="11"/>
    <n v="2022"/>
  </r>
  <r>
    <s v="O00144"/>
    <d v="2022-09-01T00:00:00"/>
    <x v="131"/>
    <x v="3"/>
    <x v="2"/>
    <s v="Chairs"/>
    <s v="Product_9"/>
    <n v="3339.18"/>
    <n v="-671.46"/>
    <n v="0.01"/>
    <x v="0"/>
    <n v="-0.20108529639013173"/>
    <x v="7"/>
    <n v="2022"/>
  </r>
  <r>
    <s v="O00145"/>
    <d v="2022-03-07T00:00:00"/>
    <x v="132"/>
    <x v="2"/>
    <x v="2"/>
    <s v="Tables"/>
    <s v="Product_399"/>
    <n v="356.76"/>
    <n v="-37.229999999999997"/>
    <n v="0.22"/>
    <x v="0"/>
    <n v="-0.10435586949209552"/>
    <x v="6"/>
    <n v="2022"/>
  </r>
  <r>
    <s v="O00146"/>
    <d v="2023-09-22T00:00:00"/>
    <x v="133"/>
    <x v="3"/>
    <x v="1"/>
    <s v="Copiers"/>
    <s v="Product_235"/>
    <n v="3008.96"/>
    <n v="-623.07000000000005"/>
    <n v="0.14000000000000001"/>
    <x v="0"/>
    <n v="-0.20707154631500585"/>
    <x v="7"/>
    <n v="2023"/>
  </r>
  <r>
    <s v="O00147"/>
    <d v="2023-12-04T00:00:00"/>
    <x v="46"/>
    <x v="2"/>
    <x v="0"/>
    <s v="Binders"/>
    <s v="Product_365"/>
    <n v="398.04"/>
    <n v="-39.42"/>
    <n v="0.14000000000000001"/>
    <x v="0"/>
    <n v="-9.903527283690082E-2"/>
    <x v="4"/>
    <n v="2023"/>
  </r>
  <r>
    <s v="O00148"/>
    <d v="2022-05-10T00:00:00"/>
    <x v="134"/>
    <x v="3"/>
    <x v="1"/>
    <s v="Phones"/>
    <s v="Product_196"/>
    <n v="4506.41"/>
    <n v="-950.85"/>
    <n v="0.1"/>
    <x v="0"/>
    <n v="-0.21099944301561555"/>
    <x v="11"/>
    <n v="2022"/>
  </r>
  <r>
    <s v="O00149"/>
    <d v="2023-12-20T00:00:00"/>
    <x v="135"/>
    <x v="1"/>
    <x v="0"/>
    <s v="Storage"/>
    <s v="Product_221"/>
    <n v="1545"/>
    <n v="-141.96"/>
    <n v="0.15"/>
    <x v="0"/>
    <n v="-9.1883495145631072E-2"/>
    <x v="4"/>
    <n v="2023"/>
  </r>
  <r>
    <s v="O00150"/>
    <d v="2022-04-08T00:00:00"/>
    <x v="136"/>
    <x v="2"/>
    <x v="1"/>
    <s v="Phones"/>
    <s v="Product_161"/>
    <n v="2127.69"/>
    <n v="-448.44"/>
    <n v="0.25"/>
    <x v="0"/>
    <n v="-0.21076378607785909"/>
    <x v="0"/>
    <n v="2022"/>
  </r>
  <r>
    <s v="O00151"/>
    <d v="2022-03-10T00:00:00"/>
    <x v="137"/>
    <x v="0"/>
    <x v="0"/>
    <s v="Paper"/>
    <s v="Product_48"/>
    <n v="1934.08"/>
    <n v="587.55999999999995"/>
    <n v="0.05"/>
    <x v="1"/>
    <n v="0.30379301786896096"/>
    <x v="6"/>
    <n v="2022"/>
  </r>
  <r>
    <s v="O00152"/>
    <d v="2022-03-03T00:00:00"/>
    <x v="138"/>
    <x v="3"/>
    <x v="1"/>
    <s v="Phones"/>
    <s v="Product_344"/>
    <n v="3748.49"/>
    <n v="-869.39"/>
    <n v="0.11"/>
    <x v="0"/>
    <n v="-0.23193072410490626"/>
    <x v="6"/>
    <n v="2022"/>
  </r>
  <r>
    <s v="O00153"/>
    <d v="2022-02-22T00:00:00"/>
    <x v="99"/>
    <x v="3"/>
    <x v="2"/>
    <s v="Tables"/>
    <s v="Product_181"/>
    <n v="1832.63"/>
    <n v="91.94"/>
    <n v="0.2"/>
    <x v="1"/>
    <n v="5.016833730758527E-2"/>
    <x v="10"/>
    <n v="2022"/>
  </r>
  <r>
    <s v="O00154"/>
    <d v="2022-04-21T00:00:00"/>
    <x v="139"/>
    <x v="3"/>
    <x v="2"/>
    <s v="Bookcases"/>
    <s v="Product_59"/>
    <n v="2586.3200000000002"/>
    <n v="101.68"/>
    <n v="0.05"/>
    <x v="1"/>
    <n v="3.9314547310464291E-2"/>
    <x v="0"/>
    <n v="2022"/>
  </r>
  <r>
    <s v="O00155"/>
    <d v="2023-09-29T00:00:00"/>
    <x v="140"/>
    <x v="0"/>
    <x v="1"/>
    <s v="Copiers"/>
    <s v="Product_312"/>
    <n v="1208.18"/>
    <n v="7.95"/>
    <n v="0.13"/>
    <x v="1"/>
    <n v="6.5801453425814033E-3"/>
    <x v="7"/>
    <n v="2023"/>
  </r>
  <r>
    <s v="O00156"/>
    <d v="2022-11-13T00:00:00"/>
    <x v="141"/>
    <x v="3"/>
    <x v="0"/>
    <s v="Storage"/>
    <s v="Product_4"/>
    <n v="1410.49"/>
    <n v="242.07"/>
    <n v="0.05"/>
    <x v="1"/>
    <n v="0.17162120965054697"/>
    <x v="9"/>
    <n v="2022"/>
  </r>
  <r>
    <s v="O00157"/>
    <d v="2023-10-11T00:00:00"/>
    <x v="142"/>
    <x v="0"/>
    <x v="2"/>
    <s v="Chairs"/>
    <s v="Product_383"/>
    <n v="2874.97"/>
    <n v="-675.26"/>
    <n v="0.12"/>
    <x v="0"/>
    <n v="-0.23487549435298458"/>
    <x v="5"/>
    <n v="2023"/>
  </r>
  <r>
    <s v="O00158"/>
    <d v="2022-11-16T00:00:00"/>
    <x v="143"/>
    <x v="3"/>
    <x v="0"/>
    <s v="Binders"/>
    <s v="Product_398"/>
    <n v="1943.35"/>
    <n v="-477.2"/>
    <n v="0.14000000000000001"/>
    <x v="0"/>
    <n v="-0.24555535544292073"/>
    <x v="9"/>
    <n v="2022"/>
  </r>
  <r>
    <s v="O00159"/>
    <d v="2023-09-25T00:00:00"/>
    <x v="144"/>
    <x v="0"/>
    <x v="0"/>
    <s v="Storage"/>
    <s v="Product_140"/>
    <n v="516.29"/>
    <n v="-64.819999999999993"/>
    <n v="0.02"/>
    <x v="0"/>
    <n v="-0.12554959422030254"/>
    <x v="7"/>
    <n v="2023"/>
  </r>
  <r>
    <s v="O00160"/>
    <d v="2022-08-09T00:00:00"/>
    <x v="145"/>
    <x v="0"/>
    <x v="1"/>
    <s v="Copiers"/>
    <s v="Product_177"/>
    <n v="2177.67"/>
    <n v="-286.33999999999997"/>
    <n v="0.18"/>
    <x v="0"/>
    <n v="-0.13148916043293979"/>
    <x v="3"/>
    <n v="2022"/>
  </r>
  <r>
    <s v="O00161"/>
    <d v="2023-11-15T00:00:00"/>
    <x v="146"/>
    <x v="0"/>
    <x v="1"/>
    <s v="Phones"/>
    <s v="Product_113"/>
    <n v="1487.91"/>
    <n v="-160.72"/>
    <n v="0.2"/>
    <x v="0"/>
    <n v="-0.10801728599176025"/>
    <x v="9"/>
    <n v="2023"/>
  </r>
  <r>
    <s v="O00162"/>
    <d v="2022-05-21T00:00:00"/>
    <x v="147"/>
    <x v="3"/>
    <x v="1"/>
    <s v="Copiers"/>
    <s v="Product_149"/>
    <n v="368.43"/>
    <n v="113.18"/>
    <n v="0.06"/>
    <x v="1"/>
    <n v="0.30719539668322343"/>
    <x v="11"/>
    <n v="2022"/>
  </r>
  <r>
    <s v="O00163"/>
    <d v="2023-01-25T00:00:00"/>
    <x v="148"/>
    <x v="1"/>
    <x v="1"/>
    <s v="Phones"/>
    <s v="Product_257"/>
    <n v="137.88"/>
    <n v="-43.37"/>
    <n v="0.22"/>
    <x v="0"/>
    <n v="-0.31454888308674206"/>
    <x v="1"/>
    <n v="2023"/>
  </r>
  <r>
    <s v="O00164"/>
    <d v="2022-02-13T00:00:00"/>
    <x v="149"/>
    <x v="0"/>
    <x v="0"/>
    <s v="Storage"/>
    <s v="Product_236"/>
    <n v="4050.38"/>
    <n v="1203.2"/>
    <n v="0.02"/>
    <x v="1"/>
    <n v="0.29705854759306533"/>
    <x v="10"/>
    <n v="2022"/>
  </r>
  <r>
    <s v="O00165"/>
    <d v="2023-03-04T00:00:00"/>
    <x v="150"/>
    <x v="0"/>
    <x v="2"/>
    <s v="Tables"/>
    <s v="Product_208"/>
    <n v="2921.22"/>
    <n v="162.71"/>
    <n v="0.17"/>
    <x v="1"/>
    <n v="5.5699331101389152E-2"/>
    <x v="6"/>
    <n v="2023"/>
  </r>
  <r>
    <s v="O00166"/>
    <d v="2023-12-08T00:00:00"/>
    <x v="151"/>
    <x v="0"/>
    <x v="2"/>
    <s v="Tables"/>
    <s v="Product_224"/>
    <n v="942.18"/>
    <n v="-192.15"/>
    <n v="0.28000000000000003"/>
    <x v="0"/>
    <n v="-0.2039419219257467"/>
    <x v="4"/>
    <n v="2023"/>
  </r>
  <r>
    <s v="O00167"/>
    <d v="2022-11-14T00:00:00"/>
    <x v="152"/>
    <x v="3"/>
    <x v="2"/>
    <s v="Chairs"/>
    <s v="Product_114"/>
    <n v="2234.81"/>
    <n v="-609.67999999999995"/>
    <n v="0.12"/>
    <x v="0"/>
    <n v="-0.27281066399380705"/>
    <x v="9"/>
    <n v="2022"/>
  </r>
  <r>
    <s v="O00168"/>
    <d v="2022-07-18T00:00:00"/>
    <x v="153"/>
    <x v="3"/>
    <x v="1"/>
    <s v="Phones"/>
    <s v="Product_180"/>
    <n v="474.26"/>
    <n v="-33.97"/>
    <n v="0.19"/>
    <x v="0"/>
    <n v="-7.1627377387930666E-2"/>
    <x v="2"/>
    <n v="2022"/>
  </r>
  <r>
    <s v="O00169"/>
    <d v="2022-07-22T00:00:00"/>
    <x v="154"/>
    <x v="1"/>
    <x v="0"/>
    <s v="Storage"/>
    <s v="Product_390"/>
    <n v="4093.68"/>
    <n v="-745.6"/>
    <n v="7.0000000000000007E-2"/>
    <x v="0"/>
    <n v="-0.18213441206933617"/>
    <x v="2"/>
    <n v="2022"/>
  </r>
  <r>
    <s v="O00170"/>
    <d v="2023-08-01T00:00:00"/>
    <x v="18"/>
    <x v="2"/>
    <x v="0"/>
    <s v="Binders"/>
    <s v="Product_349"/>
    <n v="968.02"/>
    <n v="-129.26"/>
    <n v="0.23"/>
    <x v="0"/>
    <n v="-0.13353029896076526"/>
    <x v="3"/>
    <n v="2023"/>
  </r>
  <r>
    <s v="O00171"/>
    <d v="2023-10-05T00:00:00"/>
    <x v="33"/>
    <x v="1"/>
    <x v="0"/>
    <s v="Storage"/>
    <s v="Product_226"/>
    <n v="3212.96"/>
    <n v="413.02"/>
    <n v="0.19"/>
    <x v="1"/>
    <n v="0.12854813007320351"/>
    <x v="5"/>
    <n v="2023"/>
  </r>
  <r>
    <s v="O00172"/>
    <d v="2022-02-27T00:00:00"/>
    <x v="155"/>
    <x v="0"/>
    <x v="2"/>
    <s v="Tables"/>
    <s v="Product_159"/>
    <n v="2266.8200000000002"/>
    <n v="-283.8"/>
    <n v="0.09"/>
    <x v="0"/>
    <n v="-0.12519741311617155"/>
    <x v="10"/>
    <n v="2022"/>
  </r>
  <r>
    <s v="O00173"/>
    <d v="2023-10-23T00:00:00"/>
    <x v="156"/>
    <x v="2"/>
    <x v="1"/>
    <s v="Accessories"/>
    <s v="Product_237"/>
    <n v="284.27999999999997"/>
    <n v="-39.159999999999997"/>
    <n v="0.11"/>
    <x v="0"/>
    <n v="-0.13775151259321797"/>
    <x v="5"/>
    <n v="2023"/>
  </r>
  <r>
    <s v="O00174"/>
    <d v="2023-08-09T00:00:00"/>
    <x v="94"/>
    <x v="1"/>
    <x v="0"/>
    <s v="Storage"/>
    <s v="Product_165"/>
    <n v="4775.7299999999996"/>
    <n v="-1888.26"/>
    <n v="0.22"/>
    <x v="0"/>
    <n v="-0.39538667386975396"/>
    <x v="3"/>
    <n v="2023"/>
  </r>
  <r>
    <s v="O00175"/>
    <d v="2022-12-18T00:00:00"/>
    <x v="157"/>
    <x v="0"/>
    <x v="0"/>
    <s v="Paper"/>
    <s v="Product_259"/>
    <n v="2556.6999999999998"/>
    <n v="-561.66999999999996"/>
    <n v="0.28999999999999998"/>
    <x v="0"/>
    <n v="-0.21968553213126296"/>
    <x v="4"/>
    <n v="2022"/>
  </r>
  <r>
    <s v="O00176"/>
    <d v="2023-06-21T00:00:00"/>
    <x v="158"/>
    <x v="1"/>
    <x v="0"/>
    <s v="Binders"/>
    <s v="Product_187"/>
    <n v="291.8"/>
    <n v="53.86"/>
    <n v="0.21"/>
    <x v="1"/>
    <n v="0.18457847840986977"/>
    <x v="8"/>
    <n v="2023"/>
  </r>
  <r>
    <s v="O00177"/>
    <d v="2022-02-23T00:00:00"/>
    <x v="159"/>
    <x v="3"/>
    <x v="1"/>
    <s v="Accessories"/>
    <s v="Product_34"/>
    <n v="1998.34"/>
    <n v="-45.29"/>
    <n v="0.23"/>
    <x v="0"/>
    <n v="-2.2663810963099374E-2"/>
    <x v="10"/>
    <n v="2022"/>
  </r>
  <r>
    <s v="O00178"/>
    <d v="2023-11-04T00:00:00"/>
    <x v="160"/>
    <x v="1"/>
    <x v="1"/>
    <s v="Phones"/>
    <s v="Product_171"/>
    <n v="2834.02"/>
    <n v="-478.39"/>
    <n v="0.12"/>
    <x v="0"/>
    <n v="-0.16880261960042625"/>
    <x v="9"/>
    <n v="2023"/>
  </r>
  <r>
    <s v="O00179"/>
    <d v="2023-11-03T00:00:00"/>
    <x v="161"/>
    <x v="2"/>
    <x v="2"/>
    <s v="Bookcases"/>
    <s v="Product_67"/>
    <n v="3351.7"/>
    <n v="-984.93"/>
    <n v="0.28000000000000003"/>
    <x v="0"/>
    <n v="-0.29385983232389534"/>
    <x v="9"/>
    <n v="2023"/>
  </r>
  <r>
    <s v="O00180"/>
    <d v="2022-12-03T00:00:00"/>
    <x v="162"/>
    <x v="0"/>
    <x v="0"/>
    <s v="Storage"/>
    <s v="Product_331"/>
    <n v="4696.21"/>
    <n v="-300.52"/>
    <n v="0.09"/>
    <x v="0"/>
    <n v="-6.3992027613756622E-2"/>
    <x v="4"/>
    <n v="2022"/>
  </r>
  <r>
    <s v="O00181"/>
    <d v="2022-08-08T00:00:00"/>
    <x v="163"/>
    <x v="2"/>
    <x v="0"/>
    <s v="Paper"/>
    <s v="Product_99"/>
    <n v="2591.59"/>
    <n v="-63.96"/>
    <n v="0.01"/>
    <x v="0"/>
    <n v="-2.4679829757021751E-2"/>
    <x v="3"/>
    <n v="2022"/>
  </r>
  <r>
    <s v="O00182"/>
    <d v="2023-06-04T00:00:00"/>
    <x v="40"/>
    <x v="0"/>
    <x v="2"/>
    <s v="Chairs"/>
    <s v="Product_339"/>
    <n v="859.23"/>
    <n v="157.13"/>
    <n v="0.09"/>
    <x v="1"/>
    <n v="0.18287303748705236"/>
    <x v="8"/>
    <n v="2023"/>
  </r>
  <r>
    <s v="O00183"/>
    <d v="2023-12-11T00:00:00"/>
    <x v="40"/>
    <x v="1"/>
    <x v="1"/>
    <s v="Copiers"/>
    <s v="Product_370"/>
    <n v="742.14"/>
    <n v="-157.82"/>
    <n v="0.11"/>
    <x v="0"/>
    <n v="-0.21265529414935186"/>
    <x v="4"/>
    <n v="2023"/>
  </r>
  <r>
    <s v="O00184"/>
    <d v="2023-03-31T00:00:00"/>
    <x v="164"/>
    <x v="3"/>
    <x v="1"/>
    <s v="Phones"/>
    <s v="Product_386"/>
    <n v="2113.21"/>
    <n v="-544.11"/>
    <n v="0.2"/>
    <x v="0"/>
    <n v="-0.25748032613890715"/>
    <x v="6"/>
    <n v="2023"/>
  </r>
  <r>
    <s v="O00185"/>
    <d v="2023-04-26T00:00:00"/>
    <x v="165"/>
    <x v="3"/>
    <x v="0"/>
    <s v="Paper"/>
    <s v="Product_348"/>
    <n v="1246.6099999999999"/>
    <n v="385.65"/>
    <n v="7.0000000000000007E-2"/>
    <x v="1"/>
    <n v="0.30935898155798525"/>
    <x v="0"/>
    <n v="2023"/>
  </r>
  <r>
    <s v="O00186"/>
    <d v="2023-06-25T00:00:00"/>
    <x v="166"/>
    <x v="1"/>
    <x v="0"/>
    <s v="Paper"/>
    <s v="Product_419"/>
    <n v="2362.23"/>
    <n v="-120.18"/>
    <n v="0.08"/>
    <x v="0"/>
    <n v="-5.0875655630484753E-2"/>
    <x v="8"/>
    <n v="2023"/>
  </r>
  <r>
    <s v="O00187"/>
    <d v="2023-01-16T00:00:00"/>
    <x v="21"/>
    <x v="0"/>
    <x v="2"/>
    <s v="Bookcases"/>
    <s v="Product_365"/>
    <n v="778.15"/>
    <n v="81.48"/>
    <n v="0.08"/>
    <x v="1"/>
    <n v="0.10470988883891282"/>
    <x v="1"/>
    <n v="2023"/>
  </r>
  <r>
    <s v="O00188"/>
    <d v="2023-06-10T00:00:00"/>
    <x v="167"/>
    <x v="2"/>
    <x v="0"/>
    <s v="Binders"/>
    <s v="Product_47"/>
    <n v="1496.81"/>
    <n v="-398.64"/>
    <n v="0.23"/>
    <x v="0"/>
    <n v="-0.26632638745064502"/>
    <x v="8"/>
    <n v="2023"/>
  </r>
  <r>
    <s v="O00189"/>
    <d v="2023-02-10T00:00:00"/>
    <x v="168"/>
    <x v="3"/>
    <x v="2"/>
    <s v="Tables"/>
    <s v="Product_121"/>
    <n v="4434.6899999999996"/>
    <n v="-1024.69"/>
    <n v="0.28000000000000003"/>
    <x v="0"/>
    <n v="-0.23106237414565622"/>
    <x v="10"/>
    <n v="2023"/>
  </r>
  <r>
    <s v="O00190"/>
    <d v="2023-10-28T00:00:00"/>
    <x v="169"/>
    <x v="1"/>
    <x v="1"/>
    <s v="Phones"/>
    <s v="Product_71"/>
    <n v="1937.07"/>
    <n v="675.06"/>
    <n v="0.01"/>
    <x v="1"/>
    <n v="0.34849540801313322"/>
    <x v="5"/>
    <n v="2023"/>
  </r>
  <r>
    <s v="O00191"/>
    <d v="2023-12-24T00:00:00"/>
    <x v="170"/>
    <x v="2"/>
    <x v="2"/>
    <s v="Tables"/>
    <s v="Product_316"/>
    <n v="4595.24"/>
    <n v="729.11"/>
    <n v="0.14000000000000001"/>
    <x v="1"/>
    <n v="0.15866635910202734"/>
    <x v="4"/>
    <n v="2023"/>
  </r>
  <r>
    <s v="O00192"/>
    <d v="2023-09-16T00:00:00"/>
    <x v="171"/>
    <x v="2"/>
    <x v="2"/>
    <s v="Chairs"/>
    <s v="Product_57"/>
    <n v="193.12"/>
    <n v="-32.89"/>
    <n v="0.06"/>
    <x v="0"/>
    <n v="-0.17030861640430819"/>
    <x v="7"/>
    <n v="2023"/>
  </r>
  <r>
    <s v="O00193"/>
    <d v="2023-09-30T00:00:00"/>
    <x v="172"/>
    <x v="0"/>
    <x v="1"/>
    <s v="Phones"/>
    <s v="Product_57"/>
    <n v="1575.64"/>
    <n v="66.010000000000005"/>
    <n v="0.01"/>
    <x v="1"/>
    <n v="4.1894087481912111E-2"/>
    <x v="7"/>
    <n v="2023"/>
  </r>
  <r>
    <s v="O00194"/>
    <d v="2022-05-28T00:00:00"/>
    <x v="173"/>
    <x v="2"/>
    <x v="1"/>
    <s v="Copiers"/>
    <s v="Product_1"/>
    <n v="2726.66"/>
    <n v="-122.62"/>
    <n v="0.19"/>
    <x v="0"/>
    <n v="-4.4970770099682401E-2"/>
    <x v="11"/>
    <n v="2022"/>
  </r>
  <r>
    <s v="O00195"/>
    <d v="2022-03-29T00:00:00"/>
    <x v="174"/>
    <x v="3"/>
    <x v="0"/>
    <s v="Paper"/>
    <s v="Product_35"/>
    <n v="1278.76"/>
    <n v="100.54"/>
    <n v="0.12"/>
    <x v="1"/>
    <n v="7.8623041071037569E-2"/>
    <x v="6"/>
    <n v="2022"/>
  </r>
  <r>
    <s v="O00196"/>
    <d v="2023-02-04T00:00:00"/>
    <x v="95"/>
    <x v="0"/>
    <x v="0"/>
    <s v="Storage"/>
    <s v="Product_326"/>
    <n v="2585.91"/>
    <n v="-433.16"/>
    <n v="0.3"/>
    <x v="0"/>
    <n v="-0.16750776322455152"/>
    <x v="10"/>
    <n v="2023"/>
  </r>
  <r>
    <s v="O00197"/>
    <d v="2022-12-20T00:00:00"/>
    <x v="175"/>
    <x v="0"/>
    <x v="1"/>
    <s v="Accessories"/>
    <s v="Product_396"/>
    <n v="1342.89"/>
    <n v="366.76"/>
    <n v="0"/>
    <x v="1"/>
    <n v="0.27311246639709874"/>
    <x v="4"/>
    <n v="2022"/>
  </r>
  <r>
    <s v="O00198"/>
    <d v="2022-12-13T00:00:00"/>
    <x v="176"/>
    <x v="1"/>
    <x v="0"/>
    <s v="Storage"/>
    <s v="Product_426"/>
    <n v="3807.73"/>
    <n v="-108.98"/>
    <n v="0.04"/>
    <x v="0"/>
    <n v="-2.8620726784724757E-2"/>
    <x v="4"/>
    <n v="2022"/>
  </r>
  <r>
    <s v="O00199"/>
    <d v="2022-05-19T00:00:00"/>
    <x v="177"/>
    <x v="2"/>
    <x v="0"/>
    <s v="Paper"/>
    <s v="Product_19"/>
    <n v="4906.01"/>
    <n v="-1131.49"/>
    <n v="0.14000000000000001"/>
    <x v="0"/>
    <n v="-0.23063344754698828"/>
    <x v="11"/>
    <n v="2022"/>
  </r>
  <r>
    <s v="O00200"/>
    <d v="2022-11-14T00:00:00"/>
    <x v="178"/>
    <x v="2"/>
    <x v="1"/>
    <s v="Phones"/>
    <s v="Product_418"/>
    <n v="314.64999999999998"/>
    <n v="-73.900000000000006"/>
    <n v="0.06"/>
    <x v="0"/>
    <n v="-0.23486413475290008"/>
    <x v="9"/>
    <n v="2022"/>
  </r>
  <r>
    <s v="O00201"/>
    <d v="2023-01-01T00:00:00"/>
    <x v="179"/>
    <x v="0"/>
    <x v="0"/>
    <s v="Paper"/>
    <s v="Product_444"/>
    <n v="1341.24"/>
    <n v="-422.94"/>
    <n v="0.23"/>
    <x v="0"/>
    <n v="-0.31533506307595954"/>
    <x v="1"/>
    <n v="2023"/>
  </r>
  <r>
    <s v="O00202"/>
    <d v="2023-02-14T00:00:00"/>
    <x v="180"/>
    <x v="2"/>
    <x v="0"/>
    <s v="Paper"/>
    <s v="Product_459"/>
    <n v="1438.76"/>
    <n v="-255.85"/>
    <n v="0.24"/>
    <x v="0"/>
    <n v="-0.177826739692513"/>
    <x v="10"/>
    <n v="2023"/>
  </r>
  <r>
    <s v="O00203"/>
    <d v="2023-06-16T00:00:00"/>
    <x v="181"/>
    <x v="0"/>
    <x v="1"/>
    <s v="Accessories"/>
    <s v="Product_373"/>
    <n v="4871.25"/>
    <n v="-250.8"/>
    <n v="0.15"/>
    <x v="0"/>
    <n v="-5.1485758275596614E-2"/>
    <x v="8"/>
    <n v="2023"/>
  </r>
  <r>
    <s v="O00204"/>
    <d v="2022-10-28T00:00:00"/>
    <x v="182"/>
    <x v="0"/>
    <x v="1"/>
    <s v="Phones"/>
    <s v="Product_41"/>
    <n v="2209.98"/>
    <n v="-865.71"/>
    <n v="0.3"/>
    <x v="0"/>
    <n v="-0.3917275269459452"/>
    <x v="5"/>
    <n v="2022"/>
  </r>
  <r>
    <s v="O00205"/>
    <d v="2022-06-20T00:00:00"/>
    <x v="183"/>
    <x v="2"/>
    <x v="1"/>
    <s v="Copiers"/>
    <s v="Product_180"/>
    <n v="1548.64"/>
    <n v="155.79"/>
    <n v="0.13"/>
    <x v="1"/>
    <n v="0.10059794400247958"/>
    <x v="8"/>
    <n v="2022"/>
  </r>
  <r>
    <s v="O00206"/>
    <d v="2023-03-22T00:00:00"/>
    <x v="134"/>
    <x v="0"/>
    <x v="1"/>
    <s v="Phones"/>
    <s v="Product_39"/>
    <n v="3661.39"/>
    <n v="-370.13"/>
    <n v="0.27"/>
    <x v="0"/>
    <n v="-0.10109002318791498"/>
    <x v="6"/>
    <n v="2023"/>
  </r>
  <r>
    <s v="O00207"/>
    <d v="2022-06-13T00:00:00"/>
    <x v="142"/>
    <x v="1"/>
    <x v="0"/>
    <s v="Storage"/>
    <s v="Product_435"/>
    <n v="2090.4299999999998"/>
    <n v="208.92"/>
    <n v="0.15"/>
    <x v="1"/>
    <n v="9.9941160431107484E-2"/>
    <x v="8"/>
    <n v="2022"/>
  </r>
  <r>
    <s v="O00208"/>
    <d v="2023-10-23T00:00:00"/>
    <x v="184"/>
    <x v="3"/>
    <x v="0"/>
    <s v="Storage"/>
    <s v="Product_197"/>
    <n v="3928.43"/>
    <n v="-666.5"/>
    <n v="0.01"/>
    <x v="0"/>
    <n v="-0.16966065323806204"/>
    <x v="5"/>
    <n v="2023"/>
  </r>
  <r>
    <s v="O00209"/>
    <d v="2023-01-16T00:00:00"/>
    <x v="111"/>
    <x v="0"/>
    <x v="0"/>
    <s v="Binders"/>
    <s v="Product_294"/>
    <n v="3064.96"/>
    <n v="518.88"/>
    <n v="0.2"/>
    <x v="1"/>
    <n v="0.16929421591146376"/>
    <x v="1"/>
    <n v="2023"/>
  </r>
  <r>
    <s v="O00210"/>
    <d v="2022-04-27T00:00:00"/>
    <x v="185"/>
    <x v="1"/>
    <x v="2"/>
    <s v="Bookcases"/>
    <s v="Product_256"/>
    <n v="1898.05"/>
    <n v="-233.05"/>
    <n v="0.09"/>
    <x v="0"/>
    <n v="-0.12278390980216539"/>
    <x v="0"/>
    <n v="2022"/>
  </r>
  <r>
    <s v="O00211"/>
    <d v="2023-12-22T00:00:00"/>
    <x v="60"/>
    <x v="1"/>
    <x v="0"/>
    <s v="Paper"/>
    <s v="Product_314"/>
    <n v="4576.3599999999997"/>
    <n v="1029.58"/>
    <n v="0.04"/>
    <x v="1"/>
    <n v="0.22497793005795"/>
    <x v="4"/>
    <n v="2023"/>
  </r>
  <r>
    <s v="O00212"/>
    <d v="2022-03-17T00:00:00"/>
    <x v="186"/>
    <x v="1"/>
    <x v="1"/>
    <s v="Copiers"/>
    <s v="Product_461"/>
    <n v="4590.75"/>
    <n v="-1268.96"/>
    <n v="0.15"/>
    <x v="0"/>
    <n v="-0.27641670750966618"/>
    <x v="6"/>
    <n v="2022"/>
  </r>
  <r>
    <s v="O00213"/>
    <d v="2022-11-24T00:00:00"/>
    <x v="187"/>
    <x v="3"/>
    <x v="0"/>
    <s v="Paper"/>
    <s v="Product_364"/>
    <n v="4986.59"/>
    <n v="700.8"/>
    <n v="0.24"/>
    <x v="1"/>
    <n v="0.14053692001949228"/>
    <x v="9"/>
    <n v="2022"/>
  </r>
  <r>
    <s v="O00214"/>
    <d v="2023-12-30T00:00:00"/>
    <x v="100"/>
    <x v="1"/>
    <x v="2"/>
    <s v="Bookcases"/>
    <s v="Product_407"/>
    <n v="2756.64"/>
    <n v="112.52"/>
    <n v="0.27"/>
    <x v="1"/>
    <n v="4.0817807185559232E-2"/>
    <x v="4"/>
    <n v="2023"/>
  </r>
  <r>
    <s v="O00215"/>
    <d v="2022-08-31T00:00:00"/>
    <x v="188"/>
    <x v="0"/>
    <x v="1"/>
    <s v="Copiers"/>
    <s v="Product_185"/>
    <n v="1198.78"/>
    <n v="-29.68"/>
    <n v="0.3"/>
    <x v="0"/>
    <n v="-2.4758504479554213E-2"/>
    <x v="3"/>
    <n v="2022"/>
  </r>
  <r>
    <s v="O00216"/>
    <d v="2023-09-19T00:00:00"/>
    <x v="189"/>
    <x v="0"/>
    <x v="0"/>
    <s v="Storage"/>
    <s v="Product_159"/>
    <n v="1907.66"/>
    <n v="-207.96"/>
    <n v="0.24"/>
    <x v="0"/>
    <n v="-0.10901313651279577"/>
    <x v="7"/>
    <n v="2023"/>
  </r>
  <r>
    <s v="O00217"/>
    <d v="2023-08-12T00:00:00"/>
    <x v="190"/>
    <x v="1"/>
    <x v="1"/>
    <s v="Copiers"/>
    <s v="Product_498"/>
    <n v="3622.46"/>
    <n v="367.68"/>
    <n v="0.16"/>
    <x v="1"/>
    <n v="0.10150008557720444"/>
    <x v="3"/>
    <n v="2023"/>
  </r>
  <r>
    <s v="O00218"/>
    <d v="2022-05-12T00:00:00"/>
    <x v="191"/>
    <x v="1"/>
    <x v="1"/>
    <s v="Copiers"/>
    <s v="Product_394"/>
    <n v="463.41"/>
    <n v="-13.71"/>
    <n v="0.14000000000000001"/>
    <x v="0"/>
    <n v="-2.9585032692432189E-2"/>
    <x v="11"/>
    <n v="2022"/>
  </r>
  <r>
    <s v="O00219"/>
    <d v="2023-06-15T00:00:00"/>
    <x v="12"/>
    <x v="3"/>
    <x v="2"/>
    <s v="Tables"/>
    <s v="Product_85"/>
    <n v="2564.0300000000002"/>
    <n v="99.57"/>
    <n v="0.26"/>
    <x v="1"/>
    <n v="3.8833398985191274E-2"/>
    <x v="8"/>
    <n v="2023"/>
  </r>
  <r>
    <s v="O00220"/>
    <d v="2023-06-16T00:00:00"/>
    <x v="192"/>
    <x v="0"/>
    <x v="2"/>
    <s v="Tables"/>
    <s v="Product_129"/>
    <n v="4680.22"/>
    <n v="1397"/>
    <n v="7.0000000000000007E-2"/>
    <x v="1"/>
    <n v="0.29849024191170498"/>
    <x v="8"/>
    <n v="2023"/>
  </r>
  <r>
    <s v="O00221"/>
    <d v="2023-09-22T00:00:00"/>
    <x v="193"/>
    <x v="0"/>
    <x v="2"/>
    <s v="Bookcases"/>
    <s v="Product_258"/>
    <n v="4786.12"/>
    <n v="454.75"/>
    <n v="0.08"/>
    <x v="1"/>
    <n v="9.5014333113252497E-2"/>
    <x v="7"/>
    <n v="2023"/>
  </r>
  <r>
    <s v="O00222"/>
    <d v="2023-10-02T00:00:00"/>
    <x v="194"/>
    <x v="3"/>
    <x v="0"/>
    <s v="Binders"/>
    <s v="Product_432"/>
    <n v="2999.86"/>
    <n v="-801.8"/>
    <n v="0.17"/>
    <x v="0"/>
    <n v="-0.26727913969318567"/>
    <x v="5"/>
    <n v="2023"/>
  </r>
  <r>
    <s v="O00223"/>
    <d v="2023-10-19T00:00:00"/>
    <x v="40"/>
    <x v="3"/>
    <x v="0"/>
    <s v="Binders"/>
    <s v="Product_334"/>
    <n v="4143.66"/>
    <n v="-757.14"/>
    <n v="0.01"/>
    <x v="0"/>
    <n v="-0.1827225206701322"/>
    <x v="5"/>
    <n v="2023"/>
  </r>
  <r>
    <s v="O00224"/>
    <d v="2023-10-05T00:00:00"/>
    <x v="195"/>
    <x v="3"/>
    <x v="2"/>
    <s v="Bookcases"/>
    <s v="Product_329"/>
    <n v="2141.2800000000002"/>
    <n v="-195.24"/>
    <n v="0.19"/>
    <x v="0"/>
    <n v="-9.1179107823357988E-2"/>
    <x v="5"/>
    <n v="2023"/>
  </r>
  <r>
    <s v="O00225"/>
    <d v="2023-04-10T00:00:00"/>
    <x v="196"/>
    <x v="0"/>
    <x v="1"/>
    <s v="Accessories"/>
    <s v="Product_81"/>
    <n v="1299.9000000000001"/>
    <n v="-255.23"/>
    <n v="0.24"/>
    <x v="0"/>
    <n v="-0.19634587275944301"/>
    <x v="0"/>
    <n v="2023"/>
  </r>
  <r>
    <s v="O00226"/>
    <d v="2022-11-17T00:00:00"/>
    <x v="197"/>
    <x v="3"/>
    <x v="1"/>
    <s v="Accessories"/>
    <s v="Product_376"/>
    <n v="2472.83"/>
    <n v="257.16000000000003"/>
    <n v="0.06"/>
    <x v="1"/>
    <n v="0.10399420906410875"/>
    <x v="9"/>
    <n v="2022"/>
  </r>
  <r>
    <s v="O00227"/>
    <d v="2022-11-23T00:00:00"/>
    <x v="198"/>
    <x v="2"/>
    <x v="1"/>
    <s v="Accessories"/>
    <s v="Product_63"/>
    <n v="740.75"/>
    <n v="19.989999999999998"/>
    <n v="0.11"/>
    <x v="1"/>
    <n v="2.6986162672966586E-2"/>
    <x v="9"/>
    <n v="2022"/>
  </r>
  <r>
    <s v="O00228"/>
    <d v="2023-01-29T00:00:00"/>
    <x v="127"/>
    <x v="2"/>
    <x v="1"/>
    <s v="Accessories"/>
    <s v="Product_128"/>
    <n v="1314.8"/>
    <n v="-73.459999999999994"/>
    <n v="0.03"/>
    <x v="0"/>
    <n v="-5.5871615454822027E-2"/>
    <x v="1"/>
    <n v="2023"/>
  </r>
  <r>
    <s v="O00229"/>
    <d v="2022-06-13T00:00:00"/>
    <x v="199"/>
    <x v="2"/>
    <x v="2"/>
    <s v="Tables"/>
    <s v="Product_256"/>
    <n v="4675.38"/>
    <n v="-1431.13"/>
    <n v="0.22"/>
    <x v="0"/>
    <n v="-0.30609918338188558"/>
    <x v="8"/>
    <n v="2022"/>
  </r>
  <r>
    <s v="O00230"/>
    <d v="2022-09-04T00:00:00"/>
    <x v="200"/>
    <x v="3"/>
    <x v="1"/>
    <s v="Accessories"/>
    <s v="Product_25"/>
    <n v="213.56"/>
    <n v="-37.74"/>
    <n v="0.28000000000000003"/>
    <x v="0"/>
    <n v="-0.17671848660797904"/>
    <x v="7"/>
    <n v="2022"/>
  </r>
  <r>
    <s v="O00231"/>
    <d v="2023-04-27T00:00:00"/>
    <x v="201"/>
    <x v="0"/>
    <x v="2"/>
    <s v="Tables"/>
    <s v="Product_434"/>
    <n v="2524.98"/>
    <n v="-170.29"/>
    <n v="0.26"/>
    <x v="0"/>
    <n v="-6.7442118353412697E-2"/>
    <x v="0"/>
    <n v="2023"/>
  </r>
  <r>
    <s v="O00232"/>
    <d v="2023-02-17T00:00:00"/>
    <x v="121"/>
    <x v="0"/>
    <x v="2"/>
    <s v="Tables"/>
    <s v="Product_206"/>
    <n v="756.28"/>
    <n v="-45.78"/>
    <n v="0.08"/>
    <x v="0"/>
    <n v="-6.0533135875601635E-2"/>
    <x v="10"/>
    <n v="2023"/>
  </r>
  <r>
    <s v="O00233"/>
    <d v="2023-01-31T00:00:00"/>
    <x v="202"/>
    <x v="2"/>
    <x v="2"/>
    <s v="Bookcases"/>
    <s v="Product_392"/>
    <n v="2852.9"/>
    <n v="-390.39"/>
    <n v="0.11"/>
    <x v="0"/>
    <n v="-0.13683970696484279"/>
    <x v="1"/>
    <n v="2023"/>
  </r>
  <r>
    <s v="O00234"/>
    <d v="2022-05-12T00:00:00"/>
    <x v="203"/>
    <x v="2"/>
    <x v="0"/>
    <s v="Paper"/>
    <s v="Product_192"/>
    <n v="4144.03"/>
    <n v="-96.86"/>
    <n v="0.19"/>
    <x v="0"/>
    <n v="-2.3373382914698978E-2"/>
    <x v="11"/>
    <n v="2022"/>
  </r>
  <r>
    <s v="O00235"/>
    <d v="2023-06-06T00:00:00"/>
    <x v="204"/>
    <x v="0"/>
    <x v="1"/>
    <s v="Copiers"/>
    <s v="Product_24"/>
    <n v="4700.8500000000004"/>
    <n v="-1459.92"/>
    <n v="0.23"/>
    <x v="0"/>
    <n v="-0.31056511056511055"/>
    <x v="8"/>
    <n v="2023"/>
  </r>
  <r>
    <s v="O00236"/>
    <d v="2022-06-02T00:00:00"/>
    <x v="118"/>
    <x v="1"/>
    <x v="2"/>
    <s v="Chairs"/>
    <s v="Product_168"/>
    <n v="3596.6"/>
    <n v="-461.8"/>
    <n v="0.24"/>
    <x v="0"/>
    <n v="-0.12839904354112217"/>
    <x v="8"/>
    <n v="2022"/>
  </r>
  <r>
    <s v="O00237"/>
    <d v="2022-11-03T00:00:00"/>
    <x v="205"/>
    <x v="3"/>
    <x v="0"/>
    <s v="Paper"/>
    <s v="Product_260"/>
    <n v="896.26"/>
    <n v="-50.56"/>
    <n v="0.3"/>
    <x v="0"/>
    <n v="-5.6412201816437198E-2"/>
    <x v="9"/>
    <n v="2022"/>
  </r>
  <r>
    <s v="O00238"/>
    <d v="2022-01-18T00:00:00"/>
    <x v="206"/>
    <x v="3"/>
    <x v="0"/>
    <s v="Storage"/>
    <s v="Product_345"/>
    <n v="2500.25"/>
    <n v="-212.68"/>
    <n v="0.17"/>
    <x v="0"/>
    <n v="-8.5063493650634939E-2"/>
    <x v="1"/>
    <n v="2022"/>
  </r>
  <r>
    <s v="O00239"/>
    <d v="2023-12-06T00:00:00"/>
    <x v="207"/>
    <x v="0"/>
    <x v="2"/>
    <s v="Tables"/>
    <s v="Product_306"/>
    <n v="2960.14"/>
    <n v="-14.22"/>
    <n v="0.24"/>
    <x v="0"/>
    <n v="-4.8038268460275533E-3"/>
    <x v="4"/>
    <n v="2023"/>
  </r>
  <r>
    <s v="O00240"/>
    <d v="2023-08-15T00:00:00"/>
    <x v="47"/>
    <x v="0"/>
    <x v="1"/>
    <s v="Accessories"/>
    <s v="Product_299"/>
    <n v="4838.6499999999996"/>
    <n v="172.73"/>
    <n v="0.23"/>
    <x v="1"/>
    <n v="3.569797360834117E-2"/>
    <x v="3"/>
    <n v="2023"/>
  </r>
  <r>
    <s v="O00241"/>
    <d v="2023-01-25T00:00:00"/>
    <x v="57"/>
    <x v="1"/>
    <x v="1"/>
    <s v="Phones"/>
    <s v="Product_17"/>
    <n v="2668.74"/>
    <n v="119.46"/>
    <n v="0.22"/>
    <x v="1"/>
    <n v="4.476269700308011E-2"/>
    <x v="1"/>
    <n v="2023"/>
  </r>
  <r>
    <s v="O00242"/>
    <d v="2022-06-05T00:00:00"/>
    <x v="208"/>
    <x v="1"/>
    <x v="0"/>
    <s v="Storage"/>
    <s v="Product_211"/>
    <n v="638.49"/>
    <n v="-13.91"/>
    <n v="0.01"/>
    <x v="0"/>
    <n v="-2.1785775814813075E-2"/>
    <x v="8"/>
    <n v="2022"/>
  </r>
  <r>
    <s v="O00243"/>
    <d v="2022-03-05T00:00:00"/>
    <x v="209"/>
    <x v="1"/>
    <x v="0"/>
    <s v="Storage"/>
    <s v="Product_266"/>
    <n v="4610.55"/>
    <n v="-85.28"/>
    <n v="0.26"/>
    <x v="0"/>
    <n v="-1.8496708635629154E-2"/>
    <x v="6"/>
    <n v="2022"/>
  </r>
  <r>
    <s v="O00244"/>
    <d v="2022-11-18T00:00:00"/>
    <x v="154"/>
    <x v="2"/>
    <x v="2"/>
    <s v="Bookcases"/>
    <s v="Product_468"/>
    <n v="1692.74"/>
    <n v="-143.4"/>
    <n v="0.2"/>
    <x v="0"/>
    <n v="-8.4714722875338211E-2"/>
    <x v="9"/>
    <n v="2022"/>
  </r>
  <r>
    <s v="O00245"/>
    <d v="2023-11-29T00:00:00"/>
    <x v="176"/>
    <x v="3"/>
    <x v="0"/>
    <s v="Paper"/>
    <s v="Product_313"/>
    <n v="2776.74"/>
    <n v="334.85"/>
    <n v="0.2"/>
    <x v="1"/>
    <n v="0.12059105281733257"/>
    <x v="9"/>
    <n v="2023"/>
  </r>
  <r>
    <s v="O00246"/>
    <d v="2022-11-01T00:00:00"/>
    <x v="40"/>
    <x v="3"/>
    <x v="1"/>
    <s v="Phones"/>
    <s v="Product_361"/>
    <n v="4790.95"/>
    <n v="-483.41"/>
    <n v="0.08"/>
    <x v="0"/>
    <n v="-0.10090065644600758"/>
    <x v="9"/>
    <n v="2022"/>
  </r>
  <r>
    <s v="O00247"/>
    <d v="2022-10-08T00:00:00"/>
    <x v="99"/>
    <x v="0"/>
    <x v="2"/>
    <s v="Bookcases"/>
    <s v="Product_294"/>
    <n v="3554.44"/>
    <n v="-322.45"/>
    <n v="0.1"/>
    <x v="0"/>
    <n v="-9.0717525123507489E-2"/>
    <x v="5"/>
    <n v="2022"/>
  </r>
  <r>
    <s v="O00248"/>
    <d v="2022-05-30T00:00:00"/>
    <x v="210"/>
    <x v="0"/>
    <x v="0"/>
    <s v="Storage"/>
    <s v="Product_148"/>
    <n v="1960.5"/>
    <n v="2.0099999999999998"/>
    <n v="0.28999999999999998"/>
    <x v="1"/>
    <n v="1.0252486610558529E-3"/>
    <x v="11"/>
    <n v="2022"/>
  </r>
  <r>
    <s v="O00249"/>
    <d v="2023-05-06T00:00:00"/>
    <x v="211"/>
    <x v="1"/>
    <x v="0"/>
    <s v="Binders"/>
    <s v="Product_424"/>
    <n v="1797.18"/>
    <n v="-316.54000000000002"/>
    <n v="0.13"/>
    <x v="0"/>
    <n v="-0.17613149489756175"/>
    <x v="11"/>
    <n v="2023"/>
  </r>
  <r>
    <s v="O00250"/>
    <d v="2023-09-23T00:00:00"/>
    <x v="212"/>
    <x v="1"/>
    <x v="0"/>
    <s v="Paper"/>
    <s v="Product_125"/>
    <n v="4671.82"/>
    <n v="-1530.66"/>
    <n v="0.21"/>
    <x v="0"/>
    <n v="-0.3276367668274891"/>
    <x v="7"/>
    <n v="2023"/>
  </r>
  <r>
    <s v="O00251"/>
    <d v="2022-04-13T00:00:00"/>
    <x v="213"/>
    <x v="3"/>
    <x v="2"/>
    <s v="Bookcases"/>
    <s v="Product_368"/>
    <n v="4535.3999999999996"/>
    <n v="-590.95000000000005"/>
    <n v="7.0000000000000007E-2"/>
    <x v="0"/>
    <n v="-0.13029721744498834"/>
    <x v="0"/>
    <n v="2022"/>
  </r>
  <r>
    <s v="O00252"/>
    <d v="2022-06-11T00:00:00"/>
    <x v="214"/>
    <x v="2"/>
    <x v="1"/>
    <s v="Phones"/>
    <s v="Product_245"/>
    <n v="3437.84"/>
    <n v="1164.44"/>
    <n v="0.04"/>
    <x v="1"/>
    <n v="0.33871268005491822"/>
    <x v="8"/>
    <n v="2022"/>
  </r>
  <r>
    <s v="O00253"/>
    <d v="2022-03-02T00:00:00"/>
    <x v="14"/>
    <x v="0"/>
    <x v="0"/>
    <s v="Binders"/>
    <s v="Product_334"/>
    <n v="3803.96"/>
    <n v="-451.72"/>
    <n v="0.09"/>
    <x v="0"/>
    <n v="-0.11874993427901451"/>
    <x v="6"/>
    <n v="2022"/>
  </r>
  <r>
    <s v="O00254"/>
    <d v="2022-06-29T00:00:00"/>
    <x v="215"/>
    <x v="1"/>
    <x v="0"/>
    <s v="Binders"/>
    <s v="Product_479"/>
    <n v="2722.25"/>
    <n v="386.56"/>
    <n v="0.22"/>
    <x v="1"/>
    <n v="0.1420001836715952"/>
    <x v="8"/>
    <n v="2022"/>
  </r>
  <r>
    <s v="O00255"/>
    <d v="2022-10-24T00:00:00"/>
    <x v="216"/>
    <x v="0"/>
    <x v="2"/>
    <s v="Tables"/>
    <s v="Product_153"/>
    <n v="3961.01"/>
    <n v="750.22"/>
    <n v="0.06"/>
    <x v="1"/>
    <n v="0.18940118808081777"/>
    <x v="5"/>
    <n v="2022"/>
  </r>
  <r>
    <s v="O00256"/>
    <d v="2023-10-19T00:00:00"/>
    <x v="217"/>
    <x v="2"/>
    <x v="0"/>
    <s v="Storage"/>
    <s v="Product_456"/>
    <n v="625.77"/>
    <n v="-199.79"/>
    <n v="0.28999999999999998"/>
    <x v="0"/>
    <n v="-0.31927065854866804"/>
    <x v="5"/>
    <n v="2023"/>
  </r>
  <r>
    <s v="O00257"/>
    <d v="2022-06-16T00:00:00"/>
    <x v="218"/>
    <x v="2"/>
    <x v="2"/>
    <s v="Bookcases"/>
    <s v="Product_332"/>
    <n v="2393.3000000000002"/>
    <n v="-460.5"/>
    <n v="0.06"/>
    <x v="0"/>
    <n v="-0.19241215058705552"/>
    <x v="8"/>
    <n v="2022"/>
  </r>
  <r>
    <s v="O00258"/>
    <d v="2023-08-05T00:00:00"/>
    <x v="219"/>
    <x v="1"/>
    <x v="1"/>
    <s v="Copiers"/>
    <s v="Product_90"/>
    <n v="1012.38"/>
    <n v="55.13"/>
    <n v="0.22"/>
    <x v="1"/>
    <n v="5.4455836741144632E-2"/>
    <x v="3"/>
    <n v="2023"/>
  </r>
  <r>
    <s v="O00259"/>
    <d v="2022-03-30T00:00:00"/>
    <x v="220"/>
    <x v="0"/>
    <x v="0"/>
    <s v="Storage"/>
    <s v="Product_95"/>
    <n v="4495.51"/>
    <n v="-633.11"/>
    <n v="0.25"/>
    <x v="0"/>
    <n v="-0.14083162978171554"/>
    <x v="6"/>
    <n v="2022"/>
  </r>
  <r>
    <s v="O00260"/>
    <d v="2022-08-30T00:00:00"/>
    <x v="221"/>
    <x v="3"/>
    <x v="2"/>
    <s v="Tables"/>
    <s v="Product_489"/>
    <n v="1685.65"/>
    <n v="-191.37"/>
    <n v="7.0000000000000007E-2"/>
    <x v="0"/>
    <n v="-0.11352890576335538"/>
    <x v="3"/>
    <n v="2022"/>
  </r>
  <r>
    <s v="O00261"/>
    <d v="2023-01-04T00:00:00"/>
    <x v="222"/>
    <x v="1"/>
    <x v="1"/>
    <s v="Accessories"/>
    <s v="Product_32"/>
    <n v="2954.06"/>
    <n v="-629.41999999999996"/>
    <n v="0.17"/>
    <x v="0"/>
    <n v="-0.21306947049145919"/>
    <x v="1"/>
    <n v="2023"/>
  </r>
  <r>
    <s v="O00262"/>
    <d v="2023-12-22T00:00:00"/>
    <x v="223"/>
    <x v="3"/>
    <x v="0"/>
    <s v="Binders"/>
    <s v="Product_354"/>
    <n v="2380.44"/>
    <n v="384.78"/>
    <n v="0.05"/>
    <x v="1"/>
    <n v="0.16164238544134696"/>
    <x v="4"/>
    <n v="2023"/>
  </r>
  <r>
    <s v="O00263"/>
    <d v="2022-08-13T00:00:00"/>
    <x v="224"/>
    <x v="2"/>
    <x v="2"/>
    <s v="Bookcases"/>
    <s v="Product_79"/>
    <n v="4589.04"/>
    <n v="361.5"/>
    <n v="0.09"/>
    <x v="1"/>
    <n v="7.877464567752733E-2"/>
    <x v="3"/>
    <n v="2022"/>
  </r>
  <r>
    <s v="O00264"/>
    <d v="2023-04-28T00:00:00"/>
    <x v="225"/>
    <x v="1"/>
    <x v="1"/>
    <s v="Copiers"/>
    <s v="Product_391"/>
    <n v="4945.3100000000004"/>
    <n v="549.74"/>
    <n v="0.11"/>
    <x v="1"/>
    <n v="0.11116391085695335"/>
    <x v="0"/>
    <n v="2023"/>
  </r>
  <r>
    <s v="O00265"/>
    <d v="2023-04-03T00:00:00"/>
    <x v="171"/>
    <x v="3"/>
    <x v="2"/>
    <s v="Bookcases"/>
    <s v="Product_40"/>
    <n v="3798.22"/>
    <n v="-1560.6"/>
    <n v="0.26"/>
    <x v="0"/>
    <n v="-0.4108766738103638"/>
    <x v="0"/>
    <n v="2023"/>
  </r>
  <r>
    <s v="O00266"/>
    <d v="2023-08-10T00:00:00"/>
    <x v="226"/>
    <x v="1"/>
    <x v="0"/>
    <s v="Binders"/>
    <s v="Product_85"/>
    <n v="402.61"/>
    <n v="-22.83"/>
    <n v="0.16"/>
    <x v="0"/>
    <n v="-5.6704999875810333E-2"/>
    <x v="3"/>
    <n v="2023"/>
  </r>
  <r>
    <s v="O00267"/>
    <d v="2023-05-16T00:00:00"/>
    <x v="137"/>
    <x v="2"/>
    <x v="1"/>
    <s v="Copiers"/>
    <s v="Product_415"/>
    <n v="2265.02"/>
    <n v="68.290000000000006"/>
    <n v="0.2"/>
    <x v="1"/>
    <n v="3.0149844151486523E-2"/>
    <x v="11"/>
    <n v="2023"/>
  </r>
  <r>
    <s v="O00268"/>
    <d v="2023-07-27T00:00:00"/>
    <x v="227"/>
    <x v="3"/>
    <x v="2"/>
    <s v="Tables"/>
    <s v="Product_371"/>
    <n v="746.53"/>
    <n v="13.7"/>
    <n v="0.12"/>
    <x v="1"/>
    <n v="1.8351573279037681E-2"/>
    <x v="2"/>
    <n v="2023"/>
  </r>
  <r>
    <s v="O00269"/>
    <d v="2022-03-16T00:00:00"/>
    <x v="228"/>
    <x v="2"/>
    <x v="2"/>
    <s v="Tables"/>
    <s v="Product_177"/>
    <n v="1346.84"/>
    <n v="-93.28"/>
    <n v="0"/>
    <x v="0"/>
    <n v="-6.9258412283567466E-2"/>
    <x v="6"/>
    <n v="2022"/>
  </r>
  <r>
    <s v="O00270"/>
    <d v="2023-04-29T00:00:00"/>
    <x v="229"/>
    <x v="3"/>
    <x v="0"/>
    <s v="Binders"/>
    <s v="Product_210"/>
    <n v="2751.7"/>
    <n v="871"/>
    <n v="0.02"/>
    <x v="1"/>
    <n v="0.31653159864810848"/>
    <x v="0"/>
    <n v="2023"/>
  </r>
  <r>
    <s v="O00271"/>
    <d v="2023-03-07T00:00:00"/>
    <x v="230"/>
    <x v="2"/>
    <x v="2"/>
    <s v="Chairs"/>
    <s v="Product_230"/>
    <n v="3852.56"/>
    <n v="-394.78"/>
    <n v="0.28999999999999998"/>
    <x v="0"/>
    <n v="-0.10247212243287579"/>
    <x v="6"/>
    <n v="2023"/>
  </r>
  <r>
    <s v="O00272"/>
    <d v="2022-05-17T00:00:00"/>
    <x v="231"/>
    <x v="3"/>
    <x v="1"/>
    <s v="Accessories"/>
    <s v="Product_61"/>
    <n v="493.22"/>
    <n v="17.13"/>
    <n v="0.28999999999999998"/>
    <x v="1"/>
    <n v="3.4730951705121443E-2"/>
    <x v="11"/>
    <n v="2022"/>
  </r>
  <r>
    <s v="O00273"/>
    <d v="2022-01-04T00:00:00"/>
    <x v="232"/>
    <x v="0"/>
    <x v="2"/>
    <s v="Bookcases"/>
    <s v="Product_153"/>
    <n v="2025.99"/>
    <n v="703.49"/>
    <n v="0.04"/>
    <x v="1"/>
    <n v="0.34723271092157415"/>
    <x v="1"/>
    <n v="2022"/>
  </r>
  <r>
    <s v="O00274"/>
    <d v="2022-08-24T00:00:00"/>
    <x v="233"/>
    <x v="2"/>
    <x v="1"/>
    <s v="Copiers"/>
    <s v="Product_178"/>
    <n v="3623.56"/>
    <n v="-371.18"/>
    <n v="0.13"/>
    <x v="0"/>
    <n v="-0.10243517424852908"/>
    <x v="3"/>
    <n v="2022"/>
  </r>
  <r>
    <s v="O00275"/>
    <d v="2022-02-02T00:00:00"/>
    <x v="234"/>
    <x v="2"/>
    <x v="2"/>
    <s v="Tables"/>
    <s v="Product_315"/>
    <n v="1023.55"/>
    <n v="-0.72"/>
    <n v="0.26"/>
    <x v="0"/>
    <n v="-7.0343412632504522E-4"/>
    <x v="10"/>
    <n v="2022"/>
  </r>
  <r>
    <s v="O00276"/>
    <d v="2023-09-05T00:00:00"/>
    <x v="55"/>
    <x v="0"/>
    <x v="2"/>
    <s v="Chairs"/>
    <s v="Product_126"/>
    <n v="1109.8"/>
    <n v="-232.9"/>
    <n v="0.03"/>
    <x v="0"/>
    <n v="-0.20985763200576682"/>
    <x v="7"/>
    <n v="2023"/>
  </r>
  <r>
    <s v="O00277"/>
    <d v="2022-02-27T00:00:00"/>
    <x v="235"/>
    <x v="3"/>
    <x v="0"/>
    <s v="Binders"/>
    <s v="Product_120"/>
    <n v="2071.1"/>
    <n v="-289.20999999999998"/>
    <n v="7.0000000000000007E-2"/>
    <x v="0"/>
    <n v="-0.13964077060499253"/>
    <x v="10"/>
    <n v="2022"/>
  </r>
  <r>
    <s v="O00278"/>
    <d v="2022-11-25T00:00:00"/>
    <x v="236"/>
    <x v="3"/>
    <x v="0"/>
    <s v="Storage"/>
    <s v="Product_449"/>
    <n v="1662.63"/>
    <n v="39.1"/>
    <n v="0.18"/>
    <x v="1"/>
    <n v="2.3516958072451476E-2"/>
    <x v="9"/>
    <n v="2022"/>
  </r>
  <r>
    <s v="O00279"/>
    <d v="2023-07-25T00:00:00"/>
    <x v="237"/>
    <x v="1"/>
    <x v="2"/>
    <s v="Bookcases"/>
    <s v="Product_321"/>
    <n v="2654.13"/>
    <n v="-411.15"/>
    <n v="0.12"/>
    <x v="0"/>
    <n v="-0.15490951837325223"/>
    <x v="2"/>
    <n v="2023"/>
  </r>
  <r>
    <s v="O00280"/>
    <d v="2023-10-21T00:00:00"/>
    <x v="238"/>
    <x v="2"/>
    <x v="0"/>
    <s v="Paper"/>
    <s v="Product_403"/>
    <n v="2823.67"/>
    <n v="-9.4600000000000009"/>
    <n v="0.01"/>
    <x v="0"/>
    <n v="-3.3502498521427791E-3"/>
    <x v="5"/>
    <n v="2023"/>
  </r>
  <r>
    <s v="O00281"/>
    <d v="2022-07-08T00:00:00"/>
    <x v="239"/>
    <x v="2"/>
    <x v="0"/>
    <s v="Paper"/>
    <s v="Product_124"/>
    <n v="3511.91"/>
    <n v="-491.9"/>
    <n v="0.12"/>
    <x v="0"/>
    <n v="-0.14006623176562041"/>
    <x v="2"/>
    <n v="2022"/>
  </r>
  <r>
    <s v="O00282"/>
    <d v="2022-03-01T00:00:00"/>
    <x v="240"/>
    <x v="2"/>
    <x v="2"/>
    <s v="Tables"/>
    <s v="Product_496"/>
    <n v="4301.95"/>
    <n v="162.68"/>
    <n v="0.04"/>
    <x v="1"/>
    <n v="3.7815409291135416E-2"/>
    <x v="6"/>
    <n v="2022"/>
  </r>
  <r>
    <s v="O00283"/>
    <d v="2022-12-05T00:00:00"/>
    <x v="241"/>
    <x v="0"/>
    <x v="1"/>
    <s v="Copiers"/>
    <s v="Product_473"/>
    <n v="2696.96"/>
    <n v="-450.4"/>
    <n v="0.12"/>
    <x v="0"/>
    <n v="-0.16700284765068818"/>
    <x v="4"/>
    <n v="2022"/>
  </r>
  <r>
    <s v="O00284"/>
    <d v="2022-10-02T00:00:00"/>
    <x v="242"/>
    <x v="0"/>
    <x v="1"/>
    <s v="Accessories"/>
    <s v="Product_448"/>
    <n v="553.07000000000005"/>
    <n v="-169.08"/>
    <n v="0.22"/>
    <x v="0"/>
    <n v="-0.305711754389137"/>
    <x v="5"/>
    <n v="2022"/>
  </r>
  <r>
    <s v="O00285"/>
    <d v="2022-08-11T00:00:00"/>
    <x v="243"/>
    <x v="1"/>
    <x v="2"/>
    <s v="Chairs"/>
    <s v="Product_446"/>
    <n v="4042.79"/>
    <n v="92.46"/>
    <n v="0.18"/>
    <x v="1"/>
    <n v="2.2870344489820147E-2"/>
    <x v="3"/>
    <n v="2022"/>
  </r>
  <r>
    <s v="O00286"/>
    <d v="2022-05-01T00:00:00"/>
    <x v="122"/>
    <x v="2"/>
    <x v="1"/>
    <s v="Accessories"/>
    <s v="Product_469"/>
    <n v="4789.3999999999996"/>
    <n v="1735.18"/>
    <n v="0"/>
    <x v="1"/>
    <n v="0.36229590345345974"/>
    <x v="11"/>
    <n v="2022"/>
  </r>
  <r>
    <s v="O00287"/>
    <d v="2023-07-20T00:00:00"/>
    <x v="244"/>
    <x v="3"/>
    <x v="2"/>
    <s v="Bookcases"/>
    <s v="Product_195"/>
    <n v="3061.57"/>
    <n v="885.03"/>
    <n v="0.06"/>
    <x v="1"/>
    <n v="0.28907717282309403"/>
    <x v="2"/>
    <n v="2023"/>
  </r>
  <r>
    <s v="O00288"/>
    <d v="2023-05-25T00:00:00"/>
    <x v="245"/>
    <x v="0"/>
    <x v="1"/>
    <s v="Copiers"/>
    <s v="Product_412"/>
    <n v="3278.73"/>
    <n v="-243.33"/>
    <n v="0.09"/>
    <x v="0"/>
    <n v="-7.4214711183903534E-2"/>
    <x v="11"/>
    <n v="2023"/>
  </r>
  <r>
    <s v="O00289"/>
    <d v="2022-11-17T00:00:00"/>
    <x v="213"/>
    <x v="0"/>
    <x v="0"/>
    <s v="Paper"/>
    <s v="Product_289"/>
    <n v="3831.98"/>
    <n v="-682.57"/>
    <n v="0.1"/>
    <x v="0"/>
    <n v="-0.17812462486756195"/>
    <x v="9"/>
    <n v="2022"/>
  </r>
  <r>
    <s v="O00290"/>
    <d v="2023-08-17T00:00:00"/>
    <x v="194"/>
    <x v="2"/>
    <x v="2"/>
    <s v="Bookcases"/>
    <s v="Product_152"/>
    <n v="815.02"/>
    <n v="228.9"/>
    <n v="0.08"/>
    <x v="1"/>
    <n v="0.28085200363181273"/>
    <x v="3"/>
    <n v="2023"/>
  </r>
  <r>
    <s v="O00291"/>
    <d v="2023-05-27T00:00:00"/>
    <x v="246"/>
    <x v="3"/>
    <x v="2"/>
    <s v="Chairs"/>
    <s v="Product_132"/>
    <n v="1716.34"/>
    <n v="326.13"/>
    <n v="0.11"/>
    <x v="1"/>
    <n v="0.19001479893261242"/>
    <x v="11"/>
    <n v="2023"/>
  </r>
  <r>
    <s v="O00292"/>
    <d v="2022-12-27T00:00:00"/>
    <x v="247"/>
    <x v="1"/>
    <x v="1"/>
    <s v="Copiers"/>
    <s v="Product_369"/>
    <n v="3244.3"/>
    <n v="-808.02"/>
    <n v="0.15"/>
    <x v="0"/>
    <n v="-0.24905834848811761"/>
    <x v="4"/>
    <n v="2022"/>
  </r>
  <r>
    <s v="O00293"/>
    <d v="2022-03-02T00:00:00"/>
    <x v="174"/>
    <x v="0"/>
    <x v="0"/>
    <s v="Paper"/>
    <s v="Product_430"/>
    <n v="1001.83"/>
    <n v="124.42"/>
    <n v="0.27"/>
    <x v="1"/>
    <n v="0.12419272730902448"/>
    <x v="6"/>
    <n v="2022"/>
  </r>
  <r>
    <s v="O00294"/>
    <d v="2023-10-08T00:00:00"/>
    <x v="248"/>
    <x v="0"/>
    <x v="2"/>
    <s v="Bookcases"/>
    <s v="Product_363"/>
    <n v="337.72"/>
    <n v="-39.68"/>
    <n v="0"/>
    <x v="0"/>
    <n v="-0.11749378183110268"/>
    <x v="5"/>
    <n v="2023"/>
  </r>
  <r>
    <s v="O00295"/>
    <d v="2023-10-16T00:00:00"/>
    <x v="249"/>
    <x v="2"/>
    <x v="2"/>
    <s v="Chairs"/>
    <s v="Product_338"/>
    <n v="1171.73"/>
    <n v="-355.89"/>
    <n v="0.14000000000000001"/>
    <x v="0"/>
    <n v="-0.30373038157254656"/>
    <x v="5"/>
    <n v="2023"/>
  </r>
  <r>
    <s v="O00296"/>
    <d v="2023-06-27T00:00:00"/>
    <x v="250"/>
    <x v="3"/>
    <x v="1"/>
    <s v="Phones"/>
    <s v="Product_275"/>
    <n v="132.4"/>
    <n v="-48.05"/>
    <n v="0.17"/>
    <x v="0"/>
    <n v="-0.36291540785498488"/>
    <x v="8"/>
    <n v="2023"/>
  </r>
  <r>
    <s v="O00297"/>
    <d v="2022-07-03T00:00:00"/>
    <x v="251"/>
    <x v="0"/>
    <x v="1"/>
    <s v="Phones"/>
    <s v="Product_269"/>
    <n v="2560.86"/>
    <n v="-388.37"/>
    <n v="0.21"/>
    <x v="0"/>
    <n v="-0.15165608428418578"/>
    <x v="2"/>
    <n v="2022"/>
  </r>
  <r>
    <s v="O00298"/>
    <d v="2022-10-01T00:00:00"/>
    <x v="252"/>
    <x v="0"/>
    <x v="2"/>
    <s v="Chairs"/>
    <s v="Product_192"/>
    <n v="1040.47"/>
    <n v="134.35"/>
    <n v="0.16"/>
    <x v="1"/>
    <n v="0.12912433803953982"/>
    <x v="5"/>
    <n v="2022"/>
  </r>
  <r>
    <s v="O00299"/>
    <d v="2023-12-02T00:00:00"/>
    <x v="62"/>
    <x v="0"/>
    <x v="1"/>
    <s v="Accessories"/>
    <s v="Product_48"/>
    <n v="2868.51"/>
    <n v="-1045.53"/>
    <n v="0.3"/>
    <x v="0"/>
    <n v="-0.36448539485656312"/>
    <x v="4"/>
    <n v="2023"/>
  </r>
  <r>
    <s v="O00300"/>
    <d v="2023-12-21T00:00:00"/>
    <x v="253"/>
    <x v="0"/>
    <x v="1"/>
    <s v="Accessories"/>
    <s v="Product_256"/>
    <n v="1948.13"/>
    <n v="81.92"/>
    <n v="0.14000000000000001"/>
    <x v="1"/>
    <n v="4.2050581840020938E-2"/>
    <x v="4"/>
    <n v="2023"/>
  </r>
  <r>
    <s v="O00301"/>
    <d v="2022-04-08T00:00:00"/>
    <x v="171"/>
    <x v="0"/>
    <x v="1"/>
    <s v="Copiers"/>
    <s v="Product_118"/>
    <n v="3943.44"/>
    <n v="570.91999999999996"/>
    <n v="0.17"/>
    <x v="1"/>
    <n v="0.14477714888523724"/>
    <x v="0"/>
    <n v="2022"/>
  </r>
  <r>
    <s v="O00302"/>
    <d v="2022-03-18T00:00:00"/>
    <x v="110"/>
    <x v="3"/>
    <x v="2"/>
    <s v="Bookcases"/>
    <s v="Product_461"/>
    <n v="4449.0200000000004"/>
    <n v="-1388.37"/>
    <n v="0.14000000000000001"/>
    <x v="0"/>
    <n v="-0.31206198218933601"/>
    <x v="6"/>
    <n v="2022"/>
  </r>
  <r>
    <s v="O00303"/>
    <d v="2022-01-17T00:00:00"/>
    <x v="254"/>
    <x v="1"/>
    <x v="0"/>
    <s v="Storage"/>
    <s v="Product_386"/>
    <n v="3324.74"/>
    <n v="865.29"/>
    <n v="0.05"/>
    <x v="1"/>
    <n v="0.26025794498216404"/>
    <x v="1"/>
    <n v="2022"/>
  </r>
  <r>
    <s v="O00304"/>
    <d v="2023-08-04T00:00:00"/>
    <x v="255"/>
    <x v="3"/>
    <x v="0"/>
    <s v="Paper"/>
    <s v="Product_197"/>
    <n v="4651.49"/>
    <n v="225.02"/>
    <n v="0.09"/>
    <x v="1"/>
    <n v="4.8375896755663242E-2"/>
    <x v="3"/>
    <n v="2023"/>
  </r>
  <r>
    <s v="O00305"/>
    <d v="2022-12-21T00:00:00"/>
    <x v="256"/>
    <x v="0"/>
    <x v="0"/>
    <s v="Binders"/>
    <s v="Product_224"/>
    <n v="3973.44"/>
    <n v="-1442.13"/>
    <n v="0.21"/>
    <x v="0"/>
    <n v="-0.36294243778690505"/>
    <x v="4"/>
    <n v="2022"/>
  </r>
  <r>
    <s v="O00306"/>
    <d v="2023-02-11T00:00:00"/>
    <x v="257"/>
    <x v="3"/>
    <x v="2"/>
    <s v="Chairs"/>
    <s v="Product_16"/>
    <n v="1768.9"/>
    <n v="252.8"/>
    <n v="0.23"/>
    <x v="1"/>
    <n v="0.142913675165357"/>
    <x v="10"/>
    <n v="2023"/>
  </r>
  <r>
    <s v="O00307"/>
    <d v="2023-07-21T00:00:00"/>
    <x v="71"/>
    <x v="2"/>
    <x v="0"/>
    <s v="Paper"/>
    <s v="Product_96"/>
    <n v="3939.39"/>
    <n v="-800.16"/>
    <n v="0.14000000000000001"/>
    <x v="0"/>
    <n v="-0.20311774157928003"/>
    <x v="2"/>
    <n v="2023"/>
  </r>
  <r>
    <s v="O00308"/>
    <d v="2022-09-10T00:00:00"/>
    <x v="258"/>
    <x v="0"/>
    <x v="0"/>
    <s v="Storage"/>
    <s v="Product_43"/>
    <n v="3337.29"/>
    <n v="471.12"/>
    <n v="0.03"/>
    <x v="1"/>
    <n v="0.14116843306994598"/>
    <x v="7"/>
    <n v="2022"/>
  </r>
  <r>
    <s v="O00309"/>
    <d v="2023-02-03T00:00:00"/>
    <x v="259"/>
    <x v="3"/>
    <x v="1"/>
    <s v="Phones"/>
    <s v="Product_55"/>
    <n v="1962"/>
    <n v="-681.67"/>
    <n v="0.24"/>
    <x v="0"/>
    <n v="-0.34743628950050964"/>
    <x v="10"/>
    <n v="2023"/>
  </r>
  <r>
    <s v="O00310"/>
    <d v="2022-04-15T00:00:00"/>
    <x v="260"/>
    <x v="0"/>
    <x v="2"/>
    <s v="Chairs"/>
    <s v="Product_96"/>
    <n v="4720.51"/>
    <n v="598.6"/>
    <n v="0.13"/>
    <x v="1"/>
    <n v="0.12680833215055154"/>
    <x v="0"/>
    <n v="2022"/>
  </r>
  <r>
    <s v="O00311"/>
    <d v="2022-04-02T00:00:00"/>
    <x v="261"/>
    <x v="0"/>
    <x v="1"/>
    <s v="Accessories"/>
    <s v="Product_306"/>
    <n v="2829.23"/>
    <n v="-814.89"/>
    <n v="0.15"/>
    <x v="0"/>
    <n v="-0.28802536379156163"/>
    <x v="0"/>
    <n v="2022"/>
  </r>
  <r>
    <s v="O00312"/>
    <d v="2022-03-28T00:00:00"/>
    <x v="262"/>
    <x v="1"/>
    <x v="0"/>
    <s v="Paper"/>
    <s v="Product_293"/>
    <n v="4332.22"/>
    <n v="209.19"/>
    <n v="0"/>
    <x v="1"/>
    <n v="4.8287021434737842E-2"/>
    <x v="6"/>
    <n v="2022"/>
  </r>
  <r>
    <s v="O00313"/>
    <d v="2022-10-02T00:00:00"/>
    <x v="263"/>
    <x v="1"/>
    <x v="0"/>
    <s v="Binders"/>
    <s v="Product_33"/>
    <n v="3458.05"/>
    <n v="-306.55"/>
    <n v="0.05"/>
    <x v="0"/>
    <n v="-8.8648226601697494E-2"/>
    <x v="5"/>
    <n v="2022"/>
  </r>
  <r>
    <s v="O00314"/>
    <d v="2023-01-05T00:00:00"/>
    <x v="264"/>
    <x v="1"/>
    <x v="2"/>
    <s v="Tables"/>
    <s v="Product_370"/>
    <n v="1452.21"/>
    <n v="260.82"/>
    <n v="0.09"/>
    <x v="1"/>
    <n v="0.17960212365980127"/>
    <x v="1"/>
    <n v="2023"/>
  </r>
  <r>
    <s v="O00315"/>
    <d v="2022-11-08T00:00:00"/>
    <x v="265"/>
    <x v="2"/>
    <x v="0"/>
    <s v="Paper"/>
    <s v="Product_171"/>
    <n v="3009.65"/>
    <n v="-589.34"/>
    <n v="0.06"/>
    <x v="0"/>
    <n v="-0.19581678932766269"/>
    <x v="9"/>
    <n v="2022"/>
  </r>
  <r>
    <s v="O00316"/>
    <d v="2023-10-29T00:00:00"/>
    <x v="266"/>
    <x v="1"/>
    <x v="0"/>
    <s v="Paper"/>
    <s v="Product_154"/>
    <n v="4039.97"/>
    <n v="-400.6"/>
    <n v="0.1"/>
    <x v="0"/>
    <n v="-9.9159152171922074E-2"/>
    <x v="5"/>
    <n v="2023"/>
  </r>
  <r>
    <s v="O00317"/>
    <d v="2023-02-12T00:00:00"/>
    <x v="267"/>
    <x v="3"/>
    <x v="1"/>
    <s v="Copiers"/>
    <s v="Product_377"/>
    <n v="4741.67"/>
    <n v="-338.98"/>
    <n v="0.06"/>
    <x v="0"/>
    <n v="-7.1489580675162978E-2"/>
    <x v="10"/>
    <n v="2023"/>
  </r>
  <r>
    <s v="O00318"/>
    <d v="2023-01-21T00:00:00"/>
    <x v="268"/>
    <x v="2"/>
    <x v="0"/>
    <s v="Storage"/>
    <s v="Product_187"/>
    <n v="2505.94"/>
    <n v="-562.70000000000005"/>
    <n v="0.17"/>
    <x v="0"/>
    <n v="-0.22454647756929536"/>
    <x v="1"/>
    <n v="2023"/>
  </r>
  <r>
    <s v="O00319"/>
    <d v="2023-07-18T00:00:00"/>
    <x v="269"/>
    <x v="2"/>
    <x v="2"/>
    <s v="Bookcases"/>
    <s v="Product_483"/>
    <n v="1079.02"/>
    <n v="-423.02"/>
    <n v="0.3"/>
    <x v="0"/>
    <n v="-0.39204092602546753"/>
    <x v="2"/>
    <n v="2023"/>
  </r>
  <r>
    <s v="O00320"/>
    <d v="2023-02-23T00:00:00"/>
    <x v="270"/>
    <x v="2"/>
    <x v="0"/>
    <s v="Binders"/>
    <s v="Product_72"/>
    <n v="2248.4299999999998"/>
    <n v="282.63"/>
    <n v="0.09"/>
    <x v="1"/>
    <n v="0.12570104472898869"/>
    <x v="10"/>
    <n v="2023"/>
  </r>
  <r>
    <s v="O00321"/>
    <d v="2023-01-22T00:00:00"/>
    <x v="190"/>
    <x v="2"/>
    <x v="0"/>
    <s v="Paper"/>
    <s v="Product_307"/>
    <n v="1285.9000000000001"/>
    <n v="37.47"/>
    <n v="0.2"/>
    <x v="1"/>
    <n v="2.9139124348705185E-2"/>
    <x v="1"/>
    <n v="2023"/>
  </r>
  <r>
    <s v="O00322"/>
    <d v="2023-12-10T00:00:00"/>
    <x v="166"/>
    <x v="0"/>
    <x v="1"/>
    <s v="Copiers"/>
    <s v="Product_405"/>
    <n v="2063.94"/>
    <n v="417.4"/>
    <n v="0.15"/>
    <x v="1"/>
    <n v="0.20223456108220197"/>
    <x v="4"/>
    <n v="2023"/>
  </r>
  <r>
    <s v="O00323"/>
    <d v="2022-03-29T00:00:00"/>
    <x v="271"/>
    <x v="1"/>
    <x v="1"/>
    <s v="Copiers"/>
    <s v="Product_337"/>
    <n v="4487.96"/>
    <n v="102.81"/>
    <n v="0.16"/>
    <x v="1"/>
    <n v="2.2907958181445469E-2"/>
    <x v="6"/>
    <n v="2022"/>
  </r>
  <r>
    <s v="O00324"/>
    <d v="2023-10-23T00:00:00"/>
    <x v="272"/>
    <x v="2"/>
    <x v="0"/>
    <s v="Paper"/>
    <s v="Product_496"/>
    <n v="915.06"/>
    <n v="-38.49"/>
    <n v="0.18"/>
    <x v="0"/>
    <n v="-4.2062815553078489E-2"/>
    <x v="5"/>
    <n v="2023"/>
  </r>
  <r>
    <s v="O00325"/>
    <d v="2023-06-16T00:00:00"/>
    <x v="273"/>
    <x v="1"/>
    <x v="1"/>
    <s v="Accessories"/>
    <s v="Product_229"/>
    <n v="619.13"/>
    <n v="-59.93"/>
    <n v="0.03"/>
    <x v="0"/>
    <n v="-9.6797118537302343E-2"/>
    <x v="8"/>
    <n v="2023"/>
  </r>
  <r>
    <s v="O00326"/>
    <d v="2022-06-04T00:00:00"/>
    <x v="274"/>
    <x v="0"/>
    <x v="1"/>
    <s v="Accessories"/>
    <s v="Product_248"/>
    <n v="2369.0100000000002"/>
    <n v="33.79"/>
    <n v="0.2"/>
    <x v="1"/>
    <n v="1.4263342071160525E-2"/>
    <x v="8"/>
    <n v="2022"/>
  </r>
  <r>
    <s v="O00327"/>
    <d v="2022-05-26T00:00:00"/>
    <x v="275"/>
    <x v="3"/>
    <x v="2"/>
    <s v="Tables"/>
    <s v="Product_176"/>
    <n v="2138.2800000000002"/>
    <n v="-898.84"/>
    <n v="0.28999999999999998"/>
    <x v="0"/>
    <n v="-0.42035654825373664"/>
    <x v="11"/>
    <n v="2022"/>
  </r>
  <r>
    <s v="O00328"/>
    <d v="2023-12-15T00:00:00"/>
    <x v="276"/>
    <x v="3"/>
    <x v="1"/>
    <s v="Phones"/>
    <s v="Product_35"/>
    <n v="2653.46"/>
    <n v="-640.61"/>
    <n v="0.1"/>
    <x v="0"/>
    <n v="-0.24142440436260582"/>
    <x v="4"/>
    <n v="2023"/>
  </r>
  <r>
    <s v="O00329"/>
    <d v="2023-10-26T00:00:00"/>
    <x v="271"/>
    <x v="1"/>
    <x v="1"/>
    <s v="Phones"/>
    <s v="Product_477"/>
    <n v="4069.91"/>
    <n v="1137.57"/>
    <n v="0.03"/>
    <x v="1"/>
    <n v="0.27950740925475009"/>
    <x v="5"/>
    <n v="2023"/>
  </r>
  <r>
    <s v="O00330"/>
    <d v="2023-03-13T00:00:00"/>
    <x v="227"/>
    <x v="1"/>
    <x v="0"/>
    <s v="Binders"/>
    <s v="Product_409"/>
    <n v="2628.37"/>
    <n v="-450.52"/>
    <n v="0.17"/>
    <x v="0"/>
    <n v="-0.17140661322416556"/>
    <x v="6"/>
    <n v="2023"/>
  </r>
  <r>
    <s v="O00331"/>
    <d v="2022-01-30T00:00:00"/>
    <x v="277"/>
    <x v="1"/>
    <x v="1"/>
    <s v="Copiers"/>
    <s v="Product_231"/>
    <n v="1003.81"/>
    <n v="-131.22"/>
    <n v="0.19"/>
    <x v="0"/>
    <n v="-0.13072194937288931"/>
    <x v="1"/>
    <n v="2022"/>
  </r>
  <r>
    <s v="O00332"/>
    <d v="2023-12-22T00:00:00"/>
    <x v="177"/>
    <x v="0"/>
    <x v="0"/>
    <s v="Paper"/>
    <s v="Product_410"/>
    <n v="2005.3"/>
    <n v="-574.58000000000004"/>
    <n v="0.21"/>
    <x v="0"/>
    <n v="-0.28653069366179629"/>
    <x v="4"/>
    <n v="2023"/>
  </r>
  <r>
    <s v="O00333"/>
    <d v="2023-11-18T00:00:00"/>
    <x v="278"/>
    <x v="3"/>
    <x v="0"/>
    <s v="Binders"/>
    <s v="Product_306"/>
    <n v="1892.39"/>
    <n v="-362.63"/>
    <n v="0.06"/>
    <x v="0"/>
    <n v="-0.19162540491124977"/>
    <x v="9"/>
    <n v="2023"/>
  </r>
  <r>
    <s v="O00334"/>
    <d v="2023-04-14T00:00:00"/>
    <x v="279"/>
    <x v="1"/>
    <x v="1"/>
    <s v="Copiers"/>
    <s v="Product_417"/>
    <n v="2023.47"/>
    <n v="-38.06"/>
    <n v="0.03"/>
    <x v="0"/>
    <n v="-1.8809273179241602E-2"/>
    <x v="0"/>
    <n v="2023"/>
  </r>
  <r>
    <s v="O00335"/>
    <d v="2023-11-20T00:00:00"/>
    <x v="280"/>
    <x v="3"/>
    <x v="0"/>
    <s v="Storage"/>
    <s v="Product_61"/>
    <n v="4023.01"/>
    <n v="-506.49"/>
    <n v="0.28000000000000003"/>
    <x v="0"/>
    <n v="-0.12589827020067063"/>
    <x v="9"/>
    <n v="2023"/>
  </r>
  <r>
    <s v="O00336"/>
    <d v="2023-02-02T00:00:00"/>
    <x v="166"/>
    <x v="1"/>
    <x v="2"/>
    <s v="Tables"/>
    <s v="Product_295"/>
    <n v="673.05"/>
    <n v="-151.56"/>
    <n v="0.11"/>
    <x v="0"/>
    <n v="-0.22518386449743705"/>
    <x v="10"/>
    <n v="2023"/>
  </r>
  <r>
    <s v="O00337"/>
    <d v="2023-10-23T00:00:00"/>
    <x v="154"/>
    <x v="1"/>
    <x v="1"/>
    <s v="Accessories"/>
    <s v="Product_251"/>
    <n v="1010.19"/>
    <n v="26.33"/>
    <n v="0.19"/>
    <x v="1"/>
    <n v="2.6064403726031735E-2"/>
    <x v="5"/>
    <n v="2023"/>
  </r>
  <r>
    <s v="O00338"/>
    <d v="2023-01-03T00:00:00"/>
    <x v="281"/>
    <x v="2"/>
    <x v="1"/>
    <s v="Phones"/>
    <s v="Product_70"/>
    <n v="1016.78"/>
    <n v="-79.67"/>
    <n v="0.25"/>
    <x v="0"/>
    <n v="-7.8355199748224788E-2"/>
    <x v="1"/>
    <n v="2023"/>
  </r>
  <r>
    <s v="O00339"/>
    <d v="2023-12-03T00:00:00"/>
    <x v="282"/>
    <x v="2"/>
    <x v="2"/>
    <s v="Tables"/>
    <s v="Product_364"/>
    <n v="4822.76"/>
    <n v="-255.69"/>
    <n v="0.15"/>
    <x v="0"/>
    <n v="-5.3017359354394576E-2"/>
    <x v="4"/>
    <n v="2023"/>
  </r>
  <r>
    <s v="O00340"/>
    <d v="2022-08-14T00:00:00"/>
    <x v="283"/>
    <x v="0"/>
    <x v="1"/>
    <s v="Accessories"/>
    <s v="Product_141"/>
    <n v="919.54"/>
    <n v="98.88"/>
    <n v="0.17"/>
    <x v="1"/>
    <n v="0.10753202688300673"/>
    <x v="3"/>
    <n v="2022"/>
  </r>
  <r>
    <s v="O00341"/>
    <d v="2023-05-23T00:00:00"/>
    <x v="284"/>
    <x v="0"/>
    <x v="2"/>
    <s v="Bookcases"/>
    <s v="Product_294"/>
    <n v="1514.48"/>
    <n v="-137.22999999999999"/>
    <n v="0.23"/>
    <x v="0"/>
    <n v="-9.0611959220326443E-2"/>
    <x v="11"/>
    <n v="2023"/>
  </r>
  <r>
    <s v="O00342"/>
    <d v="2022-02-12T00:00:00"/>
    <x v="18"/>
    <x v="2"/>
    <x v="2"/>
    <s v="Tables"/>
    <s v="Product_280"/>
    <n v="3898.05"/>
    <n v="-896.1"/>
    <n v="0.25"/>
    <x v="0"/>
    <n v="-0.2298841728556586"/>
    <x v="10"/>
    <n v="2022"/>
  </r>
  <r>
    <s v="O00343"/>
    <d v="2022-11-01T00:00:00"/>
    <x v="285"/>
    <x v="2"/>
    <x v="2"/>
    <s v="Tables"/>
    <s v="Product_135"/>
    <n v="601.84"/>
    <n v="0.49"/>
    <n v="0.25"/>
    <x v="1"/>
    <n v="8.1416987903761787E-4"/>
    <x v="9"/>
    <n v="2022"/>
  </r>
  <r>
    <s v="O00344"/>
    <d v="2022-08-31T00:00:00"/>
    <x v="286"/>
    <x v="3"/>
    <x v="1"/>
    <s v="Phones"/>
    <s v="Product_441"/>
    <n v="2251.44"/>
    <n v="-77.95"/>
    <n v="0.3"/>
    <x v="0"/>
    <n v="-3.4622286181288417E-2"/>
    <x v="3"/>
    <n v="2022"/>
  </r>
  <r>
    <s v="O00345"/>
    <d v="2022-07-31T00:00:00"/>
    <x v="287"/>
    <x v="0"/>
    <x v="0"/>
    <s v="Storage"/>
    <s v="Product_292"/>
    <n v="3200.58"/>
    <n v="-532.77"/>
    <n v="0.05"/>
    <x v="0"/>
    <n v="-0.16646045404270476"/>
    <x v="2"/>
    <n v="2022"/>
  </r>
  <r>
    <s v="O00346"/>
    <d v="2023-12-22T00:00:00"/>
    <x v="283"/>
    <x v="3"/>
    <x v="1"/>
    <s v="Copiers"/>
    <s v="Product_294"/>
    <n v="1477.32"/>
    <n v="-244.95"/>
    <n v="0.16"/>
    <x v="0"/>
    <n v="-0.1658070018682479"/>
    <x v="4"/>
    <n v="2023"/>
  </r>
  <r>
    <s v="O00347"/>
    <d v="2023-02-26T00:00:00"/>
    <x v="28"/>
    <x v="3"/>
    <x v="1"/>
    <s v="Copiers"/>
    <s v="Product_444"/>
    <n v="4928.8900000000003"/>
    <n v="-1689.94"/>
    <n v="0.2"/>
    <x v="0"/>
    <n v="-0.34286421486379287"/>
    <x v="10"/>
    <n v="2023"/>
  </r>
  <r>
    <s v="O00348"/>
    <d v="2022-11-26T00:00:00"/>
    <x v="233"/>
    <x v="2"/>
    <x v="0"/>
    <s v="Binders"/>
    <s v="Product_251"/>
    <n v="3536.99"/>
    <n v="-538.52"/>
    <n v="0.04"/>
    <x v="0"/>
    <n v="-0.15225375248445713"/>
    <x v="9"/>
    <n v="2022"/>
  </r>
  <r>
    <s v="O00349"/>
    <d v="2022-03-19T00:00:00"/>
    <x v="288"/>
    <x v="0"/>
    <x v="2"/>
    <s v="Bookcases"/>
    <s v="Product_207"/>
    <n v="3198.77"/>
    <n v="-527.47"/>
    <n v="0.19"/>
    <x v="0"/>
    <n v="-0.16489775757556813"/>
    <x v="6"/>
    <n v="2022"/>
  </r>
  <r>
    <s v="O00350"/>
    <d v="2023-05-15T00:00:00"/>
    <x v="67"/>
    <x v="0"/>
    <x v="0"/>
    <s v="Storage"/>
    <s v="Product_445"/>
    <n v="1463.31"/>
    <n v="-378.35"/>
    <n v="0.28000000000000003"/>
    <x v="0"/>
    <n v="-0.25855765353889471"/>
    <x v="11"/>
    <n v="2023"/>
  </r>
  <r>
    <s v="O00351"/>
    <d v="2023-01-02T00:00:00"/>
    <x v="177"/>
    <x v="2"/>
    <x v="0"/>
    <s v="Binders"/>
    <s v="Product_112"/>
    <n v="3681.57"/>
    <n v="215.32"/>
    <n v="0.14000000000000001"/>
    <x v="1"/>
    <n v="5.8485917692723481E-2"/>
    <x v="1"/>
    <n v="2023"/>
  </r>
  <r>
    <s v="O00352"/>
    <d v="2023-07-15T00:00:00"/>
    <x v="289"/>
    <x v="1"/>
    <x v="1"/>
    <s v="Phones"/>
    <s v="Product_290"/>
    <n v="2524.1"/>
    <n v="-327.74"/>
    <n v="0.1"/>
    <x v="0"/>
    <n v="-0.12984430093894855"/>
    <x v="2"/>
    <n v="2023"/>
  </r>
  <r>
    <s v="O00353"/>
    <d v="2023-10-04T00:00:00"/>
    <x v="290"/>
    <x v="0"/>
    <x v="1"/>
    <s v="Accessories"/>
    <s v="Product_64"/>
    <n v="4481.3599999999997"/>
    <n v="-1803.45"/>
    <n v="0.23"/>
    <x v="0"/>
    <n v="-0.40243363621757683"/>
    <x v="5"/>
    <n v="2023"/>
  </r>
  <r>
    <s v="O00354"/>
    <d v="2023-12-07T00:00:00"/>
    <x v="260"/>
    <x v="3"/>
    <x v="2"/>
    <s v="Tables"/>
    <s v="Product_82"/>
    <n v="2336.94"/>
    <n v="-568.63"/>
    <n v="0.3"/>
    <x v="0"/>
    <n v="-0.24332246441928332"/>
    <x v="4"/>
    <n v="2023"/>
  </r>
  <r>
    <s v="O00355"/>
    <d v="2023-10-27T00:00:00"/>
    <x v="291"/>
    <x v="0"/>
    <x v="1"/>
    <s v="Phones"/>
    <s v="Product_203"/>
    <n v="3307.48"/>
    <n v="-188.17"/>
    <n v="0.08"/>
    <x v="0"/>
    <n v="-5.6892256340174391E-2"/>
    <x v="5"/>
    <n v="2023"/>
  </r>
  <r>
    <s v="O00356"/>
    <d v="2022-04-04T00:00:00"/>
    <x v="292"/>
    <x v="0"/>
    <x v="0"/>
    <s v="Paper"/>
    <s v="Product_1"/>
    <n v="3657.34"/>
    <n v="-630.75"/>
    <n v="0.23"/>
    <x v="0"/>
    <n v="-0.17246140637731247"/>
    <x v="0"/>
    <n v="2022"/>
  </r>
  <r>
    <s v="O00357"/>
    <d v="2023-04-01T00:00:00"/>
    <x v="281"/>
    <x v="0"/>
    <x v="2"/>
    <s v="Tables"/>
    <s v="Product_357"/>
    <n v="481.9"/>
    <n v="-32.93"/>
    <n v="0.18"/>
    <x v="0"/>
    <n v="-6.8333679186553226E-2"/>
    <x v="0"/>
    <n v="2023"/>
  </r>
  <r>
    <s v="O00358"/>
    <d v="2022-03-14T00:00:00"/>
    <x v="293"/>
    <x v="2"/>
    <x v="1"/>
    <s v="Phones"/>
    <s v="Product_46"/>
    <n v="4941.96"/>
    <n v="-1238.92"/>
    <n v="0.13"/>
    <x v="0"/>
    <n v="-0.25069405660911864"/>
    <x v="6"/>
    <n v="2022"/>
  </r>
  <r>
    <s v="O00359"/>
    <d v="2023-01-27T00:00:00"/>
    <x v="257"/>
    <x v="1"/>
    <x v="0"/>
    <s v="Binders"/>
    <s v="Product_329"/>
    <n v="605.69000000000005"/>
    <n v="-79.010000000000005"/>
    <n v="0.11"/>
    <x v="0"/>
    <n v="-0.13044626789281646"/>
    <x v="1"/>
    <n v="2023"/>
  </r>
  <r>
    <s v="O00360"/>
    <d v="2022-06-18T00:00:00"/>
    <x v="294"/>
    <x v="3"/>
    <x v="0"/>
    <s v="Binders"/>
    <s v="Product_370"/>
    <n v="435.22"/>
    <n v="-1.66"/>
    <n v="0.17"/>
    <x v="0"/>
    <n v="-3.8141629520702168E-3"/>
    <x v="8"/>
    <n v="2022"/>
  </r>
  <r>
    <s v="O00361"/>
    <d v="2023-03-30T00:00:00"/>
    <x v="295"/>
    <x v="0"/>
    <x v="2"/>
    <s v="Bookcases"/>
    <s v="Product_460"/>
    <n v="3766.52"/>
    <n v="-415.65"/>
    <n v="0.28000000000000003"/>
    <x v="0"/>
    <n v="-0.11035385448636938"/>
    <x v="6"/>
    <n v="2023"/>
  </r>
  <r>
    <s v="O00362"/>
    <d v="2023-03-16T00:00:00"/>
    <x v="296"/>
    <x v="1"/>
    <x v="2"/>
    <s v="Chairs"/>
    <s v="Product_127"/>
    <n v="3786.98"/>
    <n v="-566.46"/>
    <n v="0.18"/>
    <x v="0"/>
    <n v="-0.14958093256367871"/>
    <x v="6"/>
    <n v="2023"/>
  </r>
  <r>
    <s v="O00363"/>
    <d v="2023-09-15T00:00:00"/>
    <x v="36"/>
    <x v="0"/>
    <x v="1"/>
    <s v="Copiers"/>
    <s v="Product_435"/>
    <n v="512.82000000000005"/>
    <n v="-5.13"/>
    <n v="0.17"/>
    <x v="0"/>
    <n v="-1.0003510003510001E-2"/>
    <x v="7"/>
    <n v="2023"/>
  </r>
  <r>
    <s v="O00364"/>
    <d v="2023-02-06T00:00:00"/>
    <x v="117"/>
    <x v="0"/>
    <x v="0"/>
    <s v="Paper"/>
    <s v="Product_402"/>
    <n v="1106.68"/>
    <n v="-295.27999999999997"/>
    <n v="0.18"/>
    <x v="0"/>
    <n v="-0.26681606245707878"/>
    <x v="10"/>
    <n v="2023"/>
  </r>
  <r>
    <s v="O00365"/>
    <d v="2022-03-14T00:00:00"/>
    <x v="171"/>
    <x v="0"/>
    <x v="2"/>
    <s v="Tables"/>
    <s v="Product_185"/>
    <n v="1990.84"/>
    <n v="224.67"/>
    <n v="7.0000000000000007E-2"/>
    <x v="1"/>
    <n v="0.11285186152578811"/>
    <x v="6"/>
    <n v="2022"/>
  </r>
  <r>
    <s v="O00366"/>
    <d v="2023-07-14T00:00:00"/>
    <x v="7"/>
    <x v="1"/>
    <x v="1"/>
    <s v="Phones"/>
    <s v="Product_391"/>
    <n v="1995.51"/>
    <n v="-394.08"/>
    <n v="0.25"/>
    <x v="0"/>
    <n v="-0.19748335012102169"/>
    <x v="2"/>
    <n v="2023"/>
  </r>
  <r>
    <s v="O00367"/>
    <d v="2022-02-10T00:00:00"/>
    <x v="86"/>
    <x v="2"/>
    <x v="1"/>
    <s v="Phones"/>
    <s v="Product_260"/>
    <n v="181.78"/>
    <n v="-11.4"/>
    <n v="0.02"/>
    <x v="0"/>
    <n v="-6.2713169765650792E-2"/>
    <x v="10"/>
    <n v="2022"/>
  </r>
  <r>
    <s v="O00368"/>
    <d v="2023-02-16T00:00:00"/>
    <x v="297"/>
    <x v="1"/>
    <x v="1"/>
    <s v="Copiers"/>
    <s v="Product_143"/>
    <n v="3591.88"/>
    <n v="-631.65"/>
    <n v="0.23"/>
    <x v="0"/>
    <n v="-0.17585498401951066"/>
    <x v="10"/>
    <n v="2023"/>
  </r>
  <r>
    <s v="O00369"/>
    <d v="2022-06-09T00:00:00"/>
    <x v="226"/>
    <x v="3"/>
    <x v="2"/>
    <s v="Tables"/>
    <s v="Product_201"/>
    <n v="487.21"/>
    <n v="50.96"/>
    <n v="0.28000000000000003"/>
    <x v="1"/>
    <n v="0.10459555427844257"/>
    <x v="8"/>
    <n v="2022"/>
  </r>
  <r>
    <s v="O00370"/>
    <d v="2022-11-14T00:00:00"/>
    <x v="161"/>
    <x v="2"/>
    <x v="0"/>
    <s v="Storage"/>
    <s v="Product_374"/>
    <n v="3839.8"/>
    <n v="-15.77"/>
    <n v="0.19"/>
    <x v="0"/>
    <n v="-4.1069847387884785E-3"/>
    <x v="9"/>
    <n v="2022"/>
  </r>
  <r>
    <s v="O00371"/>
    <d v="2023-09-19T00:00:00"/>
    <x v="298"/>
    <x v="0"/>
    <x v="2"/>
    <s v="Chairs"/>
    <s v="Product_159"/>
    <n v="1297.95"/>
    <n v="-532.69000000000005"/>
    <n v="0.28000000000000003"/>
    <x v="0"/>
    <n v="-0.41040872144535617"/>
    <x v="7"/>
    <n v="2023"/>
  </r>
  <r>
    <s v="O00372"/>
    <d v="2022-05-21T00:00:00"/>
    <x v="299"/>
    <x v="0"/>
    <x v="0"/>
    <s v="Storage"/>
    <s v="Product_84"/>
    <n v="3324.46"/>
    <n v="-805.85"/>
    <n v="0.05"/>
    <x v="0"/>
    <n v="-0.24240026951745547"/>
    <x v="11"/>
    <n v="2022"/>
  </r>
  <r>
    <s v="O00373"/>
    <d v="2022-06-20T00:00:00"/>
    <x v="300"/>
    <x v="1"/>
    <x v="1"/>
    <s v="Accessories"/>
    <s v="Product_384"/>
    <n v="2662.73"/>
    <n v="6.55"/>
    <n v="0.23"/>
    <x v="1"/>
    <n v="2.4598813999166269E-3"/>
    <x v="8"/>
    <n v="2022"/>
  </r>
  <r>
    <s v="O00374"/>
    <d v="2023-03-16T00:00:00"/>
    <x v="301"/>
    <x v="0"/>
    <x v="1"/>
    <s v="Copiers"/>
    <s v="Product_135"/>
    <n v="4443.43"/>
    <n v="-1832.41"/>
    <n v="0.23"/>
    <x v="0"/>
    <n v="-0.41238637719059373"/>
    <x v="6"/>
    <n v="2023"/>
  </r>
  <r>
    <s v="O00375"/>
    <d v="2022-02-26T00:00:00"/>
    <x v="302"/>
    <x v="1"/>
    <x v="0"/>
    <s v="Storage"/>
    <s v="Product_189"/>
    <n v="3174.91"/>
    <n v="-138.21"/>
    <n v="0.15"/>
    <x v="0"/>
    <n v="-4.353194263774407E-2"/>
    <x v="10"/>
    <n v="2022"/>
  </r>
  <r>
    <s v="O00376"/>
    <d v="2022-04-29T00:00:00"/>
    <x v="47"/>
    <x v="0"/>
    <x v="2"/>
    <s v="Tables"/>
    <s v="Product_23"/>
    <n v="3889.31"/>
    <n v="-254.86"/>
    <n v="0.27"/>
    <x v="0"/>
    <n v="-6.5528332789106553E-2"/>
    <x v="0"/>
    <n v="2022"/>
  </r>
  <r>
    <s v="O00377"/>
    <d v="2022-07-03T00:00:00"/>
    <x v="303"/>
    <x v="2"/>
    <x v="2"/>
    <s v="Chairs"/>
    <s v="Product_115"/>
    <n v="325.31"/>
    <n v="78.77"/>
    <n v="0.11"/>
    <x v="1"/>
    <n v="0.24213826811349173"/>
    <x v="2"/>
    <n v="2022"/>
  </r>
  <r>
    <s v="O00378"/>
    <d v="2022-03-21T00:00:00"/>
    <x v="304"/>
    <x v="3"/>
    <x v="1"/>
    <s v="Phones"/>
    <s v="Product_62"/>
    <n v="2139.66"/>
    <n v="-550.41999999999996"/>
    <n v="0.22"/>
    <x v="0"/>
    <n v="-0.25724647841245807"/>
    <x v="6"/>
    <n v="2022"/>
  </r>
  <r>
    <s v="O00379"/>
    <d v="2022-02-17T00:00:00"/>
    <x v="220"/>
    <x v="0"/>
    <x v="0"/>
    <s v="Storage"/>
    <s v="Product_450"/>
    <n v="4519.51"/>
    <n v="1051.25"/>
    <n v="0.05"/>
    <x v="1"/>
    <n v="0.23260264940225819"/>
    <x v="10"/>
    <n v="2022"/>
  </r>
  <r>
    <s v="O00380"/>
    <d v="2023-04-13T00:00:00"/>
    <x v="37"/>
    <x v="3"/>
    <x v="1"/>
    <s v="Accessories"/>
    <s v="Product_103"/>
    <n v="3890.28"/>
    <n v="-926.54"/>
    <n v="0.09"/>
    <x v="0"/>
    <n v="-0.23816794678018033"/>
    <x v="0"/>
    <n v="2023"/>
  </r>
  <r>
    <s v="O00381"/>
    <d v="2023-01-13T00:00:00"/>
    <x v="237"/>
    <x v="2"/>
    <x v="1"/>
    <s v="Copiers"/>
    <s v="Product_396"/>
    <n v="3944.09"/>
    <n v="-1082.45"/>
    <n v="0.22"/>
    <x v="0"/>
    <n v="-0.27444860538172305"/>
    <x v="1"/>
    <n v="2023"/>
  </r>
  <r>
    <s v="O00382"/>
    <d v="2022-01-07T00:00:00"/>
    <x v="305"/>
    <x v="0"/>
    <x v="2"/>
    <s v="Bookcases"/>
    <s v="Product_120"/>
    <n v="4512.17"/>
    <n v="-1276.5999999999999"/>
    <n v="0.23"/>
    <x v="0"/>
    <n v="-0.28292373735918636"/>
    <x v="1"/>
    <n v="2022"/>
  </r>
  <r>
    <s v="O00383"/>
    <d v="2022-12-10T00:00:00"/>
    <x v="306"/>
    <x v="2"/>
    <x v="0"/>
    <s v="Paper"/>
    <s v="Product_435"/>
    <n v="3216.12"/>
    <n v="-1300.0899999999999"/>
    <n v="0.21"/>
    <x v="0"/>
    <n v="-0.40424175714836508"/>
    <x v="4"/>
    <n v="2022"/>
  </r>
  <r>
    <s v="O00384"/>
    <d v="2023-03-06T00:00:00"/>
    <x v="282"/>
    <x v="0"/>
    <x v="0"/>
    <s v="Storage"/>
    <s v="Product_498"/>
    <n v="1606.8"/>
    <n v="530.03"/>
    <n v="0.06"/>
    <x v="1"/>
    <n v="0.32986681603186457"/>
    <x v="6"/>
    <n v="2023"/>
  </r>
  <r>
    <s v="O00385"/>
    <d v="2023-06-17T00:00:00"/>
    <x v="208"/>
    <x v="3"/>
    <x v="2"/>
    <s v="Bookcases"/>
    <s v="Product_235"/>
    <n v="1471.14"/>
    <n v="-104.62"/>
    <n v="0.01"/>
    <x v="0"/>
    <n v="-7.1114917682885373E-2"/>
    <x v="8"/>
    <n v="2023"/>
  </r>
  <r>
    <s v="O00386"/>
    <d v="2023-02-08T00:00:00"/>
    <x v="307"/>
    <x v="0"/>
    <x v="0"/>
    <s v="Binders"/>
    <s v="Product_223"/>
    <n v="2945.78"/>
    <n v="95.24"/>
    <n v="0.15"/>
    <x v="1"/>
    <n v="3.2330995525803007E-2"/>
    <x v="10"/>
    <n v="2023"/>
  </r>
  <r>
    <s v="O00387"/>
    <d v="2023-02-07T00:00:00"/>
    <x v="308"/>
    <x v="3"/>
    <x v="0"/>
    <s v="Binders"/>
    <s v="Product_163"/>
    <n v="1260.18"/>
    <n v="-114.67"/>
    <n v="0.08"/>
    <x v="0"/>
    <n v="-9.0994937231189191E-2"/>
    <x v="10"/>
    <n v="2023"/>
  </r>
  <r>
    <s v="O00388"/>
    <d v="2023-08-22T00:00:00"/>
    <x v="271"/>
    <x v="1"/>
    <x v="1"/>
    <s v="Accessories"/>
    <s v="Product_55"/>
    <n v="1244.7"/>
    <n v="-495.8"/>
    <n v="0.28000000000000003"/>
    <x v="0"/>
    <n v="-0.39832891459789505"/>
    <x v="3"/>
    <n v="2023"/>
  </r>
  <r>
    <s v="O00389"/>
    <d v="2022-08-01T00:00:00"/>
    <x v="186"/>
    <x v="3"/>
    <x v="2"/>
    <s v="Tables"/>
    <s v="Product_238"/>
    <n v="2383.67"/>
    <n v="3.71"/>
    <n v="0.12"/>
    <x v="1"/>
    <n v="1.5564234982191325E-3"/>
    <x v="3"/>
    <n v="2022"/>
  </r>
  <r>
    <s v="O00390"/>
    <d v="2023-12-23T00:00:00"/>
    <x v="29"/>
    <x v="0"/>
    <x v="1"/>
    <s v="Phones"/>
    <s v="Product_111"/>
    <n v="543.05999999999995"/>
    <n v="-139.82"/>
    <n v="0.24"/>
    <x v="0"/>
    <n v="-0.25746694656207419"/>
    <x v="4"/>
    <n v="2023"/>
  </r>
  <r>
    <s v="O00391"/>
    <d v="2023-06-10T00:00:00"/>
    <x v="144"/>
    <x v="3"/>
    <x v="1"/>
    <s v="Phones"/>
    <s v="Product_134"/>
    <n v="546.94000000000005"/>
    <n v="-30.93"/>
    <n v="7.0000000000000007E-2"/>
    <x v="0"/>
    <n v="-5.6550992796284776E-2"/>
    <x v="8"/>
    <n v="2023"/>
  </r>
  <r>
    <s v="O00392"/>
    <d v="2023-07-18T00:00:00"/>
    <x v="309"/>
    <x v="0"/>
    <x v="2"/>
    <s v="Chairs"/>
    <s v="Product_237"/>
    <n v="4765.2700000000004"/>
    <n v="-602.46"/>
    <n v="0.26"/>
    <x v="0"/>
    <n v="-0.12642725385969736"/>
    <x v="2"/>
    <n v="2023"/>
  </r>
  <r>
    <s v="O00393"/>
    <d v="2022-08-16T00:00:00"/>
    <x v="310"/>
    <x v="1"/>
    <x v="2"/>
    <s v="Chairs"/>
    <s v="Product_422"/>
    <n v="695.12"/>
    <n v="172.79"/>
    <n v="0.02"/>
    <x v="1"/>
    <n v="0.24857578547588904"/>
    <x v="3"/>
    <n v="2022"/>
  </r>
  <r>
    <s v="O00394"/>
    <d v="2023-08-24T00:00:00"/>
    <x v="311"/>
    <x v="0"/>
    <x v="1"/>
    <s v="Accessories"/>
    <s v="Product_12"/>
    <n v="3462.8"/>
    <n v="-1487.54"/>
    <n v="0.28000000000000003"/>
    <x v="0"/>
    <n v="-0.4295772207462169"/>
    <x v="3"/>
    <n v="2023"/>
  </r>
  <r>
    <s v="O00395"/>
    <d v="2022-12-06T00:00:00"/>
    <x v="312"/>
    <x v="0"/>
    <x v="2"/>
    <s v="Chairs"/>
    <s v="Product_483"/>
    <n v="4522.2299999999996"/>
    <n v="-1142.8800000000001"/>
    <n v="0.13"/>
    <x v="0"/>
    <n v="-0.25272487246336434"/>
    <x v="4"/>
    <n v="2022"/>
  </r>
  <r>
    <s v="O00396"/>
    <d v="2023-02-09T00:00:00"/>
    <x v="313"/>
    <x v="0"/>
    <x v="1"/>
    <s v="Phones"/>
    <s v="Product_196"/>
    <n v="923.15"/>
    <n v="113.56"/>
    <n v="0.17"/>
    <x v="1"/>
    <n v="0.12301359475708173"/>
    <x v="10"/>
    <n v="2023"/>
  </r>
  <r>
    <s v="O00397"/>
    <d v="2022-10-14T00:00:00"/>
    <x v="60"/>
    <x v="1"/>
    <x v="0"/>
    <s v="Paper"/>
    <s v="Product_18"/>
    <n v="946.76"/>
    <n v="-139.85"/>
    <n v="0.06"/>
    <x v="0"/>
    <n v="-0.14771430985677467"/>
    <x v="5"/>
    <n v="2022"/>
  </r>
  <r>
    <s v="O00398"/>
    <d v="2023-07-18T00:00:00"/>
    <x v="243"/>
    <x v="0"/>
    <x v="0"/>
    <s v="Storage"/>
    <s v="Product_45"/>
    <n v="3123.19"/>
    <n v="-283.16000000000003"/>
    <n v="0.19"/>
    <x v="0"/>
    <n v="-9.0663712422234963E-2"/>
    <x v="2"/>
    <n v="2023"/>
  </r>
  <r>
    <s v="O00399"/>
    <d v="2023-06-23T00:00:00"/>
    <x v="309"/>
    <x v="0"/>
    <x v="1"/>
    <s v="Accessories"/>
    <s v="Product_196"/>
    <n v="772.46"/>
    <n v="209.18"/>
    <n v="0.06"/>
    <x v="1"/>
    <n v="0.27079719338218161"/>
    <x v="8"/>
    <n v="2023"/>
  </r>
  <r>
    <s v="O00400"/>
    <d v="2023-08-03T00:00:00"/>
    <x v="168"/>
    <x v="3"/>
    <x v="0"/>
    <s v="Paper"/>
    <s v="Product_199"/>
    <n v="2450.4499999999998"/>
    <n v="-547.87"/>
    <n v="0.23"/>
    <x v="0"/>
    <n v="-0.22357934256973211"/>
    <x v="3"/>
    <n v="2023"/>
  </r>
  <r>
    <s v="O00401"/>
    <d v="2022-10-15T00:00:00"/>
    <x v="314"/>
    <x v="2"/>
    <x v="1"/>
    <s v="Phones"/>
    <s v="Product_272"/>
    <n v="227.71"/>
    <n v="-82.53"/>
    <n v="0.18"/>
    <x v="0"/>
    <n v="-0.36243467568398402"/>
    <x v="5"/>
    <n v="2022"/>
  </r>
  <r>
    <s v="O00402"/>
    <d v="2023-11-04T00:00:00"/>
    <x v="175"/>
    <x v="3"/>
    <x v="1"/>
    <s v="Copiers"/>
    <s v="Product_274"/>
    <n v="4998.07"/>
    <n v="-2148.77"/>
    <n v="0.28999999999999998"/>
    <x v="0"/>
    <n v="-0.42991994910035275"/>
    <x v="9"/>
    <n v="2023"/>
  </r>
  <r>
    <s v="O00403"/>
    <d v="2023-02-02T00:00:00"/>
    <x v="315"/>
    <x v="1"/>
    <x v="0"/>
    <s v="Binders"/>
    <s v="Product_91"/>
    <n v="3843.84"/>
    <n v="-517.32000000000005"/>
    <n v="0.28000000000000003"/>
    <x v="0"/>
    <n v="-0.13458416583416585"/>
    <x v="10"/>
    <n v="2023"/>
  </r>
  <r>
    <s v="O00404"/>
    <d v="2023-08-29T00:00:00"/>
    <x v="316"/>
    <x v="3"/>
    <x v="2"/>
    <s v="Bookcases"/>
    <s v="Product_486"/>
    <n v="1658.22"/>
    <n v="-339.49"/>
    <n v="0.22"/>
    <x v="0"/>
    <n v="-0.20473157964564412"/>
    <x v="3"/>
    <n v="2023"/>
  </r>
  <r>
    <s v="O00405"/>
    <d v="2023-05-20T00:00:00"/>
    <x v="317"/>
    <x v="3"/>
    <x v="0"/>
    <s v="Storage"/>
    <s v="Product_90"/>
    <n v="796.3"/>
    <n v="17.53"/>
    <n v="0.28000000000000003"/>
    <x v="1"/>
    <n v="2.2014316212482735E-2"/>
    <x v="11"/>
    <n v="2023"/>
  </r>
  <r>
    <s v="O00406"/>
    <d v="2023-06-24T00:00:00"/>
    <x v="83"/>
    <x v="0"/>
    <x v="1"/>
    <s v="Phones"/>
    <s v="Product_170"/>
    <n v="542.26"/>
    <n v="-75.22"/>
    <n v="7.0000000000000007E-2"/>
    <x v="0"/>
    <n v="-0.13871574521447277"/>
    <x v="8"/>
    <n v="2023"/>
  </r>
  <r>
    <s v="O00407"/>
    <d v="2022-11-28T00:00:00"/>
    <x v="28"/>
    <x v="0"/>
    <x v="0"/>
    <s v="Binders"/>
    <s v="Product_76"/>
    <n v="4051.58"/>
    <n v="-784.08"/>
    <n v="0.1"/>
    <x v="0"/>
    <n v="-0.19352450155248077"/>
    <x v="9"/>
    <n v="2022"/>
  </r>
  <r>
    <s v="O00408"/>
    <d v="2023-01-09T00:00:00"/>
    <x v="196"/>
    <x v="3"/>
    <x v="0"/>
    <s v="Storage"/>
    <s v="Product_361"/>
    <n v="4594.3999999999996"/>
    <n v="357.85"/>
    <n v="0.23"/>
    <x v="1"/>
    <n v="7.7888298798537356E-2"/>
    <x v="1"/>
    <n v="2023"/>
  </r>
  <r>
    <s v="O00409"/>
    <d v="2022-06-11T00:00:00"/>
    <x v="318"/>
    <x v="2"/>
    <x v="0"/>
    <s v="Paper"/>
    <s v="Product_406"/>
    <n v="2971.48"/>
    <n v="-316.27999999999997"/>
    <n v="0.1"/>
    <x v="0"/>
    <n v="-0.10643854240984289"/>
    <x v="8"/>
    <n v="2022"/>
  </r>
  <r>
    <s v="O00410"/>
    <d v="2023-12-12T00:00:00"/>
    <x v="140"/>
    <x v="3"/>
    <x v="0"/>
    <s v="Paper"/>
    <s v="Product_115"/>
    <n v="3280.98"/>
    <n v="1086.81"/>
    <n v="0.05"/>
    <x v="1"/>
    <n v="0.33124554249035348"/>
    <x v="4"/>
    <n v="2023"/>
  </r>
  <r>
    <s v="O00411"/>
    <d v="2022-10-29T00:00:00"/>
    <x v="162"/>
    <x v="1"/>
    <x v="0"/>
    <s v="Storage"/>
    <s v="Product_374"/>
    <n v="4090.83"/>
    <n v="533.42999999999995"/>
    <n v="0.11"/>
    <x v="1"/>
    <n v="0.13039652099940599"/>
    <x v="5"/>
    <n v="2022"/>
  </r>
  <r>
    <s v="O00412"/>
    <d v="2023-08-05T00:00:00"/>
    <x v="285"/>
    <x v="1"/>
    <x v="2"/>
    <s v="Bookcases"/>
    <s v="Product_309"/>
    <n v="4748.62"/>
    <n v="1313.33"/>
    <n v="0.12"/>
    <x v="1"/>
    <n v="0.27657087743386499"/>
    <x v="3"/>
    <n v="2023"/>
  </r>
  <r>
    <s v="O00413"/>
    <d v="2022-05-25T00:00:00"/>
    <x v="319"/>
    <x v="0"/>
    <x v="1"/>
    <s v="Copiers"/>
    <s v="Product_122"/>
    <n v="1182.3900000000001"/>
    <n v="227.03"/>
    <n v="0.17"/>
    <x v="1"/>
    <n v="0.1920094046803508"/>
    <x v="11"/>
    <n v="2022"/>
  </r>
  <r>
    <s v="O00414"/>
    <d v="2023-12-27T00:00:00"/>
    <x v="320"/>
    <x v="3"/>
    <x v="1"/>
    <s v="Accessories"/>
    <s v="Product_229"/>
    <n v="922.65"/>
    <n v="-384.53"/>
    <n v="0.27"/>
    <x v="0"/>
    <n v="-0.41676692136779925"/>
    <x v="4"/>
    <n v="2023"/>
  </r>
  <r>
    <s v="O00415"/>
    <d v="2022-04-21T00:00:00"/>
    <x v="194"/>
    <x v="0"/>
    <x v="2"/>
    <s v="Tables"/>
    <s v="Product_25"/>
    <n v="1127.45"/>
    <n v="-225.16"/>
    <n v="0.21"/>
    <x v="0"/>
    <n v="-0.19970730409330789"/>
    <x v="0"/>
    <n v="2022"/>
  </r>
  <r>
    <s v="O00416"/>
    <d v="2023-05-20T00:00:00"/>
    <x v="321"/>
    <x v="3"/>
    <x v="1"/>
    <s v="Accessories"/>
    <s v="Product_280"/>
    <n v="3689.66"/>
    <n v="150.28"/>
    <n v="0.28999999999999998"/>
    <x v="1"/>
    <n v="4.0730040166302585E-2"/>
    <x v="11"/>
    <n v="2023"/>
  </r>
  <r>
    <s v="O00417"/>
    <d v="2023-12-05T00:00:00"/>
    <x v="322"/>
    <x v="1"/>
    <x v="1"/>
    <s v="Phones"/>
    <s v="Product_232"/>
    <n v="4161.1499999999996"/>
    <n v="-387.68"/>
    <n v="0.24"/>
    <x v="0"/>
    <n v="-9.3166552515530576E-2"/>
    <x v="4"/>
    <n v="2023"/>
  </r>
  <r>
    <s v="O00418"/>
    <d v="2022-03-17T00:00:00"/>
    <x v="323"/>
    <x v="1"/>
    <x v="2"/>
    <s v="Chairs"/>
    <s v="Product_455"/>
    <n v="1545.05"/>
    <n v="418.7"/>
    <n v="0.1"/>
    <x v="1"/>
    <n v="0.27099446619850492"/>
    <x v="6"/>
    <n v="2022"/>
  </r>
  <r>
    <s v="O00419"/>
    <d v="2022-04-06T00:00:00"/>
    <x v="324"/>
    <x v="2"/>
    <x v="1"/>
    <s v="Phones"/>
    <s v="Product_361"/>
    <n v="3686.73"/>
    <n v="659.46"/>
    <n v="0.16"/>
    <x v="1"/>
    <n v="0.17887396147805781"/>
    <x v="0"/>
    <n v="2022"/>
  </r>
  <r>
    <s v="O00420"/>
    <d v="2022-06-10T00:00:00"/>
    <x v="256"/>
    <x v="0"/>
    <x v="2"/>
    <s v="Tables"/>
    <s v="Product_170"/>
    <n v="4717.97"/>
    <n v="1339.21"/>
    <n v="0.05"/>
    <x v="1"/>
    <n v="0.28385301305434329"/>
    <x v="8"/>
    <n v="2022"/>
  </r>
  <r>
    <s v="O00421"/>
    <d v="2023-07-08T00:00:00"/>
    <x v="109"/>
    <x v="3"/>
    <x v="2"/>
    <s v="Chairs"/>
    <s v="Product_153"/>
    <n v="2105.4699999999998"/>
    <n v="390.24"/>
    <n v="0.17"/>
    <x v="1"/>
    <n v="0.18534578977615451"/>
    <x v="2"/>
    <n v="2023"/>
  </r>
  <r>
    <s v="O00422"/>
    <d v="2022-06-07T00:00:00"/>
    <x v="325"/>
    <x v="3"/>
    <x v="2"/>
    <s v="Chairs"/>
    <s v="Product_2"/>
    <n v="343.21"/>
    <n v="45.96"/>
    <n v="0.17"/>
    <x v="1"/>
    <n v="0.13391218204597768"/>
    <x v="8"/>
    <n v="2022"/>
  </r>
  <r>
    <s v="O00423"/>
    <d v="2022-07-24T00:00:00"/>
    <x v="203"/>
    <x v="0"/>
    <x v="1"/>
    <s v="Phones"/>
    <s v="Product_106"/>
    <n v="1543.29"/>
    <n v="-61.53"/>
    <n v="0.2"/>
    <x v="0"/>
    <n v="-3.9869369982310519E-2"/>
    <x v="2"/>
    <n v="2022"/>
  </r>
  <r>
    <s v="O00424"/>
    <d v="2022-11-12T00:00:00"/>
    <x v="326"/>
    <x v="2"/>
    <x v="2"/>
    <s v="Bookcases"/>
    <s v="Product_251"/>
    <n v="1529.88"/>
    <n v="437.95"/>
    <n v="0.02"/>
    <x v="1"/>
    <n v="0.28626428216592148"/>
    <x v="9"/>
    <n v="2022"/>
  </r>
  <r>
    <s v="O00425"/>
    <d v="2023-01-26T00:00:00"/>
    <x v="327"/>
    <x v="1"/>
    <x v="0"/>
    <s v="Paper"/>
    <s v="Product_229"/>
    <n v="546.57000000000005"/>
    <n v="-136.13"/>
    <n v="0.16"/>
    <x v="0"/>
    <n v="-0.24906233419324145"/>
    <x v="1"/>
    <n v="2023"/>
  </r>
  <r>
    <s v="O00426"/>
    <d v="2023-08-01T00:00:00"/>
    <x v="328"/>
    <x v="1"/>
    <x v="2"/>
    <s v="Tables"/>
    <s v="Product_386"/>
    <n v="2254.73"/>
    <n v="501.11"/>
    <n v="0.08"/>
    <x v="1"/>
    <n v="0.22224834015602757"/>
    <x v="3"/>
    <n v="2023"/>
  </r>
  <r>
    <s v="O00427"/>
    <d v="2023-02-28T00:00:00"/>
    <x v="232"/>
    <x v="1"/>
    <x v="0"/>
    <s v="Storage"/>
    <s v="Product_284"/>
    <n v="573.84"/>
    <n v="48.72"/>
    <n v="0.2"/>
    <x v="1"/>
    <n v="8.4901714763697192E-2"/>
    <x v="10"/>
    <n v="2023"/>
  </r>
  <r>
    <s v="O00428"/>
    <d v="2023-05-02T00:00:00"/>
    <x v="329"/>
    <x v="1"/>
    <x v="2"/>
    <s v="Tables"/>
    <s v="Product_244"/>
    <n v="4110.1899999999996"/>
    <n v="-35.72"/>
    <n v="0.13"/>
    <x v="0"/>
    <n v="-8.6905958118724449E-3"/>
    <x v="11"/>
    <n v="2023"/>
  </r>
  <r>
    <s v="O00429"/>
    <d v="2023-08-08T00:00:00"/>
    <x v="330"/>
    <x v="1"/>
    <x v="1"/>
    <s v="Phones"/>
    <s v="Product_62"/>
    <n v="2034.54"/>
    <n v="-893.49"/>
    <n v="0.26"/>
    <x v="0"/>
    <n v="-0.43916069480079034"/>
    <x v="3"/>
    <n v="2023"/>
  </r>
  <r>
    <s v="O00430"/>
    <d v="2022-07-17T00:00:00"/>
    <x v="81"/>
    <x v="0"/>
    <x v="1"/>
    <s v="Phones"/>
    <s v="Product_217"/>
    <n v="4750.3999999999996"/>
    <n v="-583.66"/>
    <n v="0.05"/>
    <x v="0"/>
    <n v="-0.12286544291007073"/>
    <x v="2"/>
    <n v="2022"/>
  </r>
  <r>
    <s v="O00431"/>
    <d v="2023-09-02T00:00:00"/>
    <x v="331"/>
    <x v="3"/>
    <x v="2"/>
    <s v="Bookcases"/>
    <s v="Product_467"/>
    <n v="2233.4299999999998"/>
    <n v="-276.2"/>
    <n v="0.3"/>
    <x v="0"/>
    <n v="-0.12366628907107007"/>
    <x v="7"/>
    <n v="2023"/>
  </r>
  <r>
    <s v="O00432"/>
    <d v="2022-10-10T00:00:00"/>
    <x v="332"/>
    <x v="2"/>
    <x v="0"/>
    <s v="Binders"/>
    <s v="Product_470"/>
    <n v="526.42999999999995"/>
    <n v="-20.41"/>
    <n v="0.17"/>
    <x v="0"/>
    <n v="-3.8770586782668162E-2"/>
    <x v="5"/>
    <n v="2022"/>
  </r>
  <r>
    <s v="O00433"/>
    <d v="2023-03-01T00:00:00"/>
    <x v="333"/>
    <x v="1"/>
    <x v="2"/>
    <s v="Bookcases"/>
    <s v="Product_291"/>
    <n v="3152.98"/>
    <n v="-341.29"/>
    <n v="0.16"/>
    <x v="0"/>
    <n v="-0.10824362983590129"/>
    <x v="6"/>
    <n v="2023"/>
  </r>
  <r>
    <s v="O00434"/>
    <d v="2023-07-31T00:00:00"/>
    <x v="191"/>
    <x v="0"/>
    <x v="0"/>
    <s v="Storage"/>
    <s v="Product_403"/>
    <n v="3816.05"/>
    <n v="286.04000000000002"/>
    <n v="0.28000000000000003"/>
    <x v="1"/>
    <n v="7.4957089136672733E-2"/>
    <x v="2"/>
    <n v="2023"/>
  </r>
  <r>
    <s v="O00435"/>
    <d v="2023-11-02T00:00:00"/>
    <x v="334"/>
    <x v="2"/>
    <x v="1"/>
    <s v="Copiers"/>
    <s v="Product_20"/>
    <n v="4412.67"/>
    <n v="-1330.5"/>
    <n v="0.26"/>
    <x v="0"/>
    <n v="-0.3015181284800359"/>
    <x v="9"/>
    <n v="2023"/>
  </r>
  <r>
    <s v="O00436"/>
    <d v="2023-02-16T00:00:00"/>
    <x v="335"/>
    <x v="2"/>
    <x v="2"/>
    <s v="Tables"/>
    <s v="Product_456"/>
    <n v="2074.5700000000002"/>
    <n v="38.35"/>
    <n v="0.19"/>
    <x v="1"/>
    <n v="1.8485758494531396E-2"/>
    <x v="10"/>
    <n v="2023"/>
  </r>
  <r>
    <s v="O00437"/>
    <d v="2023-01-17T00:00:00"/>
    <x v="63"/>
    <x v="3"/>
    <x v="1"/>
    <s v="Copiers"/>
    <s v="Product_419"/>
    <n v="1264.1400000000001"/>
    <n v="167.5"/>
    <n v="0.22"/>
    <x v="1"/>
    <n v="0.13250114702485483"/>
    <x v="1"/>
    <n v="2023"/>
  </r>
  <r>
    <s v="O00438"/>
    <d v="2022-04-11T00:00:00"/>
    <x v="47"/>
    <x v="1"/>
    <x v="1"/>
    <s v="Accessories"/>
    <s v="Product_154"/>
    <n v="1473.7"/>
    <n v="99.78"/>
    <n v="0.15"/>
    <x v="1"/>
    <n v="6.770713170930312E-2"/>
    <x v="0"/>
    <n v="2022"/>
  </r>
  <r>
    <s v="O00439"/>
    <d v="2023-09-12T00:00:00"/>
    <x v="336"/>
    <x v="0"/>
    <x v="0"/>
    <s v="Paper"/>
    <s v="Product_97"/>
    <n v="3892.75"/>
    <n v="534.4"/>
    <n v="0.1"/>
    <x v="1"/>
    <n v="0.13728084259199794"/>
    <x v="7"/>
    <n v="2023"/>
  </r>
  <r>
    <s v="O00440"/>
    <d v="2023-06-13T00:00:00"/>
    <x v="16"/>
    <x v="0"/>
    <x v="1"/>
    <s v="Phones"/>
    <s v="Product_264"/>
    <n v="4575.82"/>
    <n v="-134.18"/>
    <n v="0.12"/>
    <x v="0"/>
    <n v="-2.93237059150054E-2"/>
    <x v="8"/>
    <n v="2023"/>
  </r>
  <r>
    <s v="O00441"/>
    <d v="2023-06-21T00:00:00"/>
    <x v="337"/>
    <x v="0"/>
    <x v="2"/>
    <s v="Chairs"/>
    <s v="Product_89"/>
    <n v="1624.5"/>
    <n v="-436.36"/>
    <n v="0.15"/>
    <x v="0"/>
    <n v="-0.26861188057863961"/>
    <x v="8"/>
    <n v="2023"/>
  </r>
  <r>
    <s v="O00442"/>
    <d v="2023-01-05T00:00:00"/>
    <x v="338"/>
    <x v="1"/>
    <x v="2"/>
    <s v="Chairs"/>
    <s v="Product_141"/>
    <n v="4201.1899999999996"/>
    <n v="16.260000000000002"/>
    <n v="7.0000000000000007E-2"/>
    <x v="1"/>
    <n v="3.8703319773683176E-3"/>
    <x v="1"/>
    <n v="2023"/>
  </r>
  <r>
    <s v="O00443"/>
    <d v="2022-02-01T00:00:00"/>
    <x v="198"/>
    <x v="3"/>
    <x v="1"/>
    <s v="Accessories"/>
    <s v="Product_251"/>
    <n v="2575.12"/>
    <n v="-812.9"/>
    <n v="0.19"/>
    <x v="0"/>
    <n v="-0.31567460933859393"/>
    <x v="10"/>
    <n v="2022"/>
  </r>
  <r>
    <s v="O00444"/>
    <d v="2022-12-25T00:00:00"/>
    <x v="339"/>
    <x v="1"/>
    <x v="0"/>
    <s v="Paper"/>
    <s v="Product_429"/>
    <n v="970.16"/>
    <n v="-104.65"/>
    <n v="0.26"/>
    <x v="0"/>
    <n v="-0.10786880514554301"/>
    <x v="4"/>
    <n v="2022"/>
  </r>
  <r>
    <s v="O00445"/>
    <d v="2022-02-20T00:00:00"/>
    <x v="340"/>
    <x v="1"/>
    <x v="1"/>
    <s v="Copiers"/>
    <s v="Product_439"/>
    <n v="4171.26"/>
    <n v="-890.69"/>
    <n v="0.03"/>
    <x v="0"/>
    <n v="-0.21353020430277661"/>
    <x v="10"/>
    <n v="2022"/>
  </r>
  <r>
    <s v="O00446"/>
    <d v="2023-06-10T00:00:00"/>
    <x v="63"/>
    <x v="0"/>
    <x v="2"/>
    <s v="Bookcases"/>
    <s v="Product_243"/>
    <n v="1203.05"/>
    <n v="157.54"/>
    <n v="0.06"/>
    <x v="1"/>
    <n v="0.13095050081044013"/>
    <x v="8"/>
    <n v="2023"/>
  </r>
  <r>
    <s v="O00447"/>
    <d v="2023-09-15T00:00:00"/>
    <x v="341"/>
    <x v="3"/>
    <x v="2"/>
    <s v="Bookcases"/>
    <s v="Product_217"/>
    <n v="948.68"/>
    <n v="-290.05"/>
    <n v="0.24"/>
    <x v="0"/>
    <n v="-0.30574060800269853"/>
    <x v="7"/>
    <n v="2023"/>
  </r>
  <r>
    <s v="O00448"/>
    <d v="2023-06-18T00:00:00"/>
    <x v="342"/>
    <x v="2"/>
    <x v="1"/>
    <s v="Accessories"/>
    <s v="Product_300"/>
    <n v="2349.09"/>
    <n v="-208.39"/>
    <n v="7.0000000000000007E-2"/>
    <x v="0"/>
    <n v="-8.8710947643555582E-2"/>
    <x v="8"/>
    <n v="2023"/>
  </r>
  <r>
    <s v="O00449"/>
    <d v="2023-01-19T00:00:00"/>
    <x v="1"/>
    <x v="3"/>
    <x v="2"/>
    <s v="Chairs"/>
    <s v="Product_153"/>
    <n v="2606.42"/>
    <n v="276.2"/>
    <n v="0.2"/>
    <x v="1"/>
    <n v="0.10596910705105086"/>
    <x v="1"/>
    <n v="2023"/>
  </r>
  <r>
    <s v="O00450"/>
    <d v="2022-11-29T00:00:00"/>
    <x v="343"/>
    <x v="3"/>
    <x v="0"/>
    <s v="Binders"/>
    <s v="Product_336"/>
    <n v="2460.52"/>
    <n v="-329.98"/>
    <n v="0.1"/>
    <x v="0"/>
    <n v="-0.13410986295579796"/>
    <x v="9"/>
    <n v="2022"/>
  </r>
  <r>
    <s v="O00451"/>
    <d v="2022-02-28T00:00:00"/>
    <x v="344"/>
    <x v="2"/>
    <x v="0"/>
    <s v="Storage"/>
    <s v="Product_339"/>
    <n v="1564.08"/>
    <n v="342.98"/>
    <n v="0.04"/>
    <x v="1"/>
    <n v="0.21928545854431999"/>
    <x v="10"/>
    <n v="2022"/>
  </r>
  <r>
    <s v="O00452"/>
    <d v="2022-10-30T00:00:00"/>
    <x v="311"/>
    <x v="2"/>
    <x v="1"/>
    <s v="Copiers"/>
    <s v="Product_208"/>
    <n v="785.65"/>
    <n v="69.47"/>
    <n v="0.01"/>
    <x v="1"/>
    <n v="8.8423598294405908E-2"/>
    <x v="5"/>
    <n v="2022"/>
  </r>
  <r>
    <s v="O00453"/>
    <d v="2022-07-14T00:00:00"/>
    <x v="345"/>
    <x v="1"/>
    <x v="1"/>
    <s v="Copiers"/>
    <s v="Product_352"/>
    <n v="273.06"/>
    <n v="-18.23"/>
    <n v="0.21"/>
    <x v="0"/>
    <n v="-6.6761883835054561E-2"/>
    <x v="2"/>
    <n v="2022"/>
  </r>
  <r>
    <s v="O00454"/>
    <d v="2023-06-04T00:00:00"/>
    <x v="34"/>
    <x v="1"/>
    <x v="0"/>
    <s v="Storage"/>
    <s v="Product_431"/>
    <n v="3946"/>
    <n v="-263.89999999999998"/>
    <n v="0.27"/>
    <x v="0"/>
    <n v="-6.6877850988342619E-2"/>
    <x v="8"/>
    <n v="2023"/>
  </r>
  <r>
    <s v="O00455"/>
    <d v="2022-09-22T00:00:00"/>
    <x v="262"/>
    <x v="1"/>
    <x v="0"/>
    <s v="Storage"/>
    <s v="Product_485"/>
    <n v="987.57"/>
    <n v="-151.33000000000001"/>
    <n v="0.03"/>
    <x v="0"/>
    <n v="-0.1532347074131454"/>
    <x v="7"/>
    <n v="2022"/>
  </r>
  <r>
    <s v="O00456"/>
    <d v="2022-11-11T00:00:00"/>
    <x v="346"/>
    <x v="3"/>
    <x v="0"/>
    <s v="Paper"/>
    <s v="Product_191"/>
    <n v="3306.73"/>
    <n v="-449.73"/>
    <n v="7.0000000000000007E-2"/>
    <x v="0"/>
    <n v="-0.13600445152764212"/>
    <x v="9"/>
    <n v="2022"/>
  </r>
  <r>
    <s v="O00457"/>
    <d v="2023-10-12T00:00:00"/>
    <x v="11"/>
    <x v="0"/>
    <x v="1"/>
    <s v="Copiers"/>
    <s v="Product_242"/>
    <n v="1540.85"/>
    <n v="-273.77999999999997"/>
    <n v="0.26"/>
    <x v="0"/>
    <n v="-0.17768115001460233"/>
    <x v="5"/>
    <n v="2023"/>
  </r>
  <r>
    <s v="O00458"/>
    <d v="2023-02-28T00:00:00"/>
    <x v="325"/>
    <x v="1"/>
    <x v="2"/>
    <s v="Bookcases"/>
    <s v="Product_71"/>
    <n v="687.1"/>
    <n v="-56.41"/>
    <n v="0.2"/>
    <x v="0"/>
    <n v="-8.2098675593072323E-2"/>
    <x v="10"/>
    <n v="2023"/>
  </r>
  <r>
    <s v="O00459"/>
    <d v="2023-04-14T00:00:00"/>
    <x v="347"/>
    <x v="3"/>
    <x v="2"/>
    <s v="Tables"/>
    <s v="Product_442"/>
    <n v="2105.04"/>
    <n v="366.22"/>
    <n v="0.17"/>
    <x v="1"/>
    <n v="0.17397294113175998"/>
    <x v="0"/>
    <n v="2023"/>
  </r>
  <r>
    <s v="O00460"/>
    <d v="2022-07-01T00:00:00"/>
    <x v="136"/>
    <x v="0"/>
    <x v="0"/>
    <s v="Binders"/>
    <s v="Product_3"/>
    <n v="3916.81"/>
    <n v="112.1"/>
    <n v="0.15"/>
    <x v="1"/>
    <n v="2.8620229217143543E-2"/>
    <x v="2"/>
    <n v="2022"/>
  </r>
  <r>
    <s v="O00461"/>
    <d v="2022-06-12T00:00:00"/>
    <x v="278"/>
    <x v="0"/>
    <x v="1"/>
    <s v="Accessories"/>
    <s v="Product_67"/>
    <n v="1125.97"/>
    <n v="-94.84"/>
    <n v="0.23"/>
    <x v="0"/>
    <n v="-8.4229597591410077E-2"/>
    <x v="8"/>
    <n v="2022"/>
  </r>
  <r>
    <s v="O00462"/>
    <d v="2023-01-28T00:00:00"/>
    <x v="348"/>
    <x v="0"/>
    <x v="0"/>
    <s v="Paper"/>
    <s v="Product_274"/>
    <n v="3204.09"/>
    <n v="830.49"/>
    <n v="0.12"/>
    <x v="1"/>
    <n v="0.25919683904010188"/>
    <x v="1"/>
    <n v="2023"/>
  </r>
  <r>
    <s v="O00463"/>
    <d v="2023-06-28T00:00:00"/>
    <x v="349"/>
    <x v="0"/>
    <x v="2"/>
    <s v="Bookcases"/>
    <s v="Product_347"/>
    <n v="1928.2"/>
    <n v="-12.87"/>
    <n v="0"/>
    <x v="0"/>
    <n v="-6.6746188154755727E-3"/>
    <x v="8"/>
    <n v="2023"/>
  </r>
  <r>
    <s v="O00464"/>
    <d v="2022-11-16T00:00:00"/>
    <x v="350"/>
    <x v="0"/>
    <x v="2"/>
    <s v="Bookcases"/>
    <s v="Product_197"/>
    <n v="3694.66"/>
    <n v="946.54"/>
    <n v="7.0000000000000007E-2"/>
    <x v="1"/>
    <n v="0.25619136808258408"/>
    <x v="9"/>
    <n v="2022"/>
  </r>
  <r>
    <s v="O00465"/>
    <d v="2022-10-25T00:00:00"/>
    <x v="56"/>
    <x v="3"/>
    <x v="0"/>
    <s v="Storage"/>
    <s v="Product_223"/>
    <n v="1599.96"/>
    <n v="-308.10000000000002"/>
    <n v="0.02"/>
    <x v="0"/>
    <n v="-0.19256731418285458"/>
    <x v="5"/>
    <n v="2022"/>
  </r>
  <r>
    <s v="O00466"/>
    <d v="2022-07-12T00:00:00"/>
    <x v="351"/>
    <x v="2"/>
    <x v="0"/>
    <s v="Binders"/>
    <s v="Product_10"/>
    <n v="1779.39"/>
    <n v="-452.76"/>
    <n v="0.27"/>
    <x v="0"/>
    <n v="-0.25444674860485894"/>
    <x v="2"/>
    <n v="2022"/>
  </r>
  <r>
    <s v="O00467"/>
    <d v="2023-08-27T00:00:00"/>
    <x v="202"/>
    <x v="1"/>
    <x v="2"/>
    <s v="Chairs"/>
    <s v="Product_64"/>
    <n v="3663.13"/>
    <n v="734.26"/>
    <n v="0.04"/>
    <x v="1"/>
    <n v="0.20044606661516243"/>
    <x v="3"/>
    <n v="2023"/>
  </r>
  <r>
    <s v="O00468"/>
    <d v="2022-09-19T00:00:00"/>
    <x v="40"/>
    <x v="0"/>
    <x v="1"/>
    <s v="Copiers"/>
    <s v="Product_305"/>
    <n v="3287.65"/>
    <n v="1038.6600000000001"/>
    <n v="0.01"/>
    <x v="1"/>
    <n v="0.31592779036697949"/>
    <x v="7"/>
    <n v="2022"/>
  </r>
  <r>
    <s v="O00469"/>
    <d v="2022-04-29T00:00:00"/>
    <x v="352"/>
    <x v="2"/>
    <x v="2"/>
    <s v="Bookcases"/>
    <s v="Product_195"/>
    <n v="629.76"/>
    <n v="-265.17"/>
    <n v="0.25"/>
    <x v="0"/>
    <n v="-0.42106516768292684"/>
    <x v="0"/>
    <n v="2022"/>
  </r>
  <r>
    <s v="O00470"/>
    <d v="2023-12-04T00:00:00"/>
    <x v="353"/>
    <x v="0"/>
    <x v="2"/>
    <s v="Bookcases"/>
    <s v="Product_155"/>
    <n v="1338.42"/>
    <n v="-383.73"/>
    <n v="0.21"/>
    <x v="0"/>
    <n v="-0.28670372528802618"/>
    <x v="4"/>
    <n v="2023"/>
  </r>
  <r>
    <s v="O00471"/>
    <d v="2023-12-19T00:00:00"/>
    <x v="354"/>
    <x v="2"/>
    <x v="1"/>
    <s v="Copiers"/>
    <s v="Product_426"/>
    <n v="594.79999999999995"/>
    <n v="8.14"/>
    <n v="0.16"/>
    <x v="1"/>
    <n v="1.3685272360457298E-2"/>
    <x v="4"/>
    <n v="2023"/>
  </r>
  <r>
    <s v="O00472"/>
    <d v="2022-04-19T00:00:00"/>
    <x v="355"/>
    <x v="1"/>
    <x v="2"/>
    <s v="Bookcases"/>
    <s v="Product_312"/>
    <n v="3621.95"/>
    <n v="-621.5"/>
    <n v="0.04"/>
    <x v="0"/>
    <n v="-0.17159265036789575"/>
    <x v="0"/>
    <n v="2022"/>
  </r>
  <r>
    <s v="O00473"/>
    <d v="2023-02-24T00:00:00"/>
    <x v="117"/>
    <x v="1"/>
    <x v="2"/>
    <s v="Tables"/>
    <s v="Product_21"/>
    <n v="4174.34"/>
    <n v="-1148.97"/>
    <n v="0.28999999999999998"/>
    <x v="0"/>
    <n v="-0.27524590713741576"/>
    <x v="10"/>
    <n v="2023"/>
  </r>
  <r>
    <s v="O00474"/>
    <d v="2022-08-29T00:00:00"/>
    <x v="356"/>
    <x v="0"/>
    <x v="0"/>
    <s v="Paper"/>
    <s v="Product_344"/>
    <n v="4560.75"/>
    <n v="-554.59"/>
    <n v="0.21"/>
    <x v="0"/>
    <n v="-0.12160061393411171"/>
    <x v="3"/>
    <n v="2022"/>
  </r>
  <r>
    <s v="O00475"/>
    <d v="2022-04-03T00:00:00"/>
    <x v="191"/>
    <x v="0"/>
    <x v="2"/>
    <s v="Chairs"/>
    <s v="Product_371"/>
    <n v="4192.6400000000003"/>
    <n v="-1301.8699999999999"/>
    <n v="0.2"/>
    <x v="0"/>
    <n v="-0.31051318500992209"/>
    <x v="0"/>
    <n v="2022"/>
  </r>
  <r>
    <s v="O00476"/>
    <d v="2022-10-31T00:00:00"/>
    <x v="357"/>
    <x v="2"/>
    <x v="0"/>
    <s v="Binders"/>
    <s v="Product_26"/>
    <n v="4533.42"/>
    <n v="-525.65"/>
    <n v="0.19"/>
    <x v="0"/>
    <n v="-0.11594998919138309"/>
    <x v="5"/>
    <n v="2022"/>
  </r>
  <r>
    <s v="O00477"/>
    <d v="2023-11-25T00:00:00"/>
    <x v="136"/>
    <x v="2"/>
    <x v="2"/>
    <s v="Chairs"/>
    <s v="Product_379"/>
    <n v="4383.29"/>
    <n v="-1068.96"/>
    <n v="0.26"/>
    <x v="0"/>
    <n v="-0.24387161241898209"/>
    <x v="9"/>
    <n v="2023"/>
  </r>
  <r>
    <s v="O00478"/>
    <d v="2022-05-22T00:00:00"/>
    <x v="358"/>
    <x v="1"/>
    <x v="2"/>
    <s v="Chairs"/>
    <s v="Product_169"/>
    <n v="4271.1000000000004"/>
    <n v="-1982.63"/>
    <n v="0.27"/>
    <x v="0"/>
    <n v="-0.46419657699421696"/>
    <x v="11"/>
    <n v="2022"/>
  </r>
  <r>
    <s v="O00479"/>
    <d v="2023-01-17T00:00:00"/>
    <x v="323"/>
    <x v="1"/>
    <x v="1"/>
    <s v="Accessories"/>
    <s v="Product_59"/>
    <n v="4779.9399999999996"/>
    <n v="764.03"/>
    <n v="0.08"/>
    <x v="1"/>
    <n v="0.1598409185052532"/>
    <x v="1"/>
    <n v="2023"/>
  </r>
  <r>
    <s v="O00480"/>
    <d v="2023-05-05T00:00:00"/>
    <x v="359"/>
    <x v="1"/>
    <x v="1"/>
    <s v="Accessories"/>
    <s v="Product_58"/>
    <n v="4815.32"/>
    <n v="-233.88"/>
    <n v="0.08"/>
    <x v="0"/>
    <n v="-4.8569980811244112E-2"/>
    <x v="11"/>
    <n v="2023"/>
  </r>
  <r>
    <s v="O00481"/>
    <d v="2022-04-17T00:00:00"/>
    <x v="352"/>
    <x v="2"/>
    <x v="2"/>
    <s v="Bookcases"/>
    <s v="Product_411"/>
    <n v="3659.41"/>
    <n v="60.78"/>
    <n v="0.28999999999999998"/>
    <x v="1"/>
    <n v="1.6609234822006828E-2"/>
    <x v="0"/>
    <n v="2022"/>
  </r>
  <r>
    <s v="O00482"/>
    <d v="2023-09-19T00:00:00"/>
    <x v="76"/>
    <x v="1"/>
    <x v="0"/>
    <s v="Storage"/>
    <s v="Product_248"/>
    <n v="2247"/>
    <n v="196.61"/>
    <n v="0.18"/>
    <x v="1"/>
    <n v="8.7498887405429465E-2"/>
    <x v="7"/>
    <n v="2023"/>
  </r>
  <r>
    <s v="O00483"/>
    <d v="2023-11-02T00:00:00"/>
    <x v="360"/>
    <x v="0"/>
    <x v="1"/>
    <s v="Phones"/>
    <s v="Product_361"/>
    <n v="4449.21"/>
    <n v="-1299.1600000000001"/>
    <n v="0.13"/>
    <x v="0"/>
    <n v="-0.29199790524609986"/>
    <x v="9"/>
    <n v="2023"/>
  </r>
  <r>
    <s v="O00484"/>
    <d v="2023-11-17T00:00:00"/>
    <x v="324"/>
    <x v="0"/>
    <x v="0"/>
    <s v="Storage"/>
    <s v="Product_222"/>
    <n v="3860.89"/>
    <n v="-119.66"/>
    <n v="0.17"/>
    <x v="0"/>
    <n v="-3.0992853979263848E-2"/>
    <x v="9"/>
    <n v="2023"/>
  </r>
  <r>
    <s v="O00485"/>
    <d v="2023-01-30T00:00:00"/>
    <x v="84"/>
    <x v="0"/>
    <x v="0"/>
    <s v="Storage"/>
    <s v="Product_6"/>
    <n v="1318.03"/>
    <n v="139.41999999999999"/>
    <n v="0.1"/>
    <x v="1"/>
    <n v="0.10577907938362556"/>
    <x v="1"/>
    <n v="2023"/>
  </r>
  <r>
    <s v="O00486"/>
    <d v="2022-06-19T00:00:00"/>
    <x v="307"/>
    <x v="2"/>
    <x v="0"/>
    <s v="Binders"/>
    <s v="Product_165"/>
    <n v="2577.2800000000002"/>
    <n v="-109.53"/>
    <n v="0.14000000000000001"/>
    <x v="0"/>
    <n v="-4.2498292773777001E-2"/>
    <x v="8"/>
    <n v="2022"/>
  </r>
  <r>
    <s v="O00487"/>
    <d v="2023-10-21T00:00:00"/>
    <x v="321"/>
    <x v="2"/>
    <x v="2"/>
    <s v="Tables"/>
    <s v="Product_419"/>
    <n v="4853.71"/>
    <n v="-419.24"/>
    <n v="0.02"/>
    <x v="0"/>
    <n v="-8.6375164564838028E-2"/>
    <x v="5"/>
    <n v="2023"/>
  </r>
  <r>
    <s v="O00488"/>
    <d v="2023-05-26T00:00:00"/>
    <x v="221"/>
    <x v="3"/>
    <x v="2"/>
    <s v="Chairs"/>
    <s v="Product_61"/>
    <n v="2349.56"/>
    <n v="-402.11"/>
    <n v="0.24"/>
    <x v="0"/>
    <n v="-0.17114268203408298"/>
    <x v="11"/>
    <n v="2023"/>
  </r>
  <r>
    <s v="O00489"/>
    <d v="2023-07-25T00:00:00"/>
    <x v="284"/>
    <x v="0"/>
    <x v="1"/>
    <s v="Copiers"/>
    <s v="Product_423"/>
    <n v="3301.53"/>
    <n v="57.46"/>
    <n v="0.03"/>
    <x v="1"/>
    <n v="1.7404052060711245E-2"/>
    <x v="2"/>
    <n v="2023"/>
  </r>
  <r>
    <s v="O00490"/>
    <d v="2023-07-30T00:00:00"/>
    <x v="287"/>
    <x v="2"/>
    <x v="2"/>
    <s v="Bookcases"/>
    <s v="Product_487"/>
    <n v="4819.54"/>
    <n v="694.33"/>
    <n v="0.19"/>
    <x v="1"/>
    <n v="0.14406561622063518"/>
    <x v="2"/>
    <n v="2023"/>
  </r>
  <r>
    <s v="O00491"/>
    <d v="2022-12-06T00:00:00"/>
    <x v="361"/>
    <x v="2"/>
    <x v="1"/>
    <s v="Accessories"/>
    <s v="Product_367"/>
    <n v="4144.0200000000004"/>
    <n v="275.95"/>
    <n v="0.24"/>
    <x v="1"/>
    <n v="6.6589929585281912E-2"/>
    <x v="4"/>
    <n v="2022"/>
  </r>
  <r>
    <s v="O00492"/>
    <d v="2022-08-16T00:00:00"/>
    <x v="356"/>
    <x v="3"/>
    <x v="0"/>
    <s v="Paper"/>
    <s v="Product_182"/>
    <n v="3607.98"/>
    <n v="813.93"/>
    <n v="0.03"/>
    <x v="1"/>
    <n v="0.22559160527497379"/>
    <x v="3"/>
    <n v="2022"/>
  </r>
  <r>
    <s v="O00493"/>
    <d v="2022-06-18T00:00:00"/>
    <x v="263"/>
    <x v="1"/>
    <x v="0"/>
    <s v="Paper"/>
    <s v="Product_421"/>
    <n v="2783.68"/>
    <n v="-685.36"/>
    <n v="0.11"/>
    <x v="0"/>
    <n v="-0.24620646051270262"/>
    <x v="8"/>
    <n v="2022"/>
  </r>
  <r>
    <s v="O00494"/>
    <d v="2022-07-12T00:00:00"/>
    <x v="362"/>
    <x v="2"/>
    <x v="0"/>
    <s v="Storage"/>
    <s v="Product_111"/>
    <n v="3635.64"/>
    <n v="496.31"/>
    <n v="0.03"/>
    <x v="1"/>
    <n v="0.13651241597077818"/>
    <x v="2"/>
    <n v="2022"/>
  </r>
  <r>
    <s v="O00495"/>
    <d v="2023-10-11T00:00:00"/>
    <x v="55"/>
    <x v="0"/>
    <x v="1"/>
    <s v="Phones"/>
    <s v="Product_396"/>
    <n v="3612.26"/>
    <n v="67.48"/>
    <n v="0.03"/>
    <x v="1"/>
    <n v="1.8680825854174396E-2"/>
    <x v="5"/>
    <n v="2023"/>
  </r>
  <r>
    <s v="O00496"/>
    <d v="2023-05-26T00:00:00"/>
    <x v="348"/>
    <x v="0"/>
    <x v="1"/>
    <s v="Accessories"/>
    <s v="Product_284"/>
    <n v="3326.44"/>
    <n v="-1361.24"/>
    <n v="0.28999999999999998"/>
    <x v="0"/>
    <n v="-0.40921826336864636"/>
    <x v="11"/>
    <n v="2023"/>
  </r>
  <r>
    <s v="O00497"/>
    <d v="2022-07-01T00:00:00"/>
    <x v="363"/>
    <x v="1"/>
    <x v="1"/>
    <s v="Copiers"/>
    <s v="Product_375"/>
    <n v="2466.37"/>
    <n v="499.93"/>
    <n v="0.15"/>
    <x v="1"/>
    <n v="0.20269870295211181"/>
    <x v="2"/>
    <n v="2022"/>
  </r>
  <r>
    <s v="O00498"/>
    <d v="2023-06-01T00:00:00"/>
    <x v="364"/>
    <x v="2"/>
    <x v="2"/>
    <s v="Chairs"/>
    <s v="Product_312"/>
    <n v="1998.29"/>
    <n v="298.98"/>
    <n v="0.18"/>
    <x v="1"/>
    <n v="0.1496179233244424"/>
    <x v="8"/>
    <n v="2023"/>
  </r>
  <r>
    <s v="O00499"/>
    <d v="2023-04-09T00:00:00"/>
    <x v="224"/>
    <x v="1"/>
    <x v="0"/>
    <s v="Binders"/>
    <s v="Product_212"/>
    <n v="1440.62"/>
    <n v="132.96"/>
    <n v="0.28999999999999998"/>
    <x v="1"/>
    <n v="9.2293595812913895E-2"/>
    <x v="0"/>
    <n v="2023"/>
  </r>
  <r>
    <s v="O00500"/>
    <d v="2023-07-15T00:00:00"/>
    <x v="360"/>
    <x v="1"/>
    <x v="0"/>
    <s v="Storage"/>
    <s v="Product_103"/>
    <n v="4443.54"/>
    <n v="692.5"/>
    <n v="0.15"/>
    <x v="1"/>
    <n v="0.15584421429760956"/>
    <x v="2"/>
    <n v="2023"/>
  </r>
  <r>
    <s v="O00501"/>
    <d v="2022-05-16T00:00:00"/>
    <x v="365"/>
    <x v="1"/>
    <x v="2"/>
    <s v="Bookcases"/>
    <s v="Product_258"/>
    <n v="3600.48"/>
    <n v="513.84"/>
    <n v="0.21"/>
    <x v="1"/>
    <n v="0.14271430475936542"/>
    <x v="11"/>
    <n v="2022"/>
  </r>
  <r>
    <s v="O00502"/>
    <d v="2023-07-30T00:00:00"/>
    <x v="366"/>
    <x v="2"/>
    <x v="0"/>
    <s v="Storage"/>
    <s v="Product_346"/>
    <n v="3220.7"/>
    <n v="149.65"/>
    <n v="0.21"/>
    <x v="1"/>
    <n v="4.6465054180768163E-2"/>
    <x v="2"/>
    <n v="2023"/>
  </r>
  <r>
    <s v="O00503"/>
    <d v="2023-06-20T00:00:00"/>
    <x v="251"/>
    <x v="0"/>
    <x v="0"/>
    <s v="Storage"/>
    <s v="Product_196"/>
    <n v="1501.05"/>
    <n v="52.51"/>
    <n v="0.25"/>
    <x v="1"/>
    <n v="3.4982179141267777E-2"/>
    <x v="8"/>
    <n v="2023"/>
  </r>
  <r>
    <s v="O00504"/>
    <d v="2022-06-14T00:00:00"/>
    <x v="367"/>
    <x v="3"/>
    <x v="2"/>
    <s v="Chairs"/>
    <s v="Product_75"/>
    <n v="3384.25"/>
    <n v="643.38"/>
    <n v="0.06"/>
    <x v="1"/>
    <n v="0.19011006870059835"/>
    <x v="8"/>
    <n v="2022"/>
  </r>
  <r>
    <s v="O00505"/>
    <d v="2023-01-03T00:00:00"/>
    <x v="276"/>
    <x v="0"/>
    <x v="2"/>
    <s v="Bookcases"/>
    <s v="Product_316"/>
    <n v="3943.35"/>
    <n v="255.15"/>
    <n v="0.06"/>
    <x v="1"/>
    <n v="6.4703868538171866E-2"/>
    <x v="1"/>
    <n v="2023"/>
  </r>
  <r>
    <s v="O00506"/>
    <d v="2023-02-03T00:00:00"/>
    <x v="368"/>
    <x v="3"/>
    <x v="0"/>
    <s v="Storage"/>
    <s v="Product_355"/>
    <n v="2853.24"/>
    <n v="337.46"/>
    <n v="7.0000000000000007E-2"/>
    <x v="1"/>
    <n v="0.11827256031739355"/>
    <x v="10"/>
    <n v="2023"/>
  </r>
  <r>
    <s v="O00507"/>
    <d v="2023-12-03T00:00:00"/>
    <x v="136"/>
    <x v="0"/>
    <x v="0"/>
    <s v="Binders"/>
    <s v="Product_7"/>
    <n v="4639.78"/>
    <n v="1178.5999999999999"/>
    <n v="0.12"/>
    <x v="1"/>
    <n v="0.2540206647728987"/>
    <x v="4"/>
    <n v="2023"/>
  </r>
  <r>
    <s v="O00508"/>
    <d v="2023-03-30T00:00:00"/>
    <x v="322"/>
    <x v="3"/>
    <x v="0"/>
    <s v="Paper"/>
    <s v="Product_387"/>
    <n v="1095.1300000000001"/>
    <n v="61.62"/>
    <n v="0.26"/>
    <x v="1"/>
    <n v="5.6267292467560924E-2"/>
    <x v="6"/>
    <n v="2023"/>
  </r>
  <r>
    <s v="O00509"/>
    <d v="2022-07-18T00:00:00"/>
    <x v="369"/>
    <x v="2"/>
    <x v="0"/>
    <s v="Storage"/>
    <s v="Product_91"/>
    <n v="3718.41"/>
    <n v="650.53"/>
    <n v="0.06"/>
    <x v="1"/>
    <n v="0.17494843226002513"/>
    <x v="2"/>
    <n v="2022"/>
  </r>
  <r>
    <s v="O00510"/>
    <d v="2023-01-22T00:00:00"/>
    <x v="370"/>
    <x v="2"/>
    <x v="0"/>
    <s v="Binders"/>
    <s v="Product_143"/>
    <n v="1016.19"/>
    <n v="59.25"/>
    <n v="0.05"/>
    <x v="1"/>
    <n v="5.8306025447996929E-2"/>
    <x v="1"/>
    <n v="2023"/>
  </r>
  <r>
    <s v="O00511"/>
    <d v="2022-12-05T00:00:00"/>
    <x v="245"/>
    <x v="1"/>
    <x v="0"/>
    <s v="Paper"/>
    <s v="Product_21"/>
    <n v="737.33"/>
    <n v="-167.37"/>
    <n v="0.18"/>
    <x v="0"/>
    <n v="-0.22699469708271736"/>
    <x v="4"/>
    <n v="2022"/>
  </r>
  <r>
    <s v="O00512"/>
    <d v="2023-11-09T00:00:00"/>
    <x v="371"/>
    <x v="2"/>
    <x v="2"/>
    <s v="Tables"/>
    <s v="Product_405"/>
    <n v="3024.71"/>
    <n v="-165.69"/>
    <n v="0.23"/>
    <x v="0"/>
    <n v="-5.4778805240833006E-2"/>
    <x v="9"/>
    <n v="2023"/>
  </r>
  <r>
    <s v="O00513"/>
    <d v="2022-08-14T00:00:00"/>
    <x v="372"/>
    <x v="0"/>
    <x v="0"/>
    <s v="Storage"/>
    <s v="Product_403"/>
    <n v="1854.62"/>
    <n v="-462.33"/>
    <n v="0.24"/>
    <x v="0"/>
    <n v="-0.24928556793305368"/>
    <x v="3"/>
    <n v="2022"/>
  </r>
  <r>
    <s v="O00514"/>
    <d v="2022-08-15T00:00:00"/>
    <x v="373"/>
    <x v="3"/>
    <x v="0"/>
    <s v="Binders"/>
    <s v="Product_170"/>
    <n v="2138.06"/>
    <n v="-651.75"/>
    <n v="0.16"/>
    <x v="0"/>
    <n v="-0.30483241817348439"/>
    <x v="3"/>
    <n v="2022"/>
  </r>
  <r>
    <s v="O00515"/>
    <d v="2023-07-29T00:00:00"/>
    <x v="374"/>
    <x v="0"/>
    <x v="1"/>
    <s v="Accessories"/>
    <s v="Product_59"/>
    <n v="1170.3800000000001"/>
    <n v="-130.72999999999999"/>
    <n v="0.23"/>
    <x v="0"/>
    <n v="-0.11169876450383634"/>
    <x v="2"/>
    <n v="2023"/>
  </r>
  <r>
    <s v="O00516"/>
    <d v="2023-09-29T00:00:00"/>
    <x v="375"/>
    <x v="0"/>
    <x v="0"/>
    <s v="Paper"/>
    <s v="Product_350"/>
    <n v="2283.77"/>
    <n v="-232.44"/>
    <n v="0.27"/>
    <x v="0"/>
    <n v="-0.10177907582637481"/>
    <x v="7"/>
    <n v="2023"/>
  </r>
  <r>
    <s v="O00517"/>
    <d v="2023-07-08T00:00:00"/>
    <x v="123"/>
    <x v="3"/>
    <x v="1"/>
    <s v="Accessories"/>
    <s v="Product_13"/>
    <n v="4588.07"/>
    <n v="-1140.02"/>
    <n v="0.28000000000000003"/>
    <x v="0"/>
    <n v="-0.24847484890160787"/>
    <x v="2"/>
    <n v="2023"/>
  </r>
  <r>
    <s v="O00518"/>
    <d v="2022-10-31T00:00:00"/>
    <x v="94"/>
    <x v="1"/>
    <x v="0"/>
    <s v="Paper"/>
    <s v="Product_165"/>
    <n v="2620.11"/>
    <n v="-151.75"/>
    <n v="0.15"/>
    <x v="0"/>
    <n v="-5.7917415681021024E-2"/>
    <x v="5"/>
    <n v="2022"/>
  </r>
  <r>
    <s v="O00519"/>
    <d v="2023-07-05T00:00:00"/>
    <x v="193"/>
    <x v="0"/>
    <x v="0"/>
    <s v="Binders"/>
    <s v="Product_321"/>
    <n v="4746.24"/>
    <n v="1536.67"/>
    <n v="0.05"/>
    <x v="1"/>
    <n v="0.32376575984358147"/>
    <x v="2"/>
    <n v="2023"/>
  </r>
  <r>
    <s v="O00520"/>
    <d v="2023-03-11T00:00:00"/>
    <x v="376"/>
    <x v="1"/>
    <x v="2"/>
    <s v="Chairs"/>
    <s v="Product_276"/>
    <n v="3384.64"/>
    <n v="301.13"/>
    <n v="0.23"/>
    <x v="1"/>
    <n v="8.8969580221234759E-2"/>
    <x v="6"/>
    <n v="2023"/>
  </r>
  <r>
    <s v="O00521"/>
    <d v="2023-12-04T00:00:00"/>
    <x v="377"/>
    <x v="0"/>
    <x v="0"/>
    <s v="Storage"/>
    <s v="Product_236"/>
    <n v="3898.51"/>
    <n v="677.76"/>
    <n v="0.19"/>
    <x v="1"/>
    <n v="0.1738510353955742"/>
    <x v="4"/>
    <n v="2023"/>
  </r>
  <r>
    <s v="O00522"/>
    <d v="2022-09-15T00:00:00"/>
    <x v="273"/>
    <x v="0"/>
    <x v="0"/>
    <s v="Paper"/>
    <s v="Product_295"/>
    <n v="285.64"/>
    <n v="-32.340000000000003"/>
    <n v="0.02"/>
    <x v="0"/>
    <n v="-0.11321943705363396"/>
    <x v="7"/>
    <n v="2022"/>
  </r>
  <r>
    <s v="O00523"/>
    <d v="2022-11-20T00:00:00"/>
    <x v="378"/>
    <x v="2"/>
    <x v="2"/>
    <s v="Tables"/>
    <s v="Product_345"/>
    <n v="2097.4"/>
    <n v="-204.14"/>
    <n v="0.14000000000000001"/>
    <x v="0"/>
    <n v="-9.7330027653285009E-2"/>
    <x v="9"/>
    <n v="2022"/>
  </r>
  <r>
    <s v="O00524"/>
    <d v="2023-08-23T00:00:00"/>
    <x v="228"/>
    <x v="0"/>
    <x v="2"/>
    <s v="Bookcases"/>
    <s v="Product_184"/>
    <n v="128.9"/>
    <n v="-49.25"/>
    <n v="0.22"/>
    <x v="0"/>
    <n v="-0.38207913110938713"/>
    <x v="3"/>
    <n v="2023"/>
  </r>
  <r>
    <s v="O00525"/>
    <d v="2022-10-16T00:00:00"/>
    <x v="379"/>
    <x v="2"/>
    <x v="0"/>
    <s v="Binders"/>
    <s v="Product_196"/>
    <n v="1520.2"/>
    <n v="-70.02"/>
    <n v="0.21"/>
    <x v="0"/>
    <n v="-4.6059728983028542E-2"/>
    <x v="5"/>
    <n v="2022"/>
  </r>
  <r>
    <s v="O00526"/>
    <d v="2023-02-05T00:00:00"/>
    <x v="195"/>
    <x v="3"/>
    <x v="1"/>
    <s v="Copiers"/>
    <s v="Product_492"/>
    <n v="251.01"/>
    <n v="-29.64"/>
    <n v="0.05"/>
    <x v="0"/>
    <n v="-0.11808294490259352"/>
    <x v="10"/>
    <n v="2023"/>
  </r>
  <r>
    <s v="O00527"/>
    <d v="2023-10-26T00:00:00"/>
    <x v="16"/>
    <x v="0"/>
    <x v="0"/>
    <s v="Binders"/>
    <s v="Product_284"/>
    <n v="1560.48"/>
    <n v="170.43"/>
    <n v="0.27"/>
    <x v="1"/>
    <n v="0.10921639495539834"/>
    <x v="5"/>
    <n v="2023"/>
  </r>
  <r>
    <s v="O00528"/>
    <d v="2023-07-05T00:00:00"/>
    <x v="380"/>
    <x v="0"/>
    <x v="0"/>
    <s v="Binders"/>
    <s v="Product_157"/>
    <n v="703.85"/>
    <n v="111.2"/>
    <n v="0"/>
    <x v="1"/>
    <n v="0.15798820771471195"/>
    <x v="2"/>
    <n v="2023"/>
  </r>
  <r>
    <s v="O00529"/>
    <d v="2023-10-24T00:00:00"/>
    <x v="381"/>
    <x v="1"/>
    <x v="2"/>
    <s v="Bookcases"/>
    <s v="Product_83"/>
    <n v="3733.01"/>
    <n v="-1093.6099999999999"/>
    <n v="0.22"/>
    <x v="0"/>
    <n v="-0.29295662213602425"/>
    <x v="5"/>
    <n v="2023"/>
  </r>
  <r>
    <s v="O00530"/>
    <d v="2023-11-19T00:00:00"/>
    <x v="382"/>
    <x v="0"/>
    <x v="2"/>
    <s v="Chairs"/>
    <s v="Product_436"/>
    <n v="3122.74"/>
    <n v="-659.61"/>
    <n v="0.08"/>
    <x v="0"/>
    <n v="-0.21122796006071592"/>
    <x v="9"/>
    <n v="2023"/>
  </r>
  <r>
    <s v="O00531"/>
    <d v="2022-09-14T00:00:00"/>
    <x v="383"/>
    <x v="1"/>
    <x v="0"/>
    <s v="Paper"/>
    <s v="Product_372"/>
    <n v="3258.91"/>
    <n v="596.41999999999996"/>
    <n v="0.02"/>
    <x v="1"/>
    <n v="0.18301211141148421"/>
    <x v="7"/>
    <n v="2022"/>
  </r>
  <r>
    <s v="O00532"/>
    <d v="2022-08-29T00:00:00"/>
    <x v="108"/>
    <x v="3"/>
    <x v="0"/>
    <s v="Paper"/>
    <s v="Product_318"/>
    <n v="4762.55"/>
    <n v="441.86"/>
    <n v="0.11"/>
    <x v="1"/>
    <n v="9.2778028577127802E-2"/>
    <x v="3"/>
    <n v="2022"/>
  </r>
  <r>
    <s v="O00533"/>
    <d v="2022-11-10T00:00:00"/>
    <x v="384"/>
    <x v="1"/>
    <x v="2"/>
    <s v="Chairs"/>
    <s v="Product_290"/>
    <n v="1657.15"/>
    <n v="49.39"/>
    <n v="0.14000000000000001"/>
    <x v="1"/>
    <n v="2.9804181878526386E-2"/>
    <x v="9"/>
    <n v="2022"/>
  </r>
  <r>
    <s v="O00534"/>
    <d v="2022-11-17T00:00:00"/>
    <x v="385"/>
    <x v="1"/>
    <x v="0"/>
    <s v="Paper"/>
    <s v="Product_365"/>
    <n v="4057.73"/>
    <n v="-1577.71"/>
    <n v="0.28999999999999998"/>
    <x v="0"/>
    <n v="-0.38881591431662532"/>
    <x v="9"/>
    <n v="2022"/>
  </r>
  <r>
    <s v="O00535"/>
    <d v="2022-12-06T00:00:00"/>
    <x v="366"/>
    <x v="2"/>
    <x v="0"/>
    <s v="Storage"/>
    <s v="Product_229"/>
    <n v="2237.0100000000002"/>
    <n v="-826.39"/>
    <n v="0.25"/>
    <x v="0"/>
    <n v="-0.3694172131550596"/>
    <x v="4"/>
    <n v="2022"/>
  </r>
  <r>
    <s v="O00536"/>
    <d v="2022-03-25T00:00:00"/>
    <x v="268"/>
    <x v="1"/>
    <x v="1"/>
    <s v="Accessories"/>
    <s v="Product_457"/>
    <n v="2486.16"/>
    <n v="391.15"/>
    <n v="0.03"/>
    <x v="1"/>
    <n v="0.15733098432924672"/>
    <x v="6"/>
    <n v="2022"/>
  </r>
  <r>
    <s v="O00537"/>
    <d v="2022-03-19T00:00:00"/>
    <x v="386"/>
    <x v="0"/>
    <x v="0"/>
    <s v="Binders"/>
    <s v="Product_417"/>
    <n v="1389.85"/>
    <n v="-589.47"/>
    <n v="0.27"/>
    <x v="0"/>
    <n v="-0.42412490556534882"/>
    <x v="6"/>
    <n v="2022"/>
  </r>
  <r>
    <s v="O00538"/>
    <d v="2023-07-19T00:00:00"/>
    <x v="387"/>
    <x v="2"/>
    <x v="0"/>
    <s v="Storage"/>
    <s v="Product_335"/>
    <n v="2085.16"/>
    <n v="341.51"/>
    <n v="0.18"/>
    <x v="1"/>
    <n v="0.16378119664678012"/>
    <x v="2"/>
    <n v="2023"/>
  </r>
  <r>
    <s v="O00539"/>
    <d v="2022-10-25T00:00:00"/>
    <x v="280"/>
    <x v="2"/>
    <x v="2"/>
    <s v="Tables"/>
    <s v="Product_257"/>
    <n v="2023.24"/>
    <n v="-235.18"/>
    <n v="0.27"/>
    <x v="0"/>
    <n v="-0.11623929934165003"/>
    <x v="5"/>
    <n v="2022"/>
  </r>
  <r>
    <s v="O00540"/>
    <d v="2023-09-21T00:00:00"/>
    <x v="110"/>
    <x v="1"/>
    <x v="0"/>
    <s v="Binders"/>
    <s v="Product_388"/>
    <n v="2044.25"/>
    <n v="97.32"/>
    <n v="0.15"/>
    <x v="1"/>
    <n v="4.7606701724348777E-2"/>
    <x v="7"/>
    <n v="2023"/>
  </r>
  <r>
    <s v="O00541"/>
    <d v="2023-11-07T00:00:00"/>
    <x v="388"/>
    <x v="2"/>
    <x v="0"/>
    <s v="Binders"/>
    <s v="Product_481"/>
    <n v="2286.48"/>
    <n v="729.91"/>
    <n v="0.05"/>
    <x v="1"/>
    <n v="0.31922868339106397"/>
    <x v="9"/>
    <n v="2023"/>
  </r>
  <r>
    <s v="O00542"/>
    <d v="2023-01-14T00:00:00"/>
    <x v="389"/>
    <x v="0"/>
    <x v="1"/>
    <s v="Phones"/>
    <s v="Product_343"/>
    <n v="1172.21"/>
    <n v="-366.06"/>
    <n v="0.15"/>
    <x v="0"/>
    <n v="-0.31228192900589485"/>
    <x v="1"/>
    <n v="2023"/>
  </r>
  <r>
    <s v="O00543"/>
    <d v="2023-04-11T00:00:00"/>
    <x v="390"/>
    <x v="0"/>
    <x v="2"/>
    <s v="Bookcases"/>
    <s v="Product_333"/>
    <n v="4547.8599999999997"/>
    <n v="-128.22999999999999"/>
    <n v="0.11"/>
    <x v="0"/>
    <n v="-2.8195678846754297E-2"/>
    <x v="0"/>
    <n v="2023"/>
  </r>
  <r>
    <s v="O00544"/>
    <d v="2022-09-27T00:00:00"/>
    <x v="391"/>
    <x v="1"/>
    <x v="1"/>
    <s v="Phones"/>
    <s v="Product_193"/>
    <n v="3548.31"/>
    <n v="488.92"/>
    <n v="0.16"/>
    <x v="1"/>
    <n v="0.1377895392454436"/>
    <x v="7"/>
    <n v="2022"/>
  </r>
  <r>
    <s v="O00545"/>
    <d v="2023-06-14T00:00:00"/>
    <x v="264"/>
    <x v="2"/>
    <x v="0"/>
    <s v="Paper"/>
    <s v="Product_499"/>
    <n v="1889.95"/>
    <n v="191.42"/>
    <n v="0.2"/>
    <x v="1"/>
    <n v="0.10128310272758538"/>
    <x v="8"/>
    <n v="2023"/>
  </r>
  <r>
    <s v="O00546"/>
    <d v="2023-05-09T00:00:00"/>
    <x v="392"/>
    <x v="0"/>
    <x v="2"/>
    <s v="Bookcases"/>
    <s v="Product_257"/>
    <n v="2088.63"/>
    <n v="-507.5"/>
    <n v="0.25"/>
    <x v="0"/>
    <n v="-0.24298224194807122"/>
    <x v="11"/>
    <n v="2023"/>
  </r>
  <r>
    <s v="O00547"/>
    <d v="2022-08-05T00:00:00"/>
    <x v="333"/>
    <x v="1"/>
    <x v="2"/>
    <s v="Tables"/>
    <s v="Product_81"/>
    <n v="911.47"/>
    <n v="151.38"/>
    <n v="0.02"/>
    <x v="1"/>
    <n v="0.16608335984727965"/>
    <x v="3"/>
    <n v="2022"/>
  </r>
  <r>
    <s v="O00548"/>
    <d v="2022-12-05T00:00:00"/>
    <x v="194"/>
    <x v="0"/>
    <x v="1"/>
    <s v="Copiers"/>
    <s v="Product_247"/>
    <n v="3614.78"/>
    <n v="-367.96"/>
    <n v="0.04"/>
    <x v="0"/>
    <n v="-0.10179319350001935"/>
    <x v="4"/>
    <n v="2022"/>
  </r>
  <r>
    <s v="O00549"/>
    <d v="2023-02-25T00:00:00"/>
    <x v="393"/>
    <x v="1"/>
    <x v="0"/>
    <s v="Paper"/>
    <s v="Product_23"/>
    <n v="2447.1999999999998"/>
    <n v="20.45"/>
    <n v="0.18"/>
    <x v="1"/>
    <n v="8.356489048708728E-3"/>
    <x v="10"/>
    <n v="2023"/>
  </r>
  <r>
    <s v="O00550"/>
    <d v="2023-08-10T00:00:00"/>
    <x v="167"/>
    <x v="0"/>
    <x v="2"/>
    <s v="Bookcases"/>
    <s v="Product_86"/>
    <n v="3002.5"/>
    <n v="202.93"/>
    <n v="0.04"/>
    <x v="1"/>
    <n v="6.7587010824313079E-2"/>
    <x v="3"/>
    <n v="2023"/>
  </r>
  <r>
    <s v="O00551"/>
    <d v="2023-10-15T00:00:00"/>
    <x v="386"/>
    <x v="3"/>
    <x v="1"/>
    <s v="Phones"/>
    <s v="Product_485"/>
    <n v="2631.54"/>
    <n v="688.27"/>
    <n v="0.12"/>
    <x v="1"/>
    <n v="0.26154647088776911"/>
    <x v="5"/>
    <n v="2023"/>
  </r>
  <r>
    <s v="O00552"/>
    <d v="2022-06-24T00:00:00"/>
    <x v="394"/>
    <x v="2"/>
    <x v="2"/>
    <s v="Chairs"/>
    <s v="Product_308"/>
    <n v="2301.1"/>
    <n v="46.9"/>
    <n v="0.3"/>
    <x v="1"/>
    <n v="2.0381556646821085E-2"/>
    <x v="8"/>
    <n v="2022"/>
  </r>
  <r>
    <s v="O00553"/>
    <d v="2022-09-28T00:00:00"/>
    <x v="395"/>
    <x v="3"/>
    <x v="2"/>
    <s v="Bookcases"/>
    <s v="Product_473"/>
    <n v="4120.22"/>
    <n v="600.67999999999995"/>
    <n v="0.05"/>
    <x v="1"/>
    <n v="0.14578833169102617"/>
    <x v="7"/>
    <n v="2022"/>
  </r>
  <r>
    <s v="O00554"/>
    <d v="2022-04-22T00:00:00"/>
    <x v="396"/>
    <x v="1"/>
    <x v="1"/>
    <s v="Copiers"/>
    <s v="Product_268"/>
    <n v="2993.92"/>
    <n v="-115.93"/>
    <n v="7.0000000000000007E-2"/>
    <x v="0"/>
    <n v="-3.8721809533988884E-2"/>
    <x v="0"/>
    <n v="2022"/>
  </r>
  <r>
    <s v="O00555"/>
    <d v="2023-05-03T00:00:00"/>
    <x v="397"/>
    <x v="0"/>
    <x v="0"/>
    <s v="Storage"/>
    <s v="Product_450"/>
    <n v="2157"/>
    <n v="-393.05"/>
    <n v="0.04"/>
    <x v="0"/>
    <n v="-0.18222067686601762"/>
    <x v="11"/>
    <n v="2023"/>
  </r>
  <r>
    <s v="O00556"/>
    <d v="2023-09-10T00:00:00"/>
    <x v="398"/>
    <x v="0"/>
    <x v="0"/>
    <s v="Storage"/>
    <s v="Product_460"/>
    <n v="3786.68"/>
    <n v="627.21"/>
    <n v="0.03"/>
    <x v="1"/>
    <n v="0.16563586043711115"/>
    <x v="7"/>
    <n v="2023"/>
  </r>
  <r>
    <s v="O00557"/>
    <d v="2023-12-16T00:00:00"/>
    <x v="399"/>
    <x v="2"/>
    <x v="0"/>
    <s v="Storage"/>
    <s v="Product_118"/>
    <n v="2214.33"/>
    <n v="431.56"/>
    <n v="0.13"/>
    <x v="1"/>
    <n v="0.19489416663279638"/>
    <x v="4"/>
    <n v="2023"/>
  </r>
  <r>
    <s v="O00558"/>
    <d v="2023-12-15T00:00:00"/>
    <x v="400"/>
    <x v="0"/>
    <x v="1"/>
    <s v="Accessories"/>
    <s v="Product_218"/>
    <n v="1817.54"/>
    <n v="190.32"/>
    <n v="0.24"/>
    <x v="1"/>
    <n v="0.10471296367617769"/>
    <x v="4"/>
    <n v="2023"/>
  </r>
  <r>
    <s v="O00559"/>
    <d v="2022-10-18T00:00:00"/>
    <x v="401"/>
    <x v="2"/>
    <x v="2"/>
    <s v="Tables"/>
    <s v="Product_132"/>
    <n v="2437.9899999999998"/>
    <n v="598.36"/>
    <n v="7.0000000000000007E-2"/>
    <x v="1"/>
    <n v="0.24543168757870215"/>
    <x v="5"/>
    <n v="2022"/>
  </r>
  <r>
    <s v="O00560"/>
    <d v="2022-05-01T00:00:00"/>
    <x v="332"/>
    <x v="0"/>
    <x v="2"/>
    <s v="Chairs"/>
    <s v="Product_193"/>
    <n v="3574.83"/>
    <n v="-333.2"/>
    <n v="0.24"/>
    <x v="0"/>
    <n v="-9.3207229434686401E-2"/>
    <x v="11"/>
    <n v="2022"/>
  </r>
  <r>
    <s v="O00561"/>
    <d v="2022-06-08T00:00:00"/>
    <x v="402"/>
    <x v="3"/>
    <x v="0"/>
    <s v="Binders"/>
    <s v="Product_134"/>
    <n v="3470.06"/>
    <n v="-252.06"/>
    <n v="0.09"/>
    <x v="0"/>
    <n v="-7.2638513455098766E-2"/>
    <x v="8"/>
    <n v="2022"/>
  </r>
  <r>
    <s v="O00562"/>
    <d v="2023-02-11T00:00:00"/>
    <x v="145"/>
    <x v="1"/>
    <x v="0"/>
    <s v="Paper"/>
    <s v="Product_212"/>
    <n v="2866.88"/>
    <n v="616.61"/>
    <n v="0.18"/>
    <x v="1"/>
    <n v="0.21508050563678982"/>
    <x v="10"/>
    <n v="2023"/>
  </r>
  <r>
    <s v="O00563"/>
    <d v="2022-09-17T00:00:00"/>
    <x v="17"/>
    <x v="3"/>
    <x v="0"/>
    <s v="Storage"/>
    <s v="Product_397"/>
    <n v="2464.09"/>
    <n v="56.54"/>
    <n v="0.11"/>
    <x v="1"/>
    <n v="2.2945590461387368E-2"/>
    <x v="7"/>
    <n v="2022"/>
  </r>
  <r>
    <s v="O00564"/>
    <d v="2022-08-24T00:00:00"/>
    <x v="221"/>
    <x v="1"/>
    <x v="0"/>
    <s v="Paper"/>
    <s v="Product_52"/>
    <n v="3705.33"/>
    <n v="-238.74"/>
    <n v="0.26"/>
    <x v="0"/>
    <n v="-6.4431508124782405E-2"/>
    <x v="3"/>
    <n v="2022"/>
  </r>
  <r>
    <s v="O00565"/>
    <d v="2023-12-15T00:00:00"/>
    <x v="110"/>
    <x v="0"/>
    <x v="2"/>
    <s v="Bookcases"/>
    <s v="Product_83"/>
    <n v="2062.75"/>
    <n v="62.6"/>
    <n v="0.1"/>
    <x v="1"/>
    <n v="3.0347836625863531E-2"/>
    <x v="4"/>
    <n v="2023"/>
  </r>
  <r>
    <s v="O00566"/>
    <d v="2023-09-07T00:00:00"/>
    <x v="403"/>
    <x v="0"/>
    <x v="1"/>
    <s v="Copiers"/>
    <s v="Product_33"/>
    <n v="125.92"/>
    <n v="-17.98"/>
    <n v="0.03"/>
    <x v="0"/>
    <n v="-0.14278907242693775"/>
    <x v="7"/>
    <n v="2023"/>
  </r>
  <r>
    <s v="O00567"/>
    <d v="2023-02-15T00:00:00"/>
    <x v="140"/>
    <x v="3"/>
    <x v="1"/>
    <s v="Phones"/>
    <s v="Product_365"/>
    <n v="1917.09"/>
    <n v="104.86"/>
    <n v="0.18"/>
    <x v="1"/>
    <n v="5.4697484207835836E-2"/>
    <x v="10"/>
    <n v="2023"/>
  </r>
  <r>
    <s v="O00568"/>
    <d v="2023-03-26T00:00:00"/>
    <x v="404"/>
    <x v="1"/>
    <x v="0"/>
    <s v="Binders"/>
    <s v="Product_436"/>
    <n v="4734.01"/>
    <n v="-311.62"/>
    <n v="0.25"/>
    <x v="0"/>
    <n v="-6.5825800959440309E-2"/>
    <x v="6"/>
    <n v="2023"/>
  </r>
  <r>
    <s v="O00569"/>
    <d v="2023-06-13T00:00:00"/>
    <x v="161"/>
    <x v="1"/>
    <x v="0"/>
    <s v="Storage"/>
    <s v="Product_315"/>
    <n v="1501.43"/>
    <n v="224.78"/>
    <n v="0.01"/>
    <x v="1"/>
    <n v="0.149710609219211"/>
    <x v="8"/>
    <n v="2023"/>
  </r>
  <r>
    <s v="O00570"/>
    <d v="2022-06-11T00:00:00"/>
    <x v="189"/>
    <x v="3"/>
    <x v="2"/>
    <s v="Bookcases"/>
    <s v="Product_400"/>
    <n v="276.7"/>
    <n v="-74.66"/>
    <n v="7.0000000000000007E-2"/>
    <x v="0"/>
    <n v="-0.26982291290206001"/>
    <x v="8"/>
    <n v="2022"/>
  </r>
  <r>
    <s v="O00571"/>
    <d v="2022-01-16T00:00:00"/>
    <x v="405"/>
    <x v="0"/>
    <x v="1"/>
    <s v="Accessories"/>
    <s v="Product_471"/>
    <n v="3381.34"/>
    <n v="-675.64"/>
    <n v="0.12"/>
    <x v="0"/>
    <n v="-0.19981427481412692"/>
    <x v="1"/>
    <n v="2022"/>
  </r>
  <r>
    <s v="O00572"/>
    <d v="2022-12-23T00:00:00"/>
    <x v="72"/>
    <x v="3"/>
    <x v="2"/>
    <s v="Bookcases"/>
    <s v="Product_116"/>
    <n v="1494.02"/>
    <n v="147.91999999999999"/>
    <n v="0.25"/>
    <x v="1"/>
    <n v="9.9008045407691994E-2"/>
    <x v="4"/>
    <n v="2022"/>
  </r>
  <r>
    <s v="O00573"/>
    <d v="2022-06-29T00:00:00"/>
    <x v="214"/>
    <x v="0"/>
    <x v="0"/>
    <s v="Binders"/>
    <s v="Product_287"/>
    <n v="2328.3200000000002"/>
    <n v="-738.56"/>
    <n v="0.12"/>
    <x v="0"/>
    <n v="-0.31720725673446942"/>
    <x v="8"/>
    <n v="2022"/>
  </r>
  <r>
    <s v="O00574"/>
    <d v="2022-09-21T00:00:00"/>
    <x v="35"/>
    <x v="3"/>
    <x v="2"/>
    <s v="Bookcases"/>
    <s v="Product_356"/>
    <n v="1541.83"/>
    <n v="2.72"/>
    <n v="0.28000000000000003"/>
    <x v="1"/>
    <n v="1.7641374211164657E-3"/>
    <x v="7"/>
    <n v="2022"/>
  </r>
  <r>
    <s v="O00575"/>
    <d v="2023-04-15T00:00:00"/>
    <x v="406"/>
    <x v="2"/>
    <x v="1"/>
    <s v="Accessories"/>
    <s v="Product_460"/>
    <n v="2859.53"/>
    <n v="70.010000000000005"/>
    <n v="0.23"/>
    <x v="1"/>
    <n v="2.4483044416390105E-2"/>
    <x v="0"/>
    <n v="2023"/>
  </r>
  <r>
    <s v="O00576"/>
    <d v="2022-08-14T00:00:00"/>
    <x v="272"/>
    <x v="1"/>
    <x v="0"/>
    <s v="Binders"/>
    <s v="Product_410"/>
    <n v="2461.65"/>
    <n v="-124.06"/>
    <n v="0.08"/>
    <x v="0"/>
    <n v="-5.0397091381796759E-2"/>
    <x v="3"/>
    <n v="2022"/>
  </r>
  <r>
    <s v="O00577"/>
    <d v="2022-09-27T00:00:00"/>
    <x v="407"/>
    <x v="3"/>
    <x v="1"/>
    <s v="Accessories"/>
    <s v="Product_48"/>
    <n v="4781.68"/>
    <n v="-1645.69"/>
    <n v="0.15"/>
    <x v="0"/>
    <n v="-0.344165648893276"/>
    <x v="7"/>
    <n v="2022"/>
  </r>
  <r>
    <s v="O00578"/>
    <d v="2022-07-02T00:00:00"/>
    <x v="132"/>
    <x v="3"/>
    <x v="1"/>
    <s v="Copiers"/>
    <s v="Product_182"/>
    <n v="3769.06"/>
    <n v="123.36"/>
    <n v="0.1"/>
    <x v="1"/>
    <n v="3.2729646118660888E-2"/>
    <x v="2"/>
    <n v="2022"/>
  </r>
  <r>
    <s v="O00579"/>
    <d v="2022-07-14T00:00:00"/>
    <x v="199"/>
    <x v="1"/>
    <x v="2"/>
    <s v="Bookcases"/>
    <s v="Product_121"/>
    <n v="1418.47"/>
    <n v="-99.49"/>
    <n v="0.28000000000000003"/>
    <x v="0"/>
    <n v="-7.0138952533363413E-2"/>
    <x v="2"/>
    <n v="2022"/>
  </r>
  <r>
    <s v="O00580"/>
    <d v="2022-09-13T00:00:00"/>
    <x v="408"/>
    <x v="3"/>
    <x v="0"/>
    <s v="Binders"/>
    <s v="Product_80"/>
    <n v="4376.4399999999996"/>
    <n v="-605.44000000000005"/>
    <n v="0.06"/>
    <x v="0"/>
    <n v="-0.13834075184396452"/>
    <x v="7"/>
    <n v="2022"/>
  </r>
  <r>
    <s v="O00581"/>
    <d v="2023-09-21T00:00:00"/>
    <x v="265"/>
    <x v="0"/>
    <x v="2"/>
    <s v="Chairs"/>
    <s v="Product_435"/>
    <n v="4608.92"/>
    <n v="-8.9700000000000006"/>
    <n v="0.2"/>
    <x v="0"/>
    <n v="-1.9462260139034742E-3"/>
    <x v="7"/>
    <n v="2023"/>
  </r>
  <r>
    <s v="O00582"/>
    <d v="2023-08-12T00:00:00"/>
    <x v="134"/>
    <x v="2"/>
    <x v="1"/>
    <s v="Accessories"/>
    <s v="Product_94"/>
    <n v="3141.27"/>
    <n v="757.73"/>
    <n v="0.15"/>
    <x v="1"/>
    <n v="0.24121772404155009"/>
    <x v="3"/>
    <n v="2023"/>
  </r>
  <r>
    <s v="O00583"/>
    <d v="2023-06-23T00:00:00"/>
    <x v="19"/>
    <x v="2"/>
    <x v="0"/>
    <s v="Paper"/>
    <s v="Product_482"/>
    <n v="2049.61"/>
    <n v="-723.62"/>
    <n v="0.23"/>
    <x v="0"/>
    <n v="-0.35305253194510172"/>
    <x v="8"/>
    <n v="2023"/>
  </r>
  <r>
    <s v="O00584"/>
    <d v="2022-06-28T00:00:00"/>
    <x v="172"/>
    <x v="0"/>
    <x v="0"/>
    <s v="Binders"/>
    <s v="Product_358"/>
    <n v="2562.13"/>
    <n v="235.21"/>
    <n v="0.12"/>
    <x v="1"/>
    <n v="9.1802523681468157E-2"/>
    <x v="8"/>
    <n v="2022"/>
  </r>
  <r>
    <s v="O00585"/>
    <d v="2023-01-24T00:00:00"/>
    <x v="49"/>
    <x v="0"/>
    <x v="0"/>
    <s v="Paper"/>
    <s v="Product_167"/>
    <n v="1646.69"/>
    <n v="336.69"/>
    <n v="0"/>
    <x v="1"/>
    <n v="0.20446471406275618"/>
    <x v="1"/>
    <n v="2023"/>
  </r>
  <r>
    <s v="O00586"/>
    <d v="2022-10-03T00:00:00"/>
    <x v="409"/>
    <x v="3"/>
    <x v="1"/>
    <s v="Copiers"/>
    <s v="Product_188"/>
    <n v="4323.03"/>
    <n v="-442.21"/>
    <n v="0.06"/>
    <x v="0"/>
    <n v="-0.10229167967837373"/>
    <x v="5"/>
    <n v="2022"/>
  </r>
  <r>
    <s v="O00587"/>
    <d v="2023-01-09T00:00:00"/>
    <x v="220"/>
    <x v="3"/>
    <x v="2"/>
    <s v="Tables"/>
    <s v="Product_231"/>
    <n v="2177.3200000000002"/>
    <n v="264.14999999999998"/>
    <n v="0.13"/>
    <x v="1"/>
    <n v="0.12131886906839599"/>
    <x v="1"/>
    <n v="2023"/>
  </r>
  <r>
    <s v="O00588"/>
    <d v="2022-04-13T00:00:00"/>
    <x v="143"/>
    <x v="3"/>
    <x v="2"/>
    <s v="Bookcases"/>
    <s v="Product_412"/>
    <n v="742.58"/>
    <n v="-172.92"/>
    <n v="0.17"/>
    <x v="0"/>
    <n v="-0.23286379918661959"/>
    <x v="0"/>
    <n v="2022"/>
  </r>
  <r>
    <s v="O00589"/>
    <d v="2022-06-03T00:00:00"/>
    <x v="70"/>
    <x v="0"/>
    <x v="2"/>
    <s v="Bookcases"/>
    <s v="Product_91"/>
    <n v="2217.87"/>
    <n v="-493.46"/>
    <n v="0.11"/>
    <x v="0"/>
    <n v="-0.22249275205489952"/>
    <x v="8"/>
    <n v="2022"/>
  </r>
  <r>
    <s v="O00590"/>
    <d v="2023-07-01T00:00:00"/>
    <x v="194"/>
    <x v="3"/>
    <x v="1"/>
    <s v="Accessories"/>
    <s v="Product_403"/>
    <n v="758.91"/>
    <n v="-69.52"/>
    <n v="0.27"/>
    <x v="0"/>
    <n v="-9.1605065159241536E-2"/>
    <x v="2"/>
    <n v="2023"/>
  </r>
  <r>
    <s v="O00591"/>
    <d v="2022-04-12T00:00:00"/>
    <x v="410"/>
    <x v="1"/>
    <x v="1"/>
    <s v="Accessories"/>
    <s v="Product_31"/>
    <n v="1329.77"/>
    <n v="-573.63"/>
    <n v="0.26"/>
    <x v="0"/>
    <n v="-0.43137535062454407"/>
    <x v="0"/>
    <n v="2022"/>
  </r>
  <r>
    <s v="O00592"/>
    <d v="2022-12-09T00:00:00"/>
    <x v="387"/>
    <x v="3"/>
    <x v="2"/>
    <s v="Tables"/>
    <s v="Product_185"/>
    <n v="2435.04"/>
    <n v="-292.42"/>
    <n v="0.19"/>
    <x v="0"/>
    <n v="-0.12008837637164071"/>
    <x v="4"/>
    <n v="2022"/>
  </r>
  <r>
    <s v="O00593"/>
    <d v="2022-05-05T00:00:00"/>
    <x v="48"/>
    <x v="1"/>
    <x v="0"/>
    <s v="Storage"/>
    <s v="Product_296"/>
    <n v="4666.04"/>
    <n v="-1250.96"/>
    <n v="0.08"/>
    <x v="0"/>
    <n v="-0.26809885898963576"/>
    <x v="11"/>
    <n v="2022"/>
  </r>
  <r>
    <s v="O00594"/>
    <d v="2022-12-30T00:00:00"/>
    <x v="411"/>
    <x v="2"/>
    <x v="0"/>
    <s v="Storage"/>
    <s v="Product_397"/>
    <n v="3280.74"/>
    <n v="715.81"/>
    <n v="0.05"/>
    <x v="1"/>
    <n v="0.21818553131305743"/>
    <x v="4"/>
    <n v="2022"/>
  </r>
  <r>
    <s v="O00595"/>
    <d v="2023-10-09T00:00:00"/>
    <x v="412"/>
    <x v="1"/>
    <x v="0"/>
    <s v="Paper"/>
    <s v="Product_328"/>
    <n v="4459.2"/>
    <n v="-615.75"/>
    <n v="0.11"/>
    <x v="0"/>
    <n v="-0.13808530678148548"/>
    <x v="5"/>
    <n v="2023"/>
  </r>
  <r>
    <s v="O00596"/>
    <d v="2022-03-15T00:00:00"/>
    <x v="413"/>
    <x v="1"/>
    <x v="1"/>
    <s v="Accessories"/>
    <s v="Product_176"/>
    <n v="3193.24"/>
    <n v="444.95"/>
    <n v="0.17"/>
    <x v="1"/>
    <n v="0.13934123335546342"/>
    <x v="6"/>
    <n v="2022"/>
  </r>
  <r>
    <s v="O00597"/>
    <d v="2023-10-23T00:00:00"/>
    <x v="414"/>
    <x v="3"/>
    <x v="2"/>
    <s v="Tables"/>
    <s v="Product_455"/>
    <n v="1652.7"/>
    <n v="-214.05"/>
    <n v="0.09"/>
    <x v="0"/>
    <n v="-0.12951533853693956"/>
    <x v="5"/>
    <n v="2023"/>
  </r>
  <r>
    <s v="O00598"/>
    <d v="2022-06-21T00:00:00"/>
    <x v="372"/>
    <x v="0"/>
    <x v="1"/>
    <s v="Accessories"/>
    <s v="Product_65"/>
    <n v="3764.69"/>
    <n v="-338.17"/>
    <n v="0.16"/>
    <x v="0"/>
    <n v="-8.9826785206750095E-2"/>
    <x v="8"/>
    <n v="2022"/>
  </r>
  <r>
    <s v="O00599"/>
    <d v="2022-03-23T00:00:00"/>
    <x v="43"/>
    <x v="1"/>
    <x v="0"/>
    <s v="Binders"/>
    <s v="Product_204"/>
    <n v="3343.91"/>
    <n v="-199.24"/>
    <n v="0.28000000000000003"/>
    <x v="0"/>
    <n v="-5.958294332084297E-2"/>
    <x v="6"/>
    <n v="2022"/>
  </r>
  <r>
    <s v="O00600"/>
    <d v="2022-01-27T00:00:00"/>
    <x v="40"/>
    <x v="2"/>
    <x v="2"/>
    <s v="Chairs"/>
    <s v="Product_269"/>
    <n v="412.58"/>
    <n v="-54.02"/>
    <n v="0.26"/>
    <x v="0"/>
    <n v="-0.13093218284938679"/>
    <x v="1"/>
    <n v="2022"/>
  </r>
  <r>
    <s v="O00601"/>
    <d v="2023-02-04T00:00:00"/>
    <x v="415"/>
    <x v="1"/>
    <x v="2"/>
    <s v="Chairs"/>
    <s v="Product_127"/>
    <n v="1386.02"/>
    <n v="198.06"/>
    <n v="0.05"/>
    <x v="1"/>
    <n v="0.14289837087487917"/>
    <x v="10"/>
    <n v="2023"/>
  </r>
  <r>
    <s v="O00602"/>
    <d v="2022-06-24T00:00:00"/>
    <x v="76"/>
    <x v="0"/>
    <x v="0"/>
    <s v="Paper"/>
    <s v="Product_340"/>
    <n v="2271.4899999999998"/>
    <n v="172.74"/>
    <n v="0.04"/>
    <x v="1"/>
    <n v="7.6046999986792818E-2"/>
    <x v="8"/>
    <n v="2022"/>
  </r>
  <r>
    <s v="O00603"/>
    <d v="2022-10-06T00:00:00"/>
    <x v="52"/>
    <x v="2"/>
    <x v="1"/>
    <s v="Accessories"/>
    <s v="Product_70"/>
    <n v="4334.78"/>
    <n v="791.27"/>
    <n v="0.14000000000000001"/>
    <x v="1"/>
    <n v="0.18253982901093022"/>
    <x v="5"/>
    <n v="2022"/>
  </r>
  <r>
    <s v="O00604"/>
    <d v="2023-10-14T00:00:00"/>
    <x v="66"/>
    <x v="2"/>
    <x v="0"/>
    <s v="Storage"/>
    <s v="Product_269"/>
    <n v="967.48"/>
    <n v="-1.33"/>
    <n v="0.18"/>
    <x v="0"/>
    <n v="-1.3747054202670856E-3"/>
    <x v="5"/>
    <n v="2023"/>
  </r>
  <r>
    <s v="O00605"/>
    <d v="2022-08-21T00:00:00"/>
    <x v="416"/>
    <x v="2"/>
    <x v="0"/>
    <s v="Storage"/>
    <s v="Product_158"/>
    <n v="2715.54"/>
    <n v="-491.54"/>
    <n v="0.27"/>
    <x v="0"/>
    <n v="-0.18101003851904227"/>
    <x v="3"/>
    <n v="2022"/>
  </r>
  <r>
    <s v="O00606"/>
    <d v="2022-05-20T00:00:00"/>
    <x v="339"/>
    <x v="3"/>
    <x v="1"/>
    <s v="Accessories"/>
    <s v="Product_241"/>
    <n v="1373.05"/>
    <n v="-398.11"/>
    <n v="0.09"/>
    <x v="0"/>
    <n v="-0.28994574123302141"/>
    <x v="11"/>
    <n v="2022"/>
  </r>
  <r>
    <s v="O00607"/>
    <d v="2022-11-03T00:00:00"/>
    <x v="281"/>
    <x v="2"/>
    <x v="0"/>
    <s v="Binders"/>
    <s v="Product_409"/>
    <n v="3470.07"/>
    <n v="358.4"/>
    <n v="0.15"/>
    <x v="1"/>
    <n v="0.10328321907050865"/>
    <x v="9"/>
    <n v="2022"/>
  </r>
  <r>
    <s v="O00608"/>
    <d v="2023-02-26T00:00:00"/>
    <x v="1"/>
    <x v="2"/>
    <x v="1"/>
    <s v="Copiers"/>
    <s v="Product_203"/>
    <n v="1232.96"/>
    <n v="29.82"/>
    <n v="0"/>
    <x v="1"/>
    <n v="2.4185699454970153E-2"/>
    <x v="10"/>
    <n v="2023"/>
  </r>
  <r>
    <s v="O00609"/>
    <d v="2022-08-14T00:00:00"/>
    <x v="417"/>
    <x v="0"/>
    <x v="2"/>
    <s v="Chairs"/>
    <s v="Product_217"/>
    <n v="3603.2"/>
    <n v="385.74"/>
    <n v="0.19"/>
    <x v="1"/>
    <n v="0.10705484014209592"/>
    <x v="3"/>
    <n v="2022"/>
  </r>
  <r>
    <s v="O00610"/>
    <d v="2023-12-12T00:00:00"/>
    <x v="418"/>
    <x v="3"/>
    <x v="0"/>
    <s v="Binders"/>
    <s v="Product_146"/>
    <n v="2631.39"/>
    <n v="-189.64"/>
    <n v="0.24"/>
    <x v="0"/>
    <n v="-7.2068374509289768E-2"/>
    <x v="4"/>
    <n v="2023"/>
  </r>
  <r>
    <s v="O00611"/>
    <d v="2022-03-12T00:00:00"/>
    <x v="419"/>
    <x v="1"/>
    <x v="0"/>
    <s v="Storage"/>
    <s v="Product_149"/>
    <n v="2706.53"/>
    <n v="-452.53"/>
    <n v="0.08"/>
    <x v="0"/>
    <n v="-0.16719932903016035"/>
    <x v="6"/>
    <n v="2022"/>
  </r>
  <r>
    <s v="O00612"/>
    <d v="2023-05-19T00:00:00"/>
    <x v="420"/>
    <x v="3"/>
    <x v="2"/>
    <s v="Bookcases"/>
    <s v="Product_10"/>
    <n v="2331.1799999999998"/>
    <n v="187.16"/>
    <n v="0.14000000000000001"/>
    <x v="1"/>
    <n v="8.0285520637617E-2"/>
    <x v="11"/>
    <n v="2023"/>
  </r>
  <r>
    <s v="O00613"/>
    <d v="2022-10-16T00:00:00"/>
    <x v="421"/>
    <x v="1"/>
    <x v="2"/>
    <s v="Chairs"/>
    <s v="Product_367"/>
    <n v="4851.6099999999997"/>
    <n v="1811.59"/>
    <n v="0.01"/>
    <x v="1"/>
    <n v="0.37339975801847225"/>
    <x v="5"/>
    <n v="2022"/>
  </r>
  <r>
    <s v="O00614"/>
    <d v="2022-08-11T00:00:00"/>
    <x v="323"/>
    <x v="2"/>
    <x v="1"/>
    <s v="Copiers"/>
    <s v="Product_160"/>
    <n v="140.19999999999999"/>
    <n v="-31.01"/>
    <n v="0.03"/>
    <x v="0"/>
    <n v="-0.22118402282453642"/>
    <x v="3"/>
    <n v="2022"/>
  </r>
  <r>
    <s v="O00615"/>
    <d v="2022-05-30T00:00:00"/>
    <x v="422"/>
    <x v="3"/>
    <x v="1"/>
    <s v="Accessories"/>
    <s v="Product_398"/>
    <n v="2372.0500000000002"/>
    <n v="-573.67999999999995"/>
    <n v="0.24"/>
    <x v="0"/>
    <n v="-0.2418498766889399"/>
    <x v="11"/>
    <n v="2022"/>
  </r>
  <r>
    <s v="O00616"/>
    <d v="2022-09-14T00:00:00"/>
    <x v="423"/>
    <x v="0"/>
    <x v="1"/>
    <s v="Phones"/>
    <s v="Product_63"/>
    <n v="2761.64"/>
    <n v="793.75"/>
    <n v="0.05"/>
    <x v="1"/>
    <n v="0.28741979403542822"/>
    <x v="7"/>
    <n v="2022"/>
  </r>
  <r>
    <s v="O00617"/>
    <d v="2022-02-04T00:00:00"/>
    <x v="424"/>
    <x v="2"/>
    <x v="0"/>
    <s v="Binders"/>
    <s v="Product_377"/>
    <n v="1985.51"/>
    <n v="-678.45"/>
    <n v="0.28999999999999998"/>
    <x v="0"/>
    <n v="-0.34170062099913878"/>
    <x v="10"/>
    <n v="2022"/>
  </r>
  <r>
    <s v="O00618"/>
    <d v="2022-11-16T00:00:00"/>
    <x v="425"/>
    <x v="1"/>
    <x v="2"/>
    <s v="Bookcases"/>
    <s v="Product_323"/>
    <n v="3363.44"/>
    <n v="-89.22"/>
    <n v="0.06"/>
    <x v="0"/>
    <n v="-2.6526413433865328E-2"/>
    <x v="9"/>
    <n v="2022"/>
  </r>
  <r>
    <s v="O00619"/>
    <d v="2023-05-08T00:00:00"/>
    <x v="426"/>
    <x v="3"/>
    <x v="0"/>
    <s v="Binders"/>
    <s v="Product_102"/>
    <n v="3749.15"/>
    <n v="-1074.94"/>
    <n v="0.16"/>
    <x v="0"/>
    <n v="-0.28671565554859102"/>
    <x v="11"/>
    <n v="2023"/>
  </r>
  <r>
    <s v="O00620"/>
    <d v="2023-10-11T00:00:00"/>
    <x v="427"/>
    <x v="3"/>
    <x v="1"/>
    <s v="Phones"/>
    <s v="Product_8"/>
    <n v="4331.92"/>
    <n v="-876.1"/>
    <n v="7.0000000000000007E-2"/>
    <x v="0"/>
    <n v="-0.20224288537184434"/>
    <x v="5"/>
    <n v="2023"/>
  </r>
  <r>
    <s v="O00621"/>
    <d v="2022-02-13T00:00:00"/>
    <x v="428"/>
    <x v="2"/>
    <x v="2"/>
    <s v="Tables"/>
    <s v="Product_353"/>
    <n v="2965.01"/>
    <n v="-516.35"/>
    <n v="0.12"/>
    <x v="0"/>
    <n v="-0.17414781063133009"/>
    <x v="10"/>
    <n v="2022"/>
  </r>
  <r>
    <s v="O00622"/>
    <d v="2022-04-04T00:00:00"/>
    <x v="429"/>
    <x v="3"/>
    <x v="0"/>
    <s v="Binders"/>
    <s v="Product_477"/>
    <n v="1919.85"/>
    <n v="-259.91000000000003"/>
    <n v="0.03"/>
    <x v="0"/>
    <n v="-0.13538036825793684"/>
    <x v="0"/>
    <n v="2022"/>
  </r>
  <r>
    <s v="O00623"/>
    <d v="2022-04-20T00:00:00"/>
    <x v="430"/>
    <x v="2"/>
    <x v="0"/>
    <s v="Binders"/>
    <s v="Product_120"/>
    <n v="392.9"/>
    <n v="12.1"/>
    <n v="0.19"/>
    <x v="1"/>
    <n v="3.0796640366505472E-2"/>
    <x v="0"/>
    <n v="2022"/>
  </r>
  <r>
    <s v="O00624"/>
    <d v="2023-03-26T00:00:00"/>
    <x v="431"/>
    <x v="1"/>
    <x v="1"/>
    <s v="Copiers"/>
    <s v="Product_11"/>
    <n v="3963.95"/>
    <n v="211.34"/>
    <n v="0.23"/>
    <x v="1"/>
    <n v="5.331550599780522E-2"/>
    <x v="6"/>
    <n v="2023"/>
  </r>
  <r>
    <s v="O00625"/>
    <d v="2023-05-12T00:00:00"/>
    <x v="432"/>
    <x v="2"/>
    <x v="0"/>
    <s v="Paper"/>
    <s v="Product_287"/>
    <n v="1855.02"/>
    <n v="555.02"/>
    <n v="0.04"/>
    <x v="1"/>
    <n v="0.29919893046975232"/>
    <x v="11"/>
    <n v="2023"/>
  </r>
  <r>
    <s v="O00626"/>
    <d v="2022-12-23T00:00:00"/>
    <x v="433"/>
    <x v="2"/>
    <x v="1"/>
    <s v="Copiers"/>
    <s v="Product_141"/>
    <n v="3515.49"/>
    <n v="-520.38"/>
    <n v="0.06"/>
    <x v="0"/>
    <n v="-0.14802488415555159"/>
    <x v="4"/>
    <n v="2022"/>
  </r>
  <r>
    <s v="O00627"/>
    <d v="2022-09-27T00:00:00"/>
    <x v="434"/>
    <x v="3"/>
    <x v="0"/>
    <s v="Storage"/>
    <s v="Product_233"/>
    <n v="885.68"/>
    <n v="-80.040000000000006"/>
    <n v="0.16"/>
    <x v="0"/>
    <n v="-9.0371240177039125E-2"/>
    <x v="7"/>
    <n v="2022"/>
  </r>
  <r>
    <s v="O00628"/>
    <d v="2023-09-27T00:00:00"/>
    <x v="435"/>
    <x v="1"/>
    <x v="2"/>
    <s v="Bookcases"/>
    <s v="Product_165"/>
    <n v="2579.19"/>
    <n v="283.08999999999997"/>
    <n v="0.22"/>
    <x v="1"/>
    <n v="0.10975926550583709"/>
    <x v="7"/>
    <n v="2023"/>
  </r>
  <r>
    <s v="O00629"/>
    <d v="2023-06-21T00:00:00"/>
    <x v="7"/>
    <x v="2"/>
    <x v="0"/>
    <s v="Binders"/>
    <s v="Product_393"/>
    <n v="3325.62"/>
    <n v="-424.03"/>
    <n v="0.16"/>
    <x v="0"/>
    <n v="-0.1275040443586459"/>
    <x v="8"/>
    <n v="2023"/>
  </r>
  <r>
    <s v="O00630"/>
    <d v="2022-04-24T00:00:00"/>
    <x v="436"/>
    <x v="0"/>
    <x v="0"/>
    <s v="Binders"/>
    <s v="Product_23"/>
    <n v="3103.89"/>
    <n v="262.41000000000003"/>
    <n v="0.1"/>
    <x v="1"/>
    <n v="8.4542300145945909E-2"/>
    <x v="0"/>
    <n v="2022"/>
  </r>
  <r>
    <s v="O00631"/>
    <d v="2022-04-12T00:00:00"/>
    <x v="229"/>
    <x v="2"/>
    <x v="2"/>
    <s v="Chairs"/>
    <s v="Product_337"/>
    <n v="4380.1099999999997"/>
    <n v="136.76"/>
    <n v="0.06"/>
    <x v="1"/>
    <n v="3.1222960153968735E-2"/>
    <x v="0"/>
    <n v="2022"/>
  </r>
  <r>
    <s v="O00632"/>
    <d v="2022-08-15T00:00:00"/>
    <x v="118"/>
    <x v="0"/>
    <x v="1"/>
    <s v="Copiers"/>
    <s v="Product_7"/>
    <n v="3157.46"/>
    <n v="-1106.8399999999999"/>
    <n v="0.18"/>
    <x v="0"/>
    <n v="-0.35054759205183911"/>
    <x v="3"/>
    <n v="2022"/>
  </r>
  <r>
    <s v="O00633"/>
    <d v="2023-10-17T00:00:00"/>
    <x v="437"/>
    <x v="3"/>
    <x v="2"/>
    <s v="Bookcases"/>
    <s v="Product_286"/>
    <n v="2507.89"/>
    <n v="-1058.3900000000001"/>
    <n v="0.27"/>
    <x v="0"/>
    <n v="-0.42202409196575613"/>
    <x v="5"/>
    <n v="2023"/>
  </r>
  <r>
    <s v="O00634"/>
    <d v="2023-09-24T00:00:00"/>
    <x v="438"/>
    <x v="0"/>
    <x v="0"/>
    <s v="Paper"/>
    <s v="Product_376"/>
    <n v="4127.93"/>
    <n v="-1671.89"/>
    <n v="0.24"/>
    <x v="0"/>
    <n v="-0.40501898045751744"/>
    <x v="7"/>
    <n v="2023"/>
  </r>
  <r>
    <s v="O00635"/>
    <d v="2022-04-14T00:00:00"/>
    <x v="262"/>
    <x v="1"/>
    <x v="2"/>
    <s v="Tables"/>
    <s v="Product_273"/>
    <n v="481.88"/>
    <n v="24.91"/>
    <n v="0.06"/>
    <x v="1"/>
    <n v="5.1693367643396694E-2"/>
    <x v="0"/>
    <n v="2022"/>
  </r>
  <r>
    <s v="O00636"/>
    <d v="2022-07-03T00:00:00"/>
    <x v="273"/>
    <x v="2"/>
    <x v="1"/>
    <s v="Phones"/>
    <s v="Product_383"/>
    <n v="1046.29"/>
    <n v="-60.67"/>
    <n v="0.2"/>
    <x v="0"/>
    <n v="-5.7985835666975696E-2"/>
    <x v="2"/>
    <n v="2022"/>
  </r>
  <r>
    <s v="O00637"/>
    <d v="2023-03-14T00:00:00"/>
    <x v="376"/>
    <x v="1"/>
    <x v="2"/>
    <s v="Bookcases"/>
    <s v="Product_406"/>
    <n v="2925.16"/>
    <n v="62.98"/>
    <n v="0.2"/>
    <x v="1"/>
    <n v="2.1530446197814822E-2"/>
    <x v="6"/>
    <n v="2023"/>
  </r>
  <r>
    <s v="O00638"/>
    <d v="2023-09-07T00:00:00"/>
    <x v="439"/>
    <x v="3"/>
    <x v="2"/>
    <s v="Bookcases"/>
    <s v="Product_463"/>
    <n v="2067.63"/>
    <n v="-424.06"/>
    <n v="0.1"/>
    <x v="0"/>
    <n v="-0.20509472197636908"/>
    <x v="7"/>
    <n v="2023"/>
  </r>
  <r>
    <s v="O00639"/>
    <d v="2023-10-11T00:00:00"/>
    <x v="42"/>
    <x v="3"/>
    <x v="1"/>
    <s v="Copiers"/>
    <s v="Product_312"/>
    <n v="4958.17"/>
    <n v="-381.62"/>
    <n v="0.1"/>
    <x v="0"/>
    <n v="-7.6967913564883819E-2"/>
    <x v="5"/>
    <n v="2023"/>
  </r>
  <r>
    <s v="O00640"/>
    <d v="2022-09-18T00:00:00"/>
    <x v="440"/>
    <x v="2"/>
    <x v="2"/>
    <s v="Bookcases"/>
    <s v="Product_230"/>
    <n v="2773.57"/>
    <n v="55.87"/>
    <n v="0.11"/>
    <x v="1"/>
    <n v="2.0143713697508985E-2"/>
    <x v="7"/>
    <n v="2022"/>
  </r>
  <r>
    <s v="O00641"/>
    <d v="2023-06-15T00:00:00"/>
    <x v="441"/>
    <x v="3"/>
    <x v="1"/>
    <s v="Phones"/>
    <s v="Product_4"/>
    <n v="3658.94"/>
    <n v="-484.96"/>
    <n v="0.28999999999999998"/>
    <x v="0"/>
    <n v="-0.1325411184660038"/>
    <x v="8"/>
    <n v="2023"/>
  </r>
  <r>
    <s v="O00642"/>
    <d v="2023-12-08T00:00:00"/>
    <x v="442"/>
    <x v="1"/>
    <x v="1"/>
    <s v="Phones"/>
    <s v="Product_49"/>
    <n v="1152.6300000000001"/>
    <n v="199.31"/>
    <n v="0.09"/>
    <x v="1"/>
    <n v="0.17291758847158237"/>
    <x v="4"/>
    <n v="2023"/>
  </r>
  <r>
    <s v="O00643"/>
    <d v="2023-08-20T00:00:00"/>
    <x v="309"/>
    <x v="1"/>
    <x v="2"/>
    <s v="Tables"/>
    <s v="Product_132"/>
    <n v="1842.71"/>
    <n v="-36.39"/>
    <n v="0.04"/>
    <x v="0"/>
    <n v="-1.9748088413260905E-2"/>
    <x v="3"/>
    <n v="2023"/>
  </r>
  <r>
    <s v="O00644"/>
    <d v="2022-03-21T00:00:00"/>
    <x v="443"/>
    <x v="3"/>
    <x v="1"/>
    <s v="Phones"/>
    <s v="Product_406"/>
    <n v="2895.39"/>
    <n v="-693.55"/>
    <n v="0.17"/>
    <x v="0"/>
    <n v="-0.23953595197883532"/>
    <x v="6"/>
    <n v="2022"/>
  </r>
  <r>
    <s v="O00645"/>
    <d v="2022-04-08T00:00:00"/>
    <x v="59"/>
    <x v="3"/>
    <x v="1"/>
    <s v="Phones"/>
    <s v="Product_20"/>
    <n v="2492.5500000000002"/>
    <n v="-120.37"/>
    <n v="0.27"/>
    <x v="0"/>
    <n v="-4.8291909891476602E-2"/>
    <x v="0"/>
    <n v="2022"/>
  </r>
  <r>
    <s v="O00646"/>
    <d v="2022-12-09T00:00:00"/>
    <x v="275"/>
    <x v="2"/>
    <x v="0"/>
    <s v="Storage"/>
    <s v="Product_214"/>
    <n v="1969.58"/>
    <n v="242.5"/>
    <n v="0.23"/>
    <x v="1"/>
    <n v="0.12312269620934413"/>
    <x v="4"/>
    <n v="2022"/>
  </r>
  <r>
    <s v="O00647"/>
    <d v="2023-10-12T00:00:00"/>
    <x v="444"/>
    <x v="2"/>
    <x v="2"/>
    <s v="Chairs"/>
    <s v="Product_28"/>
    <n v="3763.63"/>
    <n v="403.43"/>
    <n v="0.25"/>
    <x v="1"/>
    <n v="0.10719172713577052"/>
    <x v="5"/>
    <n v="2023"/>
  </r>
  <r>
    <s v="O00648"/>
    <d v="2023-05-30T00:00:00"/>
    <x v="445"/>
    <x v="1"/>
    <x v="1"/>
    <s v="Copiers"/>
    <s v="Product_79"/>
    <n v="301.79000000000002"/>
    <n v="-81.56"/>
    <n v="0.16"/>
    <x v="0"/>
    <n v="-0.27025415023691968"/>
    <x v="11"/>
    <n v="2023"/>
  </r>
  <r>
    <s v="O00649"/>
    <d v="2023-09-02T00:00:00"/>
    <x v="400"/>
    <x v="0"/>
    <x v="2"/>
    <s v="Bookcases"/>
    <s v="Product_114"/>
    <n v="3684.74"/>
    <n v="-193.93"/>
    <n v="0.12"/>
    <x v="0"/>
    <n v="-5.2630579091062057E-2"/>
    <x v="7"/>
    <n v="2023"/>
  </r>
  <r>
    <s v="O00650"/>
    <d v="2023-05-03T00:00:00"/>
    <x v="304"/>
    <x v="0"/>
    <x v="1"/>
    <s v="Accessories"/>
    <s v="Product_281"/>
    <n v="3953.2"/>
    <n v="-151.4"/>
    <n v="0.04"/>
    <x v="0"/>
    <n v="-3.829808762521502E-2"/>
    <x v="11"/>
    <n v="2023"/>
  </r>
  <r>
    <s v="O00651"/>
    <d v="2022-05-14T00:00:00"/>
    <x v="446"/>
    <x v="1"/>
    <x v="1"/>
    <s v="Accessories"/>
    <s v="Product_247"/>
    <n v="516.89"/>
    <n v="59.08"/>
    <n v="0.15"/>
    <x v="1"/>
    <n v="0.11429898044071272"/>
    <x v="11"/>
    <n v="2022"/>
  </r>
  <r>
    <s v="O00652"/>
    <d v="2023-09-23T00:00:00"/>
    <x v="447"/>
    <x v="1"/>
    <x v="0"/>
    <s v="Binders"/>
    <s v="Product_125"/>
    <n v="2490.52"/>
    <n v="-703.17"/>
    <n v="0.2"/>
    <x v="0"/>
    <n v="-0.28233862807767052"/>
    <x v="7"/>
    <n v="2023"/>
  </r>
  <r>
    <s v="O00653"/>
    <d v="2022-04-02T00:00:00"/>
    <x v="448"/>
    <x v="2"/>
    <x v="2"/>
    <s v="Tables"/>
    <s v="Product_217"/>
    <n v="3906.18"/>
    <n v="994.06"/>
    <n v="0.1"/>
    <x v="1"/>
    <n v="0.25448392035185269"/>
    <x v="0"/>
    <n v="2022"/>
  </r>
  <r>
    <s v="O00654"/>
    <d v="2022-11-09T00:00:00"/>
    <x v="247"/>
    <x v="3"/>
    <x v="1"/>
    <s v="Accessories"/>
    <s v="Product_316"/>
    <n v="1033.4000000000001"/>
    <n v="96.36"/>
    <n v="0.1"/>
    <x v="1"/>
    <n v="9.3245597058254304E-2"/>
    <x v="9"/>
    <n v="2022"/>
  </r>
  <r>
    <s v="O00655"/>
    <d v="2022-07-24T00:00:00"/>
    <x v="418"/>
    <x v="3"/>
    <x v="1"/>
    <s v="Copiers"/>
    <s v="Product_80"/>
    <n v="814.51"/>
    <n v="228.8"/>
    <n v="0.01"/>
    <x v="1"/>
    <n v="0.28090508403825615"/>
    <x v="2"/>
    <n v="2022"/>
  </r>
  <r>
    <s v="O00656"/>
    <d v="2022-06-01T00:00:00"/>
    <x v="99"/>
    <x v="0"/>
    <x v="0"/>
    <s v="Binders"/>
    <s v="Product_176"/>
    <n v="650.62"/>
    <n v="227.3"/>
    <n v="0.02"/>
    <x v="1"/>
    <n v="0.34935907288432572"/>
    <x v="8"/>
    <n v="2022"/>
  </r>
  <r>
    <s v="O00657"/>
    <d v="2023-07-05T00:00:00"/>
    <x v="449"/>
    <x v="1"/>
    <x v="0"/>
    <s v="Binders"/>
    <s v="Product_280"/>
    <n v="1595.08"/>
    <n v="-224.71"/>
    <n v="0.14000000000000001"/>
    <x v="0"/>
    <n v="-0.14087694661082831"/>
    <x v="2"/>
    <n v="2023"/>
  </r>
  <r>
    <s v="O00658"/>
    <d v="2023-12-13T00:00:00"/>
    <x v="161"/>
    <x v="0"/>
    <x v="0"/>
    <s v="Paper"/>
    <s v="Product_193"/>
    <n v="2789.12"/>
    <n v="572.83000000000004"/>
    <n v="0.19"/>
    <x v="1"/>
    <n v="0.20538019160165216"/>
    <x v="4"/>
    <n v="2023"/>
  </r>
  <r>
    <s v="O00659"/>
    <d v="2022-07-25T00:00:00"/>
    <x v="29"/>
    <x v="3"/>
    <x v="0"/>
    <s v="Storage"/>
    <s v="Product_28"/>
    <n v="2681.32"/>
    <n v="-654.07000000000005"/>
    <n v="0.08"/>
    <x v="0"/>
    <n v="-0.24393582265451344"/>
    <x v="2"/>
    <n v="2022"/>
  </r>
  <r>
    <s v="O00660"/>
    <d v="2023-11-10T00:00:00"/>
    <x v="450"/>
    <x v="3"/>
    <x v="1"/>
    <s v="Copiers"/>
    <s v="Product_443"/>
    <n v="4731.3599999999997"/>
    <n v="833.78"/>
    <n v="0.02"/>
    <x v="1"/>
    <n v="0.17622417233099996"/>
    <x v="9"/>
    <n v="2023"/>
  </r>
  <r>
    <s v="O00661"/>
    <d v="2023-01-25T00:00:00"/>
    <x v="31"/>
    <x v="0"/>
    <x v="2"/>
    <s v="Chairs"/>
    <s v="Product_463"/>
    <n v="1533.23"/>
    <n v="-365.04"/>
    <n v="0.27"/>
    <x v="0"/>
    <n v="-0.23808561011720356"/>
    <x v="1"/>
    <n v="2023"/>
  </r>
  <r>
    <s v="O00662"/>
    <d v="2023-05-28T00:00:00"/>
    <x v="172"/>
    <x v="0"/>
    <x v="1"/>
    <s v="Accessories"/>
    <s v="Product_21"/>
    <n v="4347.1899999999996"/>
    <n v="-1078.75"/>
    <n v="0.16"/>
    <x v="0"/>
    <n v="-0.24814880417005011"/>
    <x v="11"/>
    <n v="2023"/>
  </r>
  <r>
    <s v="O00663"/>
    <d v="2022-01-19T00:00:00"/>
    <x v="72"/>
    <x v="3"/>
    <x v="2"/>
    <s v="Bookcases"/>
    <s v="Product_182"/>
    <n v="1594.14"/>
    <n v="154.05000000000001"/>
    <n v="0.15"/>
    <x v="1"/>
    <n v="9.6635176333320791E-2"/>
    <x v="1"/>
    <n v="2022"/>
  </r>
  <r>
    <s v="O00664"/>
    <d v="2022-03-05T00:00:00"/>
    <x v="451"/>
    <x v="3"/>
    <x v="0"/>
    <s v="Paper"/>
    <s v="Product_450"/>
    <n v="1257.4000000000001"/>
    <n v="-237.96"/>
    <n v="0.28999999999999998"/>
    <x v="0"/>
    <n v="-0.18924765388897724"/>
    <x v="6"/>
    <n v="2022"/>
  </r>
  <r>
    <s v="O00665"/>
    <d v="2022-12-16T00:00:00"/>
    <x v="452"/>
    <x v="1"/>
    <x v="1"/>
    <s v="Phones"/>
    <s v="Product_45"/>
    <n v="4726.2700000000004"/>
    <n v="-1628.91"/>
    <n v="0.28000000000000003"/>
    <x v="0"/>
    <n v="-0.34465022099880033"/>
    <x v="4"/>
    <n v="2022"/>
  </r>
  <r>
    <s v="O00666"/>
    <d v="2023-12-04T00:00:00"/>
    <x v="453"/>
    <x v="2"/>
    <x v="0"/>
    <s v="Paper"/>
    <s v="Product_124"/>
    <n v="2651.52"/>
    <n v="327.78"/>
    <n v="0.2"/>
    <x v="1"/>
    <n v="0.12361965966690802"/>
    <x v="4"/>
    <n v="2023"/>
  </r>
  <r>
    <s v="O00667"/>
    <d v="2023-04-05T00:00:00"/>
    <x v="317"/>
    <x v="1"/>
    <x v="0"/>
    <s v="Binders"/>
    <s v="Product_106"/>
    <n v="2189.6799999999998"/>
    <n v="160.33000000000001"/>
    <n v="0.09"/>
    <x v="1"/>
    <n v="7.3220744583683467E-2"/>
    <x v="0"/>
    <n v="2023"/>
  </r>
  <r>
    <s v="O00668"/>
    <d v="2022-05-22T00:00:00"/>
    <x v="415"/>
    <x v="1"/>
    <x v="0"/>
    <s v="Binders"/>
    <s v="Product_221"/>
    <n v="2947.05"/>
    <n v="-850.56"/>
    <n v="0.21"/>
    <x v="0"/>
    <n v="-0.28861403776658012"/>
    <x v="11"/>
    <n v="2022"/>
  </r>
  <r>
    <s v="O00669"/>
    <d v="2023-07-25T00:00:00"/>
    <x v="148"/>
    <x v="0"/>
    <x v="2"/>
    <s v="Bookcases"/>
    <s v="Product_95"/>
    <n v="4671.8500000000004"/>
    <n v="-1352.51"/>
    <n v="0.28000000000000003"/>
    <x v="0"/>
    <n v="-0.2895020174020998"/>
    <x v="2"/>
    <n v="2023"/>
  </r>
  <r>
    <s v="O00670"/>
    <d v="2023-02-28T00:00:00"/>
    <x v="454"/>
    <x v="3"/>
    <x v="1"/>
    <s v="Phones"/>
    <s v="Product_227"/>
    <n v="3662.69"/>
    <n v="359.23"/>
    <n v="0.23"/>
    <x v="1"/>
    <n v="9.8078188435275715E-2"/>
    <x v="10"/>
    <n v="2023"/>
  </r>
  <r>
    <s v="O00671"/>
    <d v="2022-04-20T00:00:00"/>
    <x v="455"/>
    <x v="1"/>
    <x v="0"/>
    <s v="Storage"/>
    <s v="Product_14"/>
    <n v="4672.93"/>
    <n v="876.01"/>
    <n v="0.08"/>
    <x v="1"/>
    <n v="0.18746482399693554"/>
    <x v="0"/>
    <n v="2022"/>
  </r>
  <r>
    <s v="O00672"/>
    <d v="2022-08-26T00:00:00"/>
    <x v="248"/>
    <x v="0"/>
    <x v="0"/>
    <s v="Storage"/>
    <s v="Product_184"/>
    <n v="1407.63"/>
    <n v="-325.8"/>
    <n v="0.17"/>
    <x v="0"/>
    <n v="-0.23145286758594233"/>
    <x v="3"/>
    <n v="2022"/>
  </r>
  <r>
    <s v="O00673"/>
    <d v="2023-04-26T00:00:00"/>
    <x v="456"/>
    <x v="3"/>
    <x v="2"/>
    <s v="Bookcases"/>
    <s v="Product_95"/>
    <n v="3921.15"/>
    <n v="1049.6199999999999"/>
    <n v="0.04"/>
    <x v="1"/>
    <n v="0.26768167501880824"/>
    <x v="0"/>
    <n v="2023"/>
  </r>
  <r>
    <s v="O00674"/>
    <d v="2023-02-23T00:00:00"/>
    <x v="147"/>
    <x v="0"/>
    <x v="1"/>
    <s v="Accessories"/>
    <s v="Product_474"/>
    <n v="2421.85"/>
    <n v="-276.66000000000003"/>
    <n v="0.05"/>
    <x v="0"/>
    <n v="-0.11423498565146481"/>
    <x v="10"/>
    <n v="2023"/>
  </r>
  <r>
    <s v="O00675"/>
    <d v="2022-07-29T00:00:00"/>
    <x v="9"/>
    <x v="1"/>
    <x v="1"/>
    <s v="Accessories"/>
    <s v="Product_475"/>
    <n v="1190.52"/>
    <n v="-331.32"/>
    <n v="0.2"/>
    <x v="0"/>
    <n v="-0.27829855861304303"/>
    <x v="2"/>
    <n v="2022"/>
  </r>
  <r>
    <s v="O00676"/>
    <d v="2022-09-10T00:00:00"/>
    <x v="457"/>
    <x v="2"/>
    <x v="1"/>
    <s v="Copiers"/>
    <s v="Product_398"/>
    <n v="2500.7199999999998"/>
    <n v="-63.7"/>
    <n v="0.1"/>
    <x v="0"/>
    <n v="-2.5472663872804637E-2"/>
    <x v="7"/>
    <n v="2022"/>
  </r>
  <r>
    <s v="O00677"/>
    <d v="2023-09-19T00:00:00"/>
    <x v="38"/>
    <x v="0"/>
    <x v="2"/>
    <s v="Bookcases"/>
    <s v="Product_267"/>
    <n v="3703.13"/>
    <n v="-452.75"/>
    <n v="0.11"/>
    <x v="0"/>
    <n v="-0.12226143829679217"/>
    <x v="7"/>
    <n v="2023"/>
  </r>
  <r>
    <s v="O00678"/>
    <d v="2022-09-09T00:00:00"/>
    <x v="458"/>
    <x v="2"/>
    <x v="2"/>
    <s v="Tables"/>
    <s v="Product_377"/>
    <n v="2338.81"/>
    <n v="155.91999999999999"/>
    <n v="0.26"/>
    <x v="1"/>
    <n v="6.6666381621422854E-2"/>
    <x v="7"/>
    <n v="2022"/>
  </r>
  <r>
    <s v="O00679"/>
    <d v="2022-07-14T00:00:00"/>
    <x v="173"/>
    <x v="2"/>
    <x v="2"/>
    <s v="Bookcases"/>
    <s v="Product_204"/>
    <n v="1998.25"/>
    <n v="294.85000000000002"/>
    <n v="0.23"/>
    <x v="1"/>
    <n v="0.14755410984611536"/>
    <x v="2"/>
    <n v="2022"/>
  </r>
  <r>
    <s v="O00680"/>
    <d v="2022-02-25T00:00:00"/>
    <x v="183"/>
    <x v="1"/>
    <x v="1"/>
    <s v="Accessories"/>
    <s v="Product_238"/>
    <n v="2360.6"/>
    <n v="89.42"/>
    <n v="0.13"/>
    <x v="1"/>
    <n v="3.7880199949165472E-2"/>
    <x v="10"/>
    <n v="2022"/>
  </r>
  <r>
    <s v="O00681"/>
    <d v="2023-08-23T00:00:00"/>
    <x v="459"/>
    <x v="1"/>
    <x v="0"/>
    <s v="Paper"/>
    <s v="Product_202"/>
    <n v="543.16"/>
    <n v="-131.52000000000001"/>
    <n v="0.15"/>
    <x v="0"/>
    <n v="-0.24213859636202964"/>
    <x v="3"/>
    <n v="2023"/>
  </r>
  <r>
    <s v="O00682"/>
    <d v="2023-12-31T00:00:00"/>
    <x v="460"/>
    <x v="2"/>
    <x v="1"/>
    <s v="Accessories"/>
    <s v="Product_47"/>
    <n v="2309.34"/>
    <n v="240.61"/>
    <n v="0.05"/>
    <x v="1"/>
    <n v="0.10418994171494886"/>
    <x v="4"/>
    <n v="2023"/>
  </r>
  <r>
    <s v="O00683"/>
    <d v="2022-05-07T00:00:00"/>
    <x v="137"/>
    <x v="0"/>
    <x v="1"/>
    <s v="Accessories"/>
    <s v="Product_362"/>
    <n v="3489.42"/>
    <n v="27.54"/>
    <n v="0.27"/>
    <x v="1"/>
    <n v="7.8924291142940649E-3"/>
    <x v="11"/>
    <n v="2022"/>
  </r>
  <r>
    <s v="O00684"/>
    <d v="2023-06-08T00:00:00"/>
    <x v="461"/>
    <x v="1"/>
    <x v="1"/>
    <s v="Copiers"/>
    <s v="Product_194"/>
    <n v="1878.42"/>
    <n v="-243.34"/>
    <n v="0.16"/>
    <x v="0"/>
    <n v="-0.1295450431745829"/>
    <x v="8"/>
    <n v="2023"/>
  </r>
  <r>
    <s v="O00685"/>
    <d v="2023-11-07T00:00:00"/>
    <x v="333"/>
    <x v="1"/>
    <x v="0"/>
    <s v="Paper"/>
    <s v="Product_445"/>
    <n v="315.14"/>
    <n v="-15.41"/>
    <n v="0.05"/>
    <x v="0"/>
    <n v="-4.889890207526814E-2"/>
    <x v="9"/>
    <n v="2023"/>
  </r>
  <r>
    <s v="O00686"/>
    <d v="2023-04-02T00:00:00"/>
    <x v="88"/>
    <x v="1"/>
    <x v="2"/>
    <s v="Chairs"/>
    <s v="Product_61"/>
    <n v="3868.87"/>
    <n v="-136.04"/>
    <n v="0.02"/>
    <x v="0"/>
    <n v="-3.5162721931726836E-2"/>
    <x v="0"/>
    <n v="2023"/>
  </r>
  <r>
    <s v="O00687"/>
    <d v="2023-05-25T00:00:00"/>
    <x v="199"/>
    <x v="0"/>
    <x v="2"/>
    <s v="Chairs"/>
    <s v="Product_312"/>
    <n v="117.31"/>
    <n v="-49.58"/>
    <n v="0.23"/>
    <x v="0"/>
    <n v="-0.42264086608132295"/>
    <x v="11"/>
    <n v="2023"/>
  </r>
  <r>
    <s v="O00688"/>
    <d v="2023-03-29T00:00:00"/>
    <x v="413"/>
    <x v="0"/>
    <x v="1"/>
    <s v="Phones"/>
    <s v="Product_126"/>
    <n v="1162.68"/>
    <n v="-148.54"/>
    <n v="0.2"/>
    <x v="0"/>
    <n v="-0.12775656242474281"/>
    <x v="6"/>
    <n v="2023"/>
  </r>
  <r>
    <s v="O00689"/>
    <d v="2022-02-20T00:00:00"/>
    <x v="462"/>
    <x v="1"/>
    <x v="0"/>
    <s v="Paper"/>
    <s v="Product_29"/>
    <n v="3136.85"/>
    <n v="392.58"/>
    <n v="0.17"/>
    <x v="1"/>
    <n v="0.12515102730446148"/>
    <x v="10"/>
    <n v="2022"/>
  </r>
  <r>
    <s v="O00690"/>
    <d v="2023-09-10T00:00:00"/>
    <x v="463"/>
    <x v="3"/>
    <x v="0"/>
    <s v="Paper"/>
    <s v="Product_472"/>
    <n v="279.93"/>
    <n v="-16.739999999999998"/>
    <n v="0.26"/>
    <x v="0"/>
    <n v="-5.9800664451827239E-2"/>
    <x v="7"/>
    <n v="2023"/>
  </r>
  <r>
    <s v="O00691"/>
    <d v="2022-10-19T00:00:00"/>
    <x v="164"/>
    <x v="1"/>
    <x v="2"/>
    <s v="Chairs"/>
    <s v="Product_495"/>
    <n v="633.54999999999995"/>
    <n v="-255.45"/>
    <n v="0.3"/>
    <x v="0"/>
    <n v="-0.40320416699550155"/>
    <x v="5"/>
    <n v="2022"/>
  </r>
  <r>
    <s v="O00692"/>
    <d v="2022-11-03T00:00:00"/>
    <x v="425"/>
    <x v="3"/>
    <x v="1"/>
    <s v="Copiers"/>
    <s v="Product_460"/>
    <n v="2936.93"/>
    <n v="-1245.6199999999999"/>
    <n v="0.28000000000000003"/>
    <x v="0"/>
    <n v="-0.42412314900252984"/>
    <x v="9"/>
    <n v="2022"/>
  </r>
  <r>
    <s v="O00693"/>
    <d v="2023-04-28T00:00:00"/>
    <x v="280"/>
    <x v="0"/>
    <x v="1"/>
    <s v="Phones"/>
    <s v="Product_356"/>
    <n v="3816.37"/>
    <n v="-1568.7"/>
    <n v="0.25"/>
    <x v="0"/>
    <n v="-0.41104505066332669"/>
    <x v="0"/>
    <n v="2023"/>
  </r>
  <r>
    <s v="O00694"/>
    <d v="2023-09-19T00:00:00"/>
    <x v="314"/>
    <x v="0"/>
    <x v="1"/>
    <s v="Accessories"/>
    <s v="Product_293"/>
    <n v="2682.56"/>
    <n v="154.24"/>
    <n v="0.16"/>
    <x v="1"/>
    <n v="5.7497315996659915E-2"/>
    <x v="7"/>
    <n v="2023"/>
  </r>
  <r>
    <s v="O00695"/>
    <d v="2023-09-12T00:00:00"/>
    <x v="432"/>
    <x v="3"/>
    <x v="0"/>
    <s v="Storage"/>
    <s v="Product_219"/>
    <n v="2691.84"/>
    <n v="550.33000000000004"/>
    <n v="0.03"/>
    <x v="1"/>
    <n v="0.2044438005230623"/>
    <x v="7"/>
    <n v="2023"/>
  </r>
  <r>
    <s v="O00696"/>
    <d v="2022-05-13T00:00:00"/>
    <x v="397"/>
    <x v="2"/>
    <x v="0"/>
    <s v="Paper"/>
    <s v="Product_267"/>
    <n v="1372.33"/>
    <n v="5.42"/>
    <n v="0.17"/>
    <x v="1"/>
    <n v="3.9494873681986111E-3"/>
    <x v="11"/>
    <n v="2022"/>
  </r>
  <r>
    <s v="O00697"/>
    <d v="2022-08-27T00:00:00"/>
    <x v="464"/>
    <x v="3"/>
    <x v="0"/>
    <s v="Storage"/>
    <s v="Product_100"/>
    <n v="2538.9299999999998"/>
    <n v="229.01"/>
    <n v="0.24"/>
    <x v="1"/>
    <n v="9.0199414714072459E-2"/>
    <x v="3"/>
    <n v="2022"/>
  </r>
  <r>
    <s v="O00698"/>
    <d v="2022-08-01T00:00:00"/>
    <x v="127"/>
    <x v="2"/>
    <x v="2"/>
    <s v="Chairs"/>
    <s v="Product_212"/>
    <n v="217.54"/>
    <n v="-69.45"/>
    <n v="0.19"/>
    <x v="0"/>
    <n v="-0.31925163188379152"/>
    <x v="3"/>
    <n v="2022"/>
  </r>
  <r>
    <s v="O00699"/>
    <d v="2023-10-18T00:00:00"/>
    <x v="460"/>
    <x v="3"/>
    <x v="2"/>
    <s v="Tables"/>
    <s v="Product_131"/>
    <n v="1813.29"/>
    <n v="-566.83000000000004"/>
    <n v="0.24"/>
    <x v="0"/>
    <n v="-0.31259754369130149"/>
    <x v="5"/>
    <n v="2023"/>
  </r>
  <r>
    <s v="O00700"/>
    <d v="2022-04-27T00:00:00"/>
    <x v="429"/>
    <x v="3"/>
    <x v="2"/>
    <s v="Tables"/>
    <s v="Product_175"/>
    <n v="1571.39"/>
    <n v="157.47999999999999"/>
    <n v="0.16"/>
    <x v="1"/>
    <n v="0.10021700532649437"/>
    <x v="0"/>
    <n v="2022"/>
  </r>
  <r>
    <s v="O00701"/>
    <d v="2022-07-18T00:00:00"/>
    <x v="22"/>
    <x v="3"/>
    <x v="1"/>
    <s v="Copiers"/>
    <s v="Product_473"/>
    <n v="2887.72"/>
    <n v="26.64"/>
    <n v="0.28999999999999998"/>
    <x v="1"/>
    <n v="9.2252711481722611E-3"/>
    <x v="2"/>
    <n v="2022"/>
  </r>
  <r>
    <s v="O00702"/>
    <d v="2023-05-09T00:00:00"/>
    <x v="465"/>
    <x v="2"/>
    <x v="0"/>
    <s v="Paper"/>
    <s v="Product_457"/>
    <n v="4589.2"/>
    <n v="-241.43"/>
    <n v="0.24"/>
    <x v="0"/>
    <n v="-5.2608297742525935E-2"/>
    <x v="11"/>
    <n v="2023"/>
  </r>
  <r>
    <s v="O00703"/>
    <d v="2022-02-27T00:00:00"/>
    <x v="466"/>
    <x v="3"/>
    <x v="0"/>
    <s v="Paper"/>
    <s v="Product_290"/>
    <n v="2366.1"/>
    <n v="276.06"/>
    <n v="0.24"/>
    <x v="1"/>
    <n v="0.11667300621275517"/>
    <x v="10"/>
    <n v="2022"/>
  </r>
  <r>
    <s v="O00704"/>
    <d v="2023-12-03T00:00:00"/>
    <x v="319"/>
    <x v="3"/>
    <x v="0"/>
    <s v="Storage"/>
    <s v="Product_34"/>
    <n v="1645.96"/>
    <n v="-386.87"/>
    <n v="0.16"/>
    <x v="0"/>
    <n v="-0.23504216384359281"/>
    <x v="4"/>
    <n v="2023"/>
  </r>
  <r>
    <s v="O00705"/>
    <d v="2023-07-02T00:00:00"/>
    <x v="291"/>
    <x v="2"/>
    <x v="2"/>
    <s v="Tables"/>
    <s v="Product_96"/>
    <n v="4219.62"/>
    <n v="-315.86"/>
    <n v="0.1"/>
    <x v="0"/>
    <n v="-7.4855081737218054E-2"/>
    <x v="2"/>
    <n v="2023"/>
  </r>
  <r>
    <s v="O00706"/>
    <d v="2022-11-19T00:00:00"/>
    <x v="100"/>
    <x v="0"/>
    <x v="0"/>
    <s v="Binders"/>
    <s v="Product_140"/>
    <n v="4336.51"/>
    <n v="-29.66"/>
    <n v="0.23"/>
    <x v="0"/>
    <n v="-6.8396014306435354E-3"/>
    <x v="9"/>
    <n v="2022"/>
  </r>
  <r>
    <s v="O00707"/>
    <d v="2022-11-06T00:00:00"/>
    <x v="130"/>
    <x v="3"/>
    <x v="1"/>
    <s v="Phones"/>
    <s v="Product_90"/>
    <n v="2535.5700000000002"/>
    <n v="2.9"/>
    <n v="7.0000000000000007E-2"/>
    <x v="1"/>
    <n v="1.1437270515111001E-3"/>
    <x v="9"/>
    <n v="2022"/>
  </r>
  <r>
    <s v="O00708"/>
    <d v="2023-03-31T00:00:00"/>
    <x v="467"/>
    <x v="0"/>
    <x v="2"/>
    <s v="Tables"/>
    <s v="Product_410"/>
    <n v="3946.23"/>
    <n v="465.7"/>
    <n v="0.23"/>
    <x v="1"/>
    <n v="0.11801136781181025"/>
    <x v="6"/>
    <n v="2023"/>
  </r>
  <r>
    <s v="O00709"/>
    <d v="2023-06-21T00:00:00"/>
    <x v="468"/>
    <x v="3"/>
    <x v="1"/>
    <s v="Copiers"/>
    <s v="Product_74"/>
    <n v="854.98"/>
    <n v="-8.48"/>
    <n v="0.1"/>
    <x v="0"/>
    <n v="-9.9183606634073319E-3"/>
    <x v="8"/>
    <n v="2023"/>
  </r>
  <r>
    <s v="O00710"/>
    <d v="2023-04-16T00:00:00"/>
    <x v="469"/>
    <x v="0"/>
    <x v="2"/>
    <s v="Bookcases"/>
    <s v="Product_3"/>
    <n v="3415.91"/>
    <n v="665.22"/>
    <n v="0.04"/>
    <x v="1"/>
    <n v="0.1947416647394106"/>
    <x v="0"/>
    <n v="2023"/>
  </r>
  <r>
    <s v="O00711"/>
    <d v="2023-04-24T00:00:00"/>
    <x v="390"/>
    <x v="0"/>
    <x v="1"/>
    <s v="Phones"/>
    <s v="Product_267"/>
    <n v="3466.56"/>
    <n v="-1136.18"/>
    <n v="0.18"/>
    <x v="0"/>
    <n v="-0.32775431551740059"/>
    <x v="0"/>
    <n v="2023"/>
  </r>
  <r>
    <s v="O00712"/>
    <d v="2022-08-03T00:00:00"/>
    <x v="182"/>
    <x v="1"/>
    <x v="0"/>
    <s v="Storage"/>
    <s v="Product_99"/>
    <n v="1631.16"/>
    <n v="-298.04000000000002"/>
    <n v="0.17"/>
    <x v="0"/>
    <n v="-0.18271659432551068"/>
    <x v="3"/>
    <n v="2022"/>
  </r>
  <r>
    <s v="O00713"/>
    <d v="2022-10-07T00:00:00"/>
    <x v="84"/>
    <x v="1"/>
    <x v="1"/>
    <s v="Accessories"/>
    <s v="Product_141"/>
    <n v="2708.15"/>
    <n v="-74"/>
    <n v="0.23"/>
    <x v="0"/>
    <n v="-2.7324926610416703E-2"/>
    <x v="5"/>
    <n v="2022"/>
  </r>
  <r>
    <s v="O00714"/>
    <d v="2023-07-10T00:00:00"/>
    <x v="139"/>
    <x v="3"/>
    <x v="2"/>
    <s v="Chairs"/>
    <s v="Product_139"/>
    <n v="4795.66"/>
    <n v="-1479.82"/>
    <n v="0.17"/>
    <x v="0"/>
    <n v="-0.30857483641459155"/>
    <x v="2"/>
    <n v="2023"/>
  </r>
  <r>
    <s v="O00715"/>
    <d v="2022-11-15T00:00:00"/>
    <x v="470"/>
    <x v="3"/>
    <x v="2"/>
    <s v="Bookcases"/>
    <s v="Product_277"/>
    <n v="4039.61"/>
    <n v="-1079.53"/>
    <n v="0.17"/>
    <x v="0"/>
    <n v="-0.26723619359294581"/>
    <x v="9"/>
    <n v="2022"/>
  </r>
  <r>
    <s v="O00716"/>
    <d v="2022-04-19T00:00:00"/>
    <x v="471"/>
    <x v="0"/>
    <x v="1"/>
    <s v="Phones"/>
    <s v="Product_45"/>
    <n v="737.36"/>
    <n v="48.15"/>
    <n v="0.14000000000000001"/>
    <x v="1"/>
    <n v="6.5300531626342626E-2"/>
    <x v="0"/>
    <n v="2022"/>
  </r>
  <r>
    <s v="O00717"/>
    <d v="2023-12-08T00:00:00"/>
    <x v="472"/>
    <x v="2"/>
    <x v="1"/>
    <s v="Accessories"/>
    <s v="Product_316"/>
    <n v="977.02"/>
    <n v="-23.79"/>
    <n v="0.18"/>
    <x v="0"/>
    <n v="-2.4349552721541011E-2"/>
    <x v="4"/>
    <n v="2023"/>
  </r>
  <r>
    <s v="O00718"/>
    <d v="2023-07-01T00:00:00"/>
    <x v="473"/>
    <x v="2"/>
    <x v="1"/>
    <s v="Accessories"/>
    <s v="Product_291"/>
    <n v="1728.43"/>
    <n v="337.12"/>
    <n v="0.06"/>
    <x v="1"/>
    <n v="0.19504405732369839"/>
    <x v="2"/>
    <n v="2023"/>
  </r>
  <r>
    <s v="O00719"/>
    <d v="2023-04-12T00:00:00"/>
    <x v="468"/>
    <x v="2"/>
    <x v="2"/>
    <s v="Chairs"/>
    <s v="Product_241"/>
    <n v="4082.97"/>
    <n v="-812.65"/>
    <n v="0.28000000000000003"/>
    <x v="0"/>
    <n v="-0.19903403649794146"/>
    <x v="0"/>
    <n v="2023"/>
  </r>
  <r>
    <s v="O00720"/>
    <d v="2023-01-08T00:00:00"/>
    <x v="474"/>
    <x v="1"/>
    <x v="2"/>
    <s v="Chairs"/>
    <s v="Product_359"/>
    <n v="804.24"/>
    <n v="-253.47"/>
    <n v="0.27"/>
    <x v="0"/>
    <n v="-0.31516711429424055"/>
    <x v="1"/>
    <n v="2023"/>
  </r>
  <r>
    <s v="O00721"/>
    <d v="2022-01-31T00:00:00"/>
    <x v="475"/>
    <x v="2"/>
    <x v="0"/>
    <s v="Paper"/>
    <s v="Product_58"/>
    <n v="3965.02"/>
    <n v="-745.54"/>
    <n v="0.26"/>
    <x v="0"/>
    <n v="-0.18802931637167025"/>
    <x v="1"/>
    <n v="2022"/>
  </r>
  <r>
    <s v="O00722"/>
    <d v="2023-09-11T00:00:00"/>
    <x v="476"/>
    <x v="1"/>
    <x v="1"/>
    <s v="Accessories"/>
    <s v="Product_261"/>
    <n v="2360.08"/>
    <n v="497.42"/>
    <n v="0.05"/>
    <x v="1"/>
    <n v="0.21076404189688486"/>
    <x v="7"/>
    <n v="2023"/>
  </r>
  <r>
    <s v="O00723"/>
    <d v="2023-10-28T00:00:00"/>
    <x v="477"/>
    <x v="3"/>
    <x v="2"/>
    <s v="Tables"/>
    <s v="Product_273"/>
    <n v="4106.01"/>
    <n v="-1003.83"/>
    <n v="0.24"/>
    <x v="0"/>
    <n v="-0.24447821607838266"/>
    <x v="5"/>
    <n v="2023"/>
  </r>
  <r>
    <s v="O00724"/>
    <d v="2022-06-12T00:00:00"/>
    <x v="478"/>
    <x v="2"/>
    <x v="1"/>
    <s v="Accessories"/>
    <s v="Product_34"/>
    <n v="2993.63"/>
    <n v="-370.57"/>
    <n v="7.0000000000000007E-2"/>
    <x v="0"/>
    <n v="-0.12378617263990539"/>
    <x v="8"/>
    <n v="2022"/>
  </r>
  <r>
    <s v="O00725"/>
    <d v="2023-03-22T00:00:00"/>
    <x v="382"/>
    <x v="3"/>
    <x v="1"/>
    <s v="Phones"/>
    <s v="Product_279"/>
    <n v="4088.19"/>
    <n v="370.34"/>
    <n v="0.18"/>
    <x v="1"/>
    <n v="9.0587766224172542E-2"/>
    <x v="6"/>
    <n v="2023"/>
  </r>
  <r>
    <s v="O00726"/>
    <d v="2023-12-30T00:00:00"/>
    <x v="479"/>
    <x v="2"/>
    <x v="0"/>
    <s v="Binders"/>
    <s v="Product_59"/>
    <n v="948.12"/>
    <n v="41.36"/>
    <n v="0.2"/>
    <x v="1"/>
    <n v="4.362317006286124E-2"/>
    <x v="4"/>
    <n v="2023"/>
  </r>
  <r>
    <s v="O00727"/>
    <d v="2022-06-30T00:00:00"/>
    <x v="146"/>
    <x v="2"/>
    <x v="0"/>
    <s v="Storage"/>
    <s v="Product_36"/>
    <n v="2368.25"/>
    <n v="291.8"/>
    <n v="0.17"/>
    <x v="1"/>
    <n v="0.12321334318589676"/>
    <x v="8"/>
    <n v="2022"/>
  </r>
  <r>
    <s v="O00728"/>
    <d v="2022-12-02T00:00:00"/>
    <x v="480"/>
    <x v="0"/>
    <x v="0"/>
    <s v="Binders"/>
    <s v="Product_47"/>
    <n v="3458.99"/>
    <n v="387.13"/>
    <n v="0.18"/>
    <x v="1"/>
    <n v="0.11191995351244149"/>
    <x v="4"/>
    <n v="2022"/>
  </r>
  <r>
    <s v="O00729"/>
    <d v="2022-01-01T00:00:00"/>
    <x v="225"/>
    <x v="1"/>
    <x v="2"/>
    <s v="Chairs"/>
    <s v="Product_339"/>
    <n v="4447.58"/>
    <n v="-392.81"/>
    <n v="0.27"/>
    <x v="0"/>
    <n v="-8.8319940282130957E-2"/>
    <x v="1"/>
    <n v="2022"/>
  </r>
  <r>
    <s v="O00730"/>
    <d v="2022-07-20T00:00:00"/>
    <x v="481"/>
    <x v="3"/>
    <x v="2"/>
    <s v="Tables"/>
    <s v="Product_154"/>
    <n v="2703.15"/>
    <n v="72.33"/>
    <n v="0.12"/>
    <x v="1"/>
    <n v="2.6757671605349313E-2"/>
    <x v="2"/>
    <n v="2022"/>
  </r>
  <r>
    <s v="O00731"/>
    <d v="2022-12-19T00:00:00"/>
    <x v="416"/>
    <x v="0"/>
    <x v="0"/>
    <s v="Storage"/>
    <s v="Product_314"/>
    <n v="1592.3"/>
    <n v="-348.97"/>
    <n v="0.28000000000000003"/>
    <x v="0"/>
    <n v="-0.21916096213025185"/>
    <x v="4"/>
    <n v="2022"/>
  </r>
  <r>
    <s v="O00732"/>
    <d v="2023-07-17T00:00:00"/>
    <x v="256"/>
    <x v="0"/>
    <x v="0"/>
    <s v="Paper"/>
    <s v="Product_361"/>
    <n v="4253.42"/>
    <n v="-1797.3"/>
    <n v="0.26"/>
    <x v="0"/>
    <n v="-0.42255408588853205"/>
    <x v="2"/>
    <n v="2023"/>
  </r>
  <r>
    <s v="O00733"/>
    <d v="2023-03-19T00:00:00"/>
    <x v="482"/>
    <x v="2"/>
    <x v="0"/>
    <s v="Paper"/>
    <s v="Product_321"/>
    <n v="637.52"/>
    <n v="-166.58"/>
    <n v="0.08"/>
    <x v="0"/>
    <n v="-0.2612937633329151"/>
    <x v="6"/>
    <n v="2023"/>
  </r>
  <r>
    <s v="O00734"/>
    <d v="2023-11-10T00:00:00"/>
    <x v="154"/>
    <x v="2"/>
    <x v="1"/>
    <s v="Copiers"/>
    <s v="Product_72"/>
    <n v="1975.67"/>
    <n v="33.729999999999997"/>
    <n v="0.11"/>
    <x v="1"/>
    <n v="1.7072689264907598E-2"/>
    <x v="9"/>
    <n v="2023"/>
  </r>
  <r>
    <s v="O00735"/>
    <d v="2022-06-07T00:00:00"/>
    <x v="88"/>
    <x v="1"/>
    <x v="2"/>
    <s v="Bookcases"/>
    <s v="Product_69"/>
    <n v="1984.52"/>
    <n v="47.58"/>
    <n v="0.28000000000000003"/>
    <x v="1"/>
    <n v="2.3975570918912382E-2"/>
    <x v="8"/>
    <n v="2022"/>
  </r>
  <r>
    <s v="O00736"/>
    <d v="2023-11-05T00:00:00"/>
    <x v="483"/>
    <x v="1"/>
    <x v="2"/>
    <s v="Chairs"/>
    <s v="Product_44"/>
    <n v="3277.11"/>
    <n v="953.42"/>
    <n v="0.04"/>
    <x v="1"/>
    <n v="0.29093316977458794"/>
    <x v="9"/>
    <n v="2023"/>
  </r>
  <r>
    <s v="O00737"/>
    <d v="2023-12-14T00:00:00"/>
    <x v="392"/>
    <x v="2"/>
    <x v="2"/>
    <s v="Bookcases"/>
    <s v="Product_320"/>
    <n v="4049.11"/>
    <n v="308.33999999999997"/>
    <n v="0.26"/>
    <x v="1"/>
    <n v="7.6150067545707564E-2"/>
    <x v="4"/>
    <n v="2023"/>
  </r>
  <r>
    <s v="O00738"/>
    <d v="2022-12-30T00:00:00"/>
    <x v="85"/>
    <x v="1"/>
    <x v="2"/>
    <s v="Tables"/>
    <s v="Product_218"/>
    <n v="2596.13"/>
    <n v="-259.54000000000002"/>
    <n v="0.17"/>
    <x v="0"/>
    <n v="-9.9971881223205314E-2"/>
    <x v="4"/>
    <n v="2022"/>
  </r>
  <r>
    <s v="O00739"/>
    <d v="2023-05-29T00:00:00"/>
    <x v="421"/>
    <x v="2"/>
    <x v="0"/>
    <s v="Binders"/>
    <s v="Product_475"/>
    <n v="2931.9"/>
    <n v="-902.88"/>
    <n v="0.25"/>
    <x v="0"/>
    <n v="-0.30795047580067531"/>
    <x v="11"/>
    <n v="2023"/>
  </r>
  <r>
    <s v="O00740"/>
    <d v="2023-12-23T00:00:00"/>
    <x v="206"/>
    <x v="0"/>
    <x v="0"/>
    <s v="Storage"/>
    <s v="Product_298"/>
    <n v="1898.15"/>
    <n v="-283.02999999999997"/>
    <n v="0.28999999999999998"/>
    <x v="0"/>
    <n v="-0.14910834233332454"/>
    <x v="4"/>
    <n v="2023"/>
  </r>
  <r>
    <s v="O00741"/>
    <d v="2022-10-14T00:00:00"/>
    <x v="484"/>
    <x v="0"/>
    <x v="1"/>
    <s v="Copiers"/>
    <s v="Product_268"/>
    <n v="492.31"/>
    <n v="-51.28"/>
    <n v="0.22"/>
    <x v="0"/>
    <n v="-0.10416201174056997"/>
    <x v="5"/>
    <n v="2022"/>
  </r>
  <r>
    <s v="O00742"/>
    <d v="2023-11-16T00:00:00"/>
    <x v="485"/>
    <x v="3"/>
    <x v="0"/>
    <s v="Binders"/>
    <s v="Product_314"/>
    <n v="1301.6300000000001"/>
    <n v="10.73"/>
    <n v="0.19"/>
    <x v="1"/>
    <n v="8.2435100604626495E-3"/>
    <x v="9"/>
    <n v="2023"/>
  </r>
  <r>
    <s v="O00743"/>
    <d v="2023-04-26T00:00:00"/>
    <x v="479"/>
    <x v="3"/>
    <x v="2"/>
    <s v="Tables"/>
    <s v="Product_216"/>
    <n v="2721.66"/>
    <n v="197.1"/>
    <n v="0"/>
    <x v="1"/>
    <n v="7.2419038380988079E-2"/>
    <x v="0"/>
    <n v="2023"/>
  </r>
  <r>
    <s v="O00744"/>
    <d v="2022-11-08T00:00:00"/>
    <x v="486"/>
    <x v="3"/>
    <x v="1"/>
    <s v="Accessories"/>
    <s v="Product_32"/>
    <n v="1517.12"/>
    <n v="521.46"/>
    <n v="0.01"/>
    <x v="1"/>
    <n v="0.34371704281797094"/>
    <x v="9"/>
    <n v="2022"/>
  </r>
  <r>
    <s v="O00745"/>
    <d v="2022-10-26T00:00:00"/>
    <x v="277"/>
    <x v="0"/>
    <x v="0"/>
    <s v="Paper"/>
    <s v="Product_147"/>
    <n v="2932.89"/>
    <n v="69.78"/>
    <n v="0.17"/>
    <x v="1"/>
    <n v="2.3792232235099169E-2"/>
    <x v="5"/>
    <n v="2022"/>
  </r>
  <r>
    <s v="O00746"/>
    <d v="2022-09-16T00:00:00"/>
    <x v="260"/>
    <x v="3"/>
    <x v="1"/>
    <s v="Phones"/>
    <s v="Product_141"/>
    <n v="721.42"/>
    <n v="180.54"/>
    <n v="0.02"/>
    <x v="1"/>
    <n v="0.25025643869036068"/>
    <x v="7"/>
    <n v="2022"/>
  </r>
  <r>
    <s v="O00747"/>
    <d v="2022-06-04T00:00:00"/>
    <x v="54"/>
    <x v="2"/>
    <x v="1"/>
    <s v="Phones"/>
    <s v="Product_190"/>
    <n v="3733"/>
    <n v="619.97"/>
    <n v="0.18"/>
    <x v="1"/>
    <n v="0.16607822126975624"/>
    <x v="8"/>
    <n v="2022"/>
  </r>
  <r>
    <s v="O00748"/>
    <d v="2023-06-25T00:00:00"/>
    <x v="285"/>
    <x v="3"/>
    <x v="2"/>
    <s v="Tables"/>
    <s v="Product_44"/>
    <n v="3934.39"/>
    <n v="-635.46"/>
    <n v="7.0000000000000007E-2"/>
    <x v="0"/>
    <n v="-0.16151423727693495"/>
    <x v="8"/>
    <n v="2023"/>
  </r>
  <r>
    <s v="O00749"/>
    <d v="2023-02-27T00:00:00"/>
    <x v="223"/>
    <x v="2"/>
    <x v="2"/>
    <s v="Bookcases"/>
    <s v="Product_122"/>
    <n v="4676.32"/>
    <n v="222.45"/>
    <n v="0.05"/>
    <x v="1"/>
    <n v="4.7569456324631332E-2"/>
    <x v="10"/>
    <n v="2023"/>
  </r>
  <r>
    <s v="O00750"/>
    <d v="2022-12-20T00:00:00"/>
    <x v="325"/>
    <x v="3"/>
    <x v="0"/>
    <s v="Paper"/>
    <s v="Product_387"/>
    <n v="3657.4"/>
    <n v="353.5"/>
    <n v="0.05"/>
    <x v="1"/>
    <n v="9.6653360310603162E-2"/>
    <x v="4"/>
    <n v="2022"/>
  </r>
  <r>
    <s v="O00751"/>
    <d v="2023-06-30T00:00:00"/>
    <x v="389"/>
    <x v="2"/>
    <x v="2"/>
    <s v="Chairs"/>
    <s v="Product_350"/>
    <n v="921.24"/>
    <n v="-128.22"/>
    <n v="0.12"/>
    <x v="0"/>
    <n v="-0.13918197212452782"/>
    <x v="8"/>
    <n v="2023"/>
  </r>
  <r>
    <s v="O00752"/>
    <d v="2022-01-13T00:00:00"/>
    <x v="88"/>
    <x v="2"/>
    <x v="0"/>
    <s v="Paper"/>
    <s v="Product_196"/>
    <n v="2425.4899999999998"/>
    <n v="684.39"/>
    <n v="0.04"/>
    <x v="1"/>
    <n v="0.28216566549439498"/>
    <x v="1"/>
    <n v="2022"/>
  </r>
  <r>
    <s v="O00753"/>
    <d v="2023-06-29T00:00:00"/>
    <x v="487"/>
    <x v="3"/>
    <x v="0"/>
    <s v="Paper"/>
    <s v="Product_490"/>
    <n v="4812.6400000000003"/>
    <n v="-1806.61"/>
    <n v="0.2"/>
    <x v="0"/>
    <n v="-0.3753885601250041"/>
    <x v="8"/>
    <n v="2023"/>
  </r>
  <r>
    <s v="O00754"/>
    <d v="2022-10-01T00:00:00"/>
    <x v="383"/>
    <x v="3"/>
    <x v="1"/>
    <s v="Copiers"/>
    <s v="Product_336"/>
    <n v="4598.41"/>
    <n v="-1191.08"/>
    <n v="0.26"/>
    <x v="0"/>
    <n v="-0.25901996559680412"/>
    <x v="5"/>
    <n v="2022"/>
  </r>
  <r>
    <s v="O00755"/>
    <d v="2023-11-20T00:00:00"/>
    <x v="131"/>
    <x v="1"/>
    <x v="0"/>
    <s v="Paper"/>
    <s v="Product_267"/>
    <n v="2359.4299999999998"/>
    <n v="-601.47"/>
    <n v="0.2"/>
    <x v="0"/>
    <n v="-0.25492173957269343"/>
    <x v="9"/>
    <n v="2023"/>
  </r>
  <r>
    <s v="O00756"/>
    <d v="2023-11-20T00:00:00"/>
    <x v="37"/>
    <x v="0"/>
    <x v="1"/>
    <s v="Copiers"/>
    <s v="Product_7"/>
    <n v="3482.36"/>
    <n v="273.60000000000002"/>
    <n v="0.05"/>
    <x v="1"/>
    <n v="7.8567408309307488E-2"/>
    <x v="9"/>
    <n v="2023"/>
  </r>
  <r>
    <s v="O00757"/>
    <d v="2022-10-18T00:00:00"/>
    <x v="264"/>
    <x v="1"/>
    <x v="1"/>
    <s v="Phones"/>
    <s v="Product_18"/>
    <n v="2673.79"/>
    <n v="-532.33000000000004"/>
    <n v="0.21"/>
    <x v="0"/>
    <n v="-0.19909192569349127"/>
    <x v="5"/>
    <n v="2022"/>
  </r>
  <r>
    <s v="O00758"/>
    <d v="2022-08-11T00:00:00"/>
    <x v="488"/>
    <x v="0"/>
    <x v="2"/>
    <s v="Bookcases"/>
    <s v="Product_363"/>
    <n v="550.51"/>
    <n v="-47.36"/>
    <n v="0.28000000000000003"/>
    <x v="0"/>
    <n v="-8.6029318268514648E-2"/>
    <x v="3"/>
    <n v="2022"/>
  </r>
  <r>
    <s v="O00759"/>
    <d v="2023-10-26T00:00:00"/>
    <x v="489"/>
    <x v="1"/>
    <x v="2"/>
    <s v="Chairs"/>
    <s v="Product_459"/>
    <n v="4296.5600000000004"/>
    <n v="660.97"/>
    <n v="0.04"/>
    <x v="1"/>
    <n v="0.15383702310685757"/>
    <x v="5"/>
    <n v="2023"/>
  </r>
  <r>
    <s v="O00760"/>
    <d v="2022-03-19T00:00:00"/>
    <x v="490"/>
    <x v="2"/>
    <x v="2"/>
    <s v="Bookcases"/>
    <s v="Product_473"/>
    <n v="1002.89"/>
    <n v="106.59"/>
    <n v="0.09"/>
    <x v="1"/>
    <n v="0.10628284258492955"/>
    <x v="6"/>
    <n v="2022"/>
  </r>
  <r>
    <s v="O00761"/>
    <d v="2022-09-21T00:00:00"/>
    <x v="491"/>
    <x v="0"/>
    <x v="1"/>
    <s v="Accessories"/>
    <s v="Product_142"/>
    <n v="3491.89"/>
    <n v="216.75"/>
    <n v="0.2"/>
    <x v="1"/>
    <n v="6.207240205161102E-2"/>
    <x v="7"/>
    <n v="2022"/>
  </r>
  <r>
    <s v="O00762"/>
    <d v="2022-09-29T00:00:00"/>
    <x v="492"/>
    <x v="2"/>
    <x v="2"/>
    <s v="Tables"/>
    <s v="Product_36"/>
    <n v="2004.09"/>
    <n v="-691.52"/>
    <n v="0.3"/>
    <x v="0"/>
    <n v="-0.34505436382597587"/>
    <x v="7"/>
    <n v="2022"/>
  </r>
  <r>
    <s v="O00763"/>
    <d v="2022-05-28T00:00:00"/>
    <x v="27"/>
    <x v="2"/>
    <x v="1"/>
    <s v="Phones"/>
    <s v="Product_112"/>
    <n v="3090.48"/>
    <n v="139.80000000000001"/>
    <n v="0.05"/>
    <x v="1"/>
    <n v="4.5235691543061278E-2"/>
    <x v="11"/>
    <n v="2022"/>
  </r>
  <r>
    <s v="O00764"/>
    <d v="2022-02-05T00:00:00"/>
    <x v="196"/>
    <x v="0"/>
    <x v="0"/>
    <s v="Storage"/>
    <s v="Product_293"/>
    <n v="620.62"/>
    <n v="-108.36"/>
    <n v="0.13"/>
    <x v="0"/>
    <n v="-0.17459959395443267"/>
    <x v="10"/>
    <n v="2022"/>
  </r>
  <r>
    <s v="O00765"/>
    <d v="2023-10-31T00:00:00"/>
    <x v="8"/>
    <x v="0"/>
    <x v="0"/>
    <s v="Paper"/>
    <s v="Product_478"/>
    <n v="3908.46"/>
    <n v="346.37"/>
    <n v="0.01"/>
    <x v="1"/>
    <n v="8.8620582019516642E-2"/>
    <x v="5"/>
    <n v="2023"/>
  </r>
  <r>
    <s v="O00766"/>
    <d v="2023-02-05T00:00:00"/>
    <x v="476"/>
    <x v="0"/>
    <x v="2"/>
    <s v="Bookcases"/>
    <s v="Product_264"/>
    <n v="2013.37"/>
    <n v="-104.9"/>
    <n v="0.05"/>
    <x v="0"/>
    <n v="-5.2101700134600207E-2"/>
    <x v="10"/>
    <n v="2023"/>
  </r>
  <r>
    <s v="O00767"/>
    <d v="2022-03-13T00:00:00"/>
    <x v="27"/>
    <x v="1"/>
    <x v="0"/>
    <s v="Paper"/>
    <s v="Product_2"/>
    <n v="2442.88"/>
    <n v="284.99"/>
    <n v="0.12"/>
    <x v="1"/>
    <n v="0.11666148152999738"/>
    <x v="6"/>
    <n v="2022"/>
  </r>
  <r>
    <s v="O00768"/>
    <d v="2023-01-03T00:00:00"/>
    <x v="493"/>
    <x v="3"/>
    <x v="1"/>
    <s v="Copiers"/>
    <s v="Product_206"/>
    <n v="4108.09"/>
    <n v="1.42"/>
    <n v="0.14000000000000001"/>
    <x v="1"/>
    <n v="3.4565941836717305E-4"/>
    <x v="1"/>
    <n v="2023"/>
  </r>
  <r>
    <s v="O00769"/>
    <d v="2022-12-15T00:00:00"/>
    <x v="62"/>
    <x v="2"/>
    <x v="2"/>
    <s v="Bookcases"/>
    <s v="Product_390"/>
    <n v="4985.38"/>
    <n v="-851.44"/>
    <n v="0.19"/>
    <x v="0"/>
    <n v="-0.17078738230586235"/>
    <x v="4"/>
    <n v="2022"/>
  </r>
  <r>
    <s v="O00770"/>
    <d v="2023-11-08T00:00:00"/>
    <x v="349"/>
    <x v="3"/>
    <x v="1"/>
    <s v="Copiers"/>
    <s v="Product_357"/>
    <n v="1095.29"/>
    <n v="230.57"/>
    <n v="0.17"/>
    <x v="1"/>
    <n v="0.21051045841740543"/>
    <x v="9"/>
    <n v="2023"/>
  </r>
  <r>
    <s v="O00771"/>
    <d v="2023-10-10T00:00:00"/>
    <x v="494"/>
    <x v="1"/>
    <x v="1"/>
    <s v="Phones"/>
    <s v="Product_72"/>
    <n v="3190.02"/>
    <n v="-826.48"/>
    <n v="0.11"/>
    <x v="0"/>
    <n v="-0.25908301515351001"/>
    <x v="5"/>
    <n v="2023"/>
  </r>
  <r>
    <s v="O00772"/>
    <d v="2023-02-03T00:00:00"/>
    <x v="177"/>
    <x v="3"/>
    <x v="2"/>
    <s v="Chairs"/>
    <s v="Product_256"/>
    <n v="224.29"/>
    <n v="-80.05"/>
    <n v="0.3"/>
    <x v="0"/>
    <n v="-0.35690400820366491"/>
    <x v="10"/>
    <n v="2023"/>
  </r>
  <r>
    <s v="O00773"/>
    <d v="2022-12-12T00:00:00"/>
    <x v="143"/>
    <x v="0"/>
    <x v="0"/>
    <s v="Paper"/>
    <s v="Product_208"/>
    <n v="4836.21"/>
    <n v="17.27"/>
    <n v="0"/>
    <x v="1"/>
    <n v="3.5709781006201136E-3"/>
    <x v="4"/>
    <n v="2022"/>
  </r>
  <r>
    <s v="O00774"/>
    <d v="2023-11-26T00:00:00"/>
    <x v="226"/>
    <x v="1"/>
    <x v="2"/>
    <s v="Chairs"/>
    <s v="Product_380"/>
    <n v="4054.81"/>
    <n v="-506.76"/>
    <n v="0.2"/>
    <x v="0"/>
    <n v="-0.12497749586293809"/>
    <x v="9"/>
    <n v="2023"/>
  </r>
  <r>
    <s v="O00775"/>
    <d v="2023-11-01T00:00:00"/>
    <x v="386"/>
    <x v="2"/>
    <x v="0"/>
    <s v="Binders"/>
    <s v="Product_465"/>
    <n v="4631.6000000000004"/>
    <n v="-579.16"/>
    <n v="0.01"/>
    <x v="0"/>
    <n v="-0.12504534070299678"/>
    <x v="9"/>
    <n v="2023"/>
  </r>
  <r>
    <s v="O00776"/>
    <d v="2023-10-10T00:00:00"/>
    <x v="58"/>
    <x v="3"/>
    <x v="0"/>
    <s v="Binders"/>
    <s v="Product_421"/>
    <n v="1289.1400000000001"/>
    <n v="-491.65"/>
    <n v="0.19"/>
    <x v="0"/>
    <n v="-0.38137828319654959"/>
    <x v="5"/>
    <n v="2023"/>
  </r>
  <r>
    <s v="O00777"/>
    <d v="2022-04-19T00:00:00"/>
    <x v="495"/>
    <x v="2"/>
    <x v="2"/>
    <s v="Tables"/>
    <s v="Product_305"/>
    <n v="3095.01"/>
    <n v="-1273.98"/>
    <n v="0.25"/>
    <x v="0"/>
    <n v="-0.41162387197456551"/>
    <x v="0"/>
    <n v="2022"/>
  </r>
  <r>
    <s v="O00778"/>
    <d v="2023-11-26T00:00:00"/>
    <x v="204"/>
    <x v="3"/>
    <x v="0"/>
    <s v="Binders"/>
    <s v="Product_62"/>
    <n v="409.24"/>
    <n v="-23.57"/>
    <n v="0.06"/>
    <x v="0"/>
    <n v="-5.7594565536115729E-2"/>
    <x v="9"/>
    <n v="2023"/>
  </r>
  <r>
    <s v="O00779"/>
    <d v="2022-08-07T00:00:00"/>
    <x v="147"/>
    <x v="0"/>
    <x v="0"/>
    <s v="Storage"/>
    <s v="Product_304"/>
    <n v="2774.84"/>
    <n v="773.67"/>
    <n v="0.1"/>
    <x v="1"/>
    <n v="0.27881607588185264"/>
    <x v="3"/>
    <n v="2022"/>
  </r>
  <r>
    <s v="O00780"/>
    <d v="2022-06-22T00:00:00"/>
    <x v="29"/>
    <x v="3"/>
    <x v="2"/>
    <s v="Tables"/>
    <s v="Product_284"/>
    <n v="409.79"/>
    <n v="71.52"/>
    <n v="0.08"/>
    <x v="1"/>
    <n v="0.17452841699407012"/>
    <x v="8"/>
    <n v="2022"/>
  </r>
  <r>
    <s v="O00781"/>
    <d v="2023-10-10T00:00:00"/>
    <x v="470"/>
    <x v="2"/>
    <x v="2"/>
    <s v="Tables"/>
    <s v="Product_399"/>
    <n v="1293.8599999999999"/>
    <n v="-375.19"/>
    <n v="0.17"/>
    <x v="0"/>
    <n v="-0.28997727729429773"/>
    <x v="5"/>
    <n v="2023"/>
  </r>
  <r>
    <s v="O00782"/>
    <d v="2022-04-02T00:00:00"/>
    <x v="432"/>
    <x v="3"/>
    <x v="2"/>
    <s v="Chairs"/>
    <s v="Product_214"/>
    <n v="4410.17"/>
    <n v="-951.12"/>
    <n v="0.02"/>
    <x v="0"/>
    <n v="-0.2156651557649705"/>
    <x v="0"/>
    <n v="2022"/>
  </r>
  <r>
    <s v="O00783"/>
    <d v="2023-06-20T00:00:00"/>
    <x v="496"/>
    <x v="2"/>
    <x v="0"/>
    <s v="Paper"/>
    <s v="Product_123"/>
    <n v="3492.56"/>
    <n v="432.71"/>
    <n v="0.06"/>
    <x v="1"/>
    <n v="0.12389479350390543"/>
    <x v="8"/>
    <n v="2023"/>
  </r>
  <r>
    <s v="O00784"/>
    <d v="2023-09-19T00:00:00"/>
    <x v="497"/>
    <x v="3"/>
    <x v="2"/>
    <s v="Bookcases"/>
    <s v="Product_179"/>
    <n v="3489.2"/>
    <n v="175.57"/>
    <n v="0.18"/>
    <x v="1"/>
    <n v="5.0318124498452368E-2"/>
    <x v="7"/>
    <n v="2023"/>
  </r>
  <r>
    <s v="O00785"/>
    <d v="2022-04-08T00:00:00"/>
    <x v="408"/>
    <x v="3"/>
    <x v="1"/>
    <s v="Phones"/>
    <s v="Product_442"/>
    <n v="2832.78"/>
    <n v="940.38"/>
    <n v="0.06"/>
    <x v="1"/>
    <n v="0.33196365407832584"/>
    <x v="0"/>
    <n v="2022"/>
  </r>
  <r>
    <s v="O00786"/>
    <d v="2022-10-11T00:00:00"/>
    <x v="256"/>
    <x v="1"/>
    <x v="0"/>
    <s v="Storage"/>
    <s v="Product_58"/>
    <n v="1174.45"/>
    <n v="-40.409999999999997"/>
    <n v="0.23"/>
    <x v="0"/>
    <n v="-3.4407595044488905E-2"/>
    <x v="5"/>
    <n v="2022"/>
  </r>
  <r>
    <s v="O00787"/>
    <d v="2022-06-13T00:00:00"/>
    <x v="320"/>
    <x v="0"/>
    <x v="2"/>
    <s v="Bookcases"/>
    <s v="Product_28"/>
    <n v="4234.53"/>
    <n v="-726.18"/>
    <n v="0.27"/>
    <x v="0"/>
    <n v="-0.17149010634001885"/>
    <x v="8"/>
    <n v="2022"/>
  </r>
  <r>
    <s v="O00788"/>
    <d v="2023-04-10T00:00:00"/>
    <x v="133"/>
    <x v="0"/>
    <x v="0"/>
    <s v="Paper"/>
    <s v="Product_380"/>
    <n v="1496.82"/>
    <n v="-193.72"/>
    <n v="0.13"/>
    <x v="0"/>
    <n v="-0.12942103926991891"/>
    <x v="0"/>
    <n v="2023"/>
  </r>
  <r>
    <s v="O00789"/>
    <d v="2022-04-29T00:00:00"/>
    <x v="477"/>
    <x v="1"/>
    <x v="2"/>
    <s v="Bookcases"/>
    <s v="Product_370"/>
    <n v="961.85"/>
    <n v="-143.28"/>
    <n v="0.24"/>
    <x v="0"/>
    <n v="-0.14896293600873317"/>
    <x v="0"/>
    <n v="2022"/>
  </r>
  <r>
    <s v="O00790"/>
    <d v="2022-11-30T00:00:00"/>
    <x v="498"/>
    <x v="0"/>
    <x v="1"/>
    <s v="Copiers"/>
    <s v="Product_167"/>
    <n v="2940.83"/>
    <n v="347.76"/>
    <n v="0.13"/>
    <x v="1"/>
    <n v="0.11825233012448866"/>
    <x v="9"/>
    <n v="2022"/>
  </r>
  <r>
    <s v="O00791"/>
    <d v="2022-08-14T00:00:00"/>
    <x v="190"/>
    <x v="2"/>
    <x v="2"/>
    <s v="Chairs"/>
    <s v="Product_300"/>
    <n v="1261.8800000000001"/>
    <n v="-252.41"/>
    <n v="0.12"/>
    <x v="0"/>
    <n v="-0.20002694392493736"/>
    <x v="3"/>
    <n v="2022"/>
  </r>
  <r>
    <s v="O00792"/>
    <d v="2023-04-11T00:00:00"/>
    <x v="492"/>
    <x v="2"/>
    <x v="1"/>
    <s v="Phones"/>
    <s v="Product_192"/>
    <n v="4463.3999999999996"/>
    <n v="1413.7"/>
    <n v="0.04"/>
    <x v="1"/>
    <n v="0.31673163955728822"/>
    <x v="0"/>
    <n v="2023"/>
  </r>
  <r>
    <s v="O00793"/>
    <d v="2022-07-27T00:00:00"/>
    <x v="169"/>
    <x v="1"/>
    <x v="2"/>
    <s v="Tables"/>
    <s v="Product_17"/>
    <n v="3627.12"/>
    <n v="708.5"/>
    <n v="0.19"/>
    <x v="1"/>
    <n v="0.19533403912746203"/>
    <x v="2"/>
    <n v="2022"/>
  </r>
  <r>
    <s v="O00794"/>
    <d v="2023-04-15T00:00:00"/>
    <x v="166"/>
    <x v="1"/>
    <x v="0"/>
    <s v="Storage"/>
    <s v="Product_390"/>
    <n v="392.29"/>
    <n v="106.31"/>
    <n v="0.04"/>
    <x v="1"/>
    <n v="0.27099849601060438"/>
    <x v="0"/>
    <n v="2023"/>
  </r>
  <r>
    <s v="O00795"/>
    <d v="2023-10-16T00:00:00"/>
    <x v="461"/>
    <x v="1"/>
    <x v="1"/>
    <s v="Phones"/>
    <s v="Product_296"/>
    <n v="4443.3999999999996"/>
    <n v="416.47"/>
    <n v="0.18"/>
    <x v="1"/>
    <n v="9.3727776027366441E-2"/>
    <x v="5"/>
    <n v="2023"/>
  </r>
  <r>
    <s v="O00796"/>
    <d v="2022-08-10T00:00:00"/>
    <x v="237"/>
    <x v="2"/>
    <x v="0"/>
    <s v="Binders"/>
    <s v="Product_429"/>
    <n v="523.72"/>
    <n v="-87.18"/>
    <n v="0.26"/>
    <x v="0"/>
    <n v="-0.1664629954937753"/>
    <x v="3"/>
    <n v="2022"/>
  </r>
  <r>
    <s v="O00797"/>
    <d v="2022-09-11T00:00:00"/>
    <x v="67"/>
    <x v="2"/>
    <x v="1"/>
    <s v="Accessories"/>
    <s v="Product_297"/>
    <n v="171.07"/>
    <n v="33.11"/>
    <n v="0.13"/>
    <x v="1"/>
    <n v="0.19354650143216229"/>
    <x v="7"/>
    <n v="2022"/>
  </r>
  <r>
    <s v="O00798"/>
    <d v="2023-03-04T00:00:00"/>
    <x v="499"/>
    <x v="0"/>
    <x v="2"/>
    <s v="Bookcases"/>
    <s v="Product_241"/>
    <n v="4736.6400000000003"/>
    <n v="326.60000000000002"/>
    <n v="0.27"/>
    <x v="1"/>
    <n v="6.8951830833671124E-2"/>
    <x v="6"/>
    <n v="2023"/>
  </r>
  <r>
    <s v="O00799"/>
    <d v="2023-12-15T00:00:00"/>
    <x v="383"/>
    <x v="2"/>
    <x v="0"/>
    <s v="Storage"/>
    <s v="Product_254"/>
    <n v="264.74"/>
    <n v="-19.18"/>
    <n v="0.16"/>
    <x v="0"/>
    <n v="-7.2448439978847173E-2"/>
    <x v="4"/>
    <n v="2023"/>
  </r>
  <r>
    <s v="O00800"/>
    <d v="2022-08-12T00:00:00"/>
    <x v="260"/>
    <x v="3"/>
    <x v="2"/>
    <s v="Chairs"/>
    <s v="Product_152"/>
    <n v="2836.59"/>
    <n v="678.15"/>
    <n v="0"/>
    <x v="1"/>
    <n v="0.23907226634797413"/>
    <x v="3"/>
    <n v="2022"/>
  </r>
  <r>
    <s v="O00801"/>
    <d v="2022-06-15T00:00:00"/>
    <x v="292"/>
    <x v="2"/>
    <x v="2"/>
    <s v="Bookcases"/>
    <s v="Product_440"/>
    <n v="4994.8599999999997"/>
    <n v="1006.07"/>
    <n v="0"/>
    <x v="1"/>
    <n v="0.20142106085055439"/>
    <x v="8"/>
    <n v="2022"/>
  </r>
  <r>
    <s v="O00802"/>
    <d v="2022-05-22T00:00:00"/>
    <x v="292"/>
    <x v="2"/>
    <x v="0"/>
    <s v="Storage"/>
    <s v="Product_95"/>
    <n v="2959.93"/>
    <n v="-626.75"/>
    <n v="0.28999999999999998"/>
    <x v="0"/>
    <n v="-0.21174487234495412"/>
    <x v="11"/>
    <n v="2022"/>
  </r>
  <r>
    <s v="O00803"/>
    <d v="2022-03-14T00:00:00"/>
    <x v="500"/>
    <x v="3"/>
    <x v="1"/>
    <s v="Copiers"/>
    <s v="Product_272"/>
    <n v="2375.0500000000002"/>
    <n v="299.8"/>
    <n v="0.19"/>
    <x v="1"/>
    <n v="0.12622892149638953"/>
    <x v="6"/>
    <n v="2022"/>
  </r>
  <r>
    <s v="O00804"/>
    <d v="2023-07-10T00:00:00"/>
    <x v="400"/>
    <x v="1"/>
    <x v="2"/>
    <s v="Tables"/>
    <s v="Product_404"/>
    <n v="2186.92"/>
    <n v="629.08000000000004"/>
    <n v="0.08"/>
    <x v="1"/>
    <n v="0.28765569842518246"/>
    <x v="2"/>
    <n v="2023"/>
  </r>
  <r>
    <s v="O00805"/>
    <d v="2023-06-12T00:00:00"/>
    <x v="219"/>
    <x v="3"/>
    <x v="0"/>
    <s v="Binders"/>
    <s v="Product_455"/>
    <n v="3140.23"/>
    <n v="814.41"/>
    <n v="0.1"/>
    <x v="1"/>
    <n v="0.25934724526547415"/>
    <x v="8"/>
    <n v="2023"/>
  </r>
  <r>
    <s v="O00806"/>
    <d v="2023-01-11T00:00:00"/>
    <x v="501"/>
    <x v="0"/>
    <x v="2"/>
    <s v="Chairs"/>
    <s v="Product_288"/>
    <n v="1976.48"/>
    <n v="-623.53"/>
    <n v="0.14000000000000001"/>
    <x v="0"/>
    <n v="-0.31547498583340078"/>
    <x v="1"/>
    <n v="2023"/>
  </r>
  <r>
    <s v="O00807"/>
    <d v="2023-10-27T00:00:00"/>
    <x v="83"/>
    <x v="1"/>
    <x v="0"/>
    <s v="Binders"/>
    <s v="Product_386"/>
    <n v="778.19"/>
    <n v="18.510000000000002"/>
    <n v="0.1"/>
    <x v="1"/>
    <n v="2.3785964867191818E-2"/>
    <x v="5"/>
    <n v="2023"/>
  </r>
  <r>
    <s v="O00808"/>
    <d v="2023-03-10T00:00:00"/>
    <x v="343"/>
    <x v="0"/>
    <x v="0"/>
    <s v="Binders"/>
    <s v="Product_33"/>
    <n v="1670.27"/>
    <n v="-280.37"/>
    <n v="0.27"/>
    <x v="0"/>
    <n v="-0.16785908865033797"/>
    <x v="6"/>
    <n v="2023"/>
  </r>
  <r>
    <s v="O00809"/>
    <d v="2023-04-27T00:00:00"/>
    <x v="100"/>
    <x v="3"/>
    <x v="1"/>
    <s v="Accessories"/>
    <s v="Product_232"/>
    <n v="2316.81"/>
    <n v="342.28"/>
    <n v="0.15"/>
    <x v="1"/>
    <n v="0.14773762198885534"/>
    <x v="0"/>
    <n v="2023"/>
  </r>
  <r>
    <s v="O00810"/>
    <d v="2022-03-09T00:00:00"/>
    <x v="420"/>
    <x v="2"/>
    <x v="0"/>
    <s v="Paper"/>
    <s v="Product_45"/>
    <n v="4019.53"/>
    <n v="21.21"/>
    <n v="0.28000000000000003"/>
    <x v="1"/>
    <n v="5.2767363348451184E-3"/>
    <x v="6"/>
    <n v="2022"/>
  </r>
  <r>
    <s v="O00811"/>
    <d v="2022-04-22T00:00:00"/>
    <x v="351"/>
    <x v="3"/>
    <x v="2"/>
    <s v="Tables"/>
    <s v="Product_58"/>
    <n v="4499.93"/>
    <n v="1277.8699999999999"/>
    <n v="0.09"/>
    <x v="1"/>
    <n v="0.28397552850822122"/>
    <x v="0"/>
    <n v="2022"/>
  </r>
  <r>
    <s v="O00812"/>
    <d v="2023-10-05T00:00:00"/>
    <x v="502"/>
    <x v="3"/>
    <x v="0"/>
    <s v="Binders"/>
    <s v="Product_214"/>
    <n v="2532.0100000000002"/>
    <n v="-373.69"/>
    <n v="0.26"/>
    <x v="0"/>
    <n v="-0.14758630495140224"/>
    <x v="5"/>
    <n v="2023"/>
  </r>
  <r>
    <s v="O00813"/>
    <d v="2023-10-23T00:00:00"/>
    <x v="503"/>
    <x v="3"/>
    <x v="0"/>
    <s v="Storage"/>
    <s v="Product_97"/>
    <n v="4665.4399999999996"/>
    <n v="-410.19"/>
    <n v="0.14000000000000001"/>
    <x v="0"/>
    <n v="-8.7920967797249575E-2"/>
    <x v="5"/>
    <n v="2023"/>
  </r>
  <r>
    <s v="O00814"/>
    <d v="2023-10-23T00:00:00"/>
    <x v="169"/>
    <x v="2"/>
    <x v="2"/>
    <s v="Chairs"/>
    <s v="Product_297"/>
    <n v="4371.79"/>
    <n v="1304.8399999999999"/>
    <n v="7.0000000000000007E-2"/>
    <x v="1"/>
    <n v="0.29846813319029503"/>
    <x v="5"/>
    <n v="2023"/>
  </r>
  <r>
    <s v="O00815"/>
    <d v="2023-12-15T00:00:00"/>
    <x v="399"/>
    <x v="2"/>
    <x v="1"/>
    <s v="Copiers"/>
    <s v="Product_235"/>
    <n v="3265.65"/>
    <n v="182.92"/>
    <n v="0.1"/>
    <x v="1"/>
    <n v="5.601335109396291E-2"/>
    <x v="4"/>
    <n v="2023"/>
  </r>
  <r>
    <s v="O00816"/>
    <d v="2022-09-24T00:00:00"/>
    <x v="453"/>
    <x v="2"/>
    <x v="1"/>
    <s v="Copiers"/>
    <s v="Product_191"/>
    <n v="746.58"/>
    <n v="-251.57"/>
    <n v="0.24"/>
    <x v="0"/>
    <n v="-0.3369632189450561"/>
    <x v="7"/>
    <n v="2022"/>
  </r>
  <r>
    <s v="O00817"/>
    <d v="2023-09-26T00:00:00"/>
    <x v="504"/>
    <x v="3"/>
    <x v="1"/>
    <s v="Phones"/>
    <s v="Product_94"/>
    <n v="826.86"/>
    <n v="234.6"/>
    <n v="0.09"/>
    <x v="1"/>
    <n v="0.28372396778172848"/>
    <x v="7"/>
    <n v="2023"/>
  </r>
  <r>
    <s v="O00818"/>
    <d v="2022-09-01T00:00:00"/>
    <x v="505"/>
    <x v="0"/>
    <x v="2"/>
    <s v="Bookcases"/>
    <s v="Product_163"/>
    <n v="3495.01"/>
    <n v="-1076.1500000000001"/>
    <n v="0.2"/>
    <x v="0"/>
    <n v="-0.30791042085716491"/>
    <x v="7"/>
    <n v="2022"/>
  </r>
  <r>
    <s v="O00819"/>
    <d v="2023-12-26T00:00:00"/>
    <x v="506"/>
    <x v="3"/>
    <x v="0"/>
    <s v="Binders"/>
    <s v="Product_177"/>
    <n v="2260.35"/>
    <n v="-422.47"/>
    <n v="0.11"/>
    <x v="0"/>
    <n v="-0.18690468290309026"/>
    <x v="4"/>
    <n v="2023"/>
  </r>
  <r>
    <s v="O00820"/>
    <d v="2022-05-05T00:00:00"/>
    <x v="507"/>
    <x v="2"/>
    <x v="2"/>
    <s v="Tables"/>
    <s v="Product_477"/>
    <n v="2297.3000000000002"/>
    <n v="-390.11"/>
    <n v="0.28999999999999998"/>
    <x v="0"/>
    <n v="-0.16981238845601357"/>
    <x v="11"/>
    <n v="2022"/>
  </r>
  <r>
    <s v="O00821"/>
    <d v="2023-07-14T00:00:00"/>
    <x v="508"/>
    <x v="3"/>
    <x v="1"/>
    <s v="Phones"/>
    <s v="Product_332"/>
    <n v="4744.17"/>
    <n v="-1833"/>
    <n v="0.28000000000000003"/>
    <x v="0"/>
    <n v="-0.3863689538949911"/>
    <x v="2"/>
    <n v="2023"/>
  </r>
  <r>
    <s v="O00822"/>
    <d v="2023-08-11T00:00:00"/>
    <x v="249"/>
    <x v="1"/>
    <x v="0"/>
    <s v="Paper"/>
    <s v="Product_410"/>
    <n v="2422.16"/>
    <n v="669.5"/>
    <n v="0.09"/>
    <x v="1"/>
    <n v="0.27640618291112068"/>
    <x v="3"/>
    <n v="2023"/>
  </r>
  <r>
    <s v="O00823"/>
    <d v="2023-05-06T00:00:00"/>
    <x v="370"/>
    <x v="1"/>
    <x v="0"/>
    <s v="Storage"/>
    <s v="Product_348"/>
    <n v="4543.72"/>
    <n v="379.35"/>
    <n v="0.13"/>
    <x v="1"/>
    <n v="8.3488859348727476E-2"/>
    <x v="11"/>
    <n v="2023"/>
  </r>
  <r>
    <s v="O00824"/>
    <d v="2023-04-02T00:00:00"/>
    <x v="509"/>
    <x v="0"/>
    <x v="0"/>
    <s v="Binders"/>
    <s v="Product_168"/>
    <n v="1609.6"/>
    <n v="297.01"/>
    <n v="0.12"/>
    <x v="1"/>
    <n v="0.18452410536779323"/>
    <x v="0"/>
    <n v="2023"/>
  </r>
  <r>
    <s v="O00825"/>
    <d v="2022-10-12T00:00:00"/>
    <x v="510"/>
    <x v="0"/>
    <x v="2"/>
    <s v="Bookcases"/>
    <s v="Product_43"/>
    <n v="3242.43"/>
    <n v="-799.95"/>
    <n v="0.18"/>
    <x v="0"/>
    <n v="-0.24671311331316331"/>
    <x v="5"/>
    <n v="2022"/>
  </r>
  <r>
    <s v="O00826"/>
    <d v="2023-02-08T00:00:00"/>
    <x v="511"/>
    <x v="2"/>
    <x v="0"/>
    <s v="Paper"/>
    <s v="Product_163"/>
    <n v="3417.61"/>
    <n v="326.39"/>
    <n v="0.28999999999999998"/>
    <x v="1"/>
    <n v="9.5502412504645057E-2"/>
    <x v="10"/>
    <n v="2023"/>
  </r>
  <r>
    <s v="O00827"/>
    <d v="2023-02-12T00:00:00"/>
    <x v="57"/>
    <x v="2"/>
    <x v="0"/>
    <s v="Storage"/>
    <s v="Product_190"/>
    <n v="2606.62"/>
    <n v="469.35"/>
    <n v="0.02"/>
    <x v="1"/>
    <n v="0.18006076835135157"/>
    <x v="10"/>
    <n v="2023"/>
  </r>
  <r>
    <s v="O00828"/>
    <d v="2023-04-02T00:00:00"/>
    <x v="1"/>
    <x v="0"/>
    <x v="1"/>
    <s v="Accessories"/>
    <s v="Product_111"/>
    <n v="159.72999999999999"/>
    <n v="-18.39"/>
    <n v="0.1"/>
    <x v="0"/>
    <n v="-0.11513178488699682"/>
    <x v="0"/>
    <n v="2023"/>
  </r>
  <r>
    <s v="O00829"/>
    <d v="2022-06-17T00:00:00"/>
    <x v="25"/>
    <x v="2"/>
    <x v="0"/>
    <s v="Paper"/>
    <s v="Product_374"/>
    <n v="3733.49"/>
    <n v="-203.47"/>
    <n v="0.12"/>
    <x v="0"/>
    <n v="-5.449860586207543E-2"/>
    <x v="8"/>
    <n v="2022"/>
  </r>
  <r>
    <s v="O00830"/>
    <d v="2022-11-07T00:00:00"/>
    <x v="512"/>
    <x v="3"/>
    <x v="1"/>
    <s v="Phones"/>
    <s v="Product_34"/>
    <n v="4194.01"/>
    <n v="-1232.27"/>
    <n v="0.18"/>
    <x v="0"/>
    <n v="-0.29381665756638631"/>
    <x v="9"/>
    <n v="2022"/>
  </r>
  <r>
    <s v="O00831"/>
    <d v="2023-03-01T00:00:00"/>
    <x v="501"/>
    <x v="2"/>
    <x v="0"/>
    <s v="Paper"/>
    <s v="Product_364"/>
    <n v="533.4"/>
    <n v="121.96"/>
    <n v="0.12"/>
    <x v="1"/>
    <n v="0.22864641919760029"/>
    <x v="6"/>
    <n v="2023"/>
  </r>
  <r>
    <s v="O00832"/>
    <d v="2023-05-18T00:00:00"/>
    <x v="513"/>
    <x v="3"/>
    <x v="0"/>
    <s v="Binders"/>
    <s v="Product_428"/>
    <n v="1076.3599999999999"/>
    <n v="-297.42"/>
    <n v="0.25"/>
    <x v="0"/>
    <n v="-0.27632019027091309"/>
    <x v="11"/>
    <n v="2023"/>
  </r>
  <r>
    <s v="O00833"/>
    <d v="2022-01-03T00:00:00"/>
    <x v="377"/>
    <x v="3"/>
    <x v="0"/>
    <s v="Paper"/>
    <s v="Product_154"/>
    <n v="2521.09"/>
    <n v="-719.24"/>
    <n v="0.22"/>
    <x v="0"/>
    <n v="-0.2852892994696738"/>
    <x v="1"/>
    <n v="2022"/>
  </r>
  <r>
    <s v="O00834"/>
    <d v="2023-03-04T00:00:00"/>
    <x v="45"/>
    <x v="2"/>
    <x v="0"/>
    <s v="Storage"/>
    <s v="Product_465"/>
    <n v="2415.4499999999998"/>
    <n v="327.56"/>
    <n v="0.2"/>
    <x v="1"/>
    <n v="0.13561034175826453"/>
    <x v="6"/>
    <n v="2023"/>
  </r>
  <r>
    <s v="O00835"/>
    <d v="2022-03-10T00:00:00"/>
    <x v="488"/>
    <x v="3"/>
    <x v="0"/>
    <s v="Storage"/>
    <s v="Product_298"/>
    <n v="1299.28"/>
    <n v="-95.72"/>
    <n v="0.04"/>
    <x v="0"/>
    <n v="-7.3671571947540176E-2"/>
    <x v="6"/>
    <n v="2022"/>
  </r>
  <r>
    <s v="O00836"/>
    <d v="2023-12-12T00:00:00"/>
    <x v="514"/>
    <x v="3"/>
    <x v="1"/>
    <s v="Copiers"/>
    <s v="Product_263"/>
    <n v="2236.7399999999998"/>
    <n v="294.24"/>
    <n v="0.08"/>
    <x v="1"/>
    <n v="0.13154859304165886"/>
    <x v="4"/>
    <n v="2023"/>
  </r>
  <r>
    <s v="O00837"/>
    <d v="2022-05-30T00:00:00"/>
    <x v="515"/>
    <x v="2"/>
    <x v="0"/>
    <s v="Storage"/>
    <s v="Product_450"/>
    <n v="185.97"/>
    <n v="12.83"/>
    <n v="0.08"/>
    <x v="1"/>
    <n v="6.8989621982040117E-2"/>
    <x v="11"/>
    <n v="2022"/>
  </r>
  <r>
    <s v="O00838"/>
    <d v="2023-10-14T00:00:00"/>
    <x v="516"/>
    <x v="0"/>
    <x v="0"/>
    <s v="Binders"/>
    <s v="Product_149"/>
    <n v="1851.19"/>
    <n v="-6.11"/>
    <n v="0.02"/>
    <x v="0"/>
    <n v="-3.3005796271587465E-3"/>
    <x v="5"/>
    <n v="2023"/>
  </r>
  <r>
    <s v="O00839"/>
    <d v="2023-10-06T00:00:00"/>
    <x v="517"/>
    <x v="0"/>
    <x v="1"/>
    <s v="Copiers"/>
    <s v="Product_307"/>
    <n v="3230.84"/>
    <n v="-335.07"/>
    <n v="0.02"/>
    <x v="0"/>
    <n v="-0.10370987111710886"/>
    <x v="5"/>
    <n v="2023"/>
  </r>
  <r>
    <s v="O00840"/>
    <d v="2022-11-05T00:00:00"/>
    <x v="518"/>
    <x v="3"/>
    <x v="2"/>
    <s v="Bookcases"/>
    <s v="Product_50"/>
    <n v="1680.77"/>
    <n v="364.72"/>
    <n v="0.09"/>
    <x v="1"/>
    <n v="0.21699578169529443"/>
    <x v="9"/>
    <n v="2022"/>
  </r>
  <r>
    <s v="O00841"/>
    <d v="2022-10-16T00:00:00"/>
    <x v="519"/>
    <x v="2"/>
    <x v="0"/>
    <s v="Storage"/>
    <s v="Product_211"/>
    <n v="1822.98"/>
    <n v="-287.72000000000003"/>
    <n v="0.04"/>
    <x v="0"/>
    <n v="-0.15782948798121757"/>
    <x v="5"/>
    <n v="2022"/>
  </r>
  <r>
    <s v="O00842"/>
    <d v="2022-07-12T00:00:00"/>
    <x v="520"/>
    <x v="0"/>
    <x v="1"/>
    <s v="Phones"/>
    <s v="Product_214"/>
    <n v="601.85"/>
    <n v="-70.62"/>
    <n v="0.05"/>
    <x v="0"/>
    <n v="-0.11733820719448368"/>
    <x v="2"/>
    <n v="2022"/>
  </r>
  <r>
    <s v="O00843"/>
    <d v="2022-12-23T00:00:00"/>
    <x v="521"/>
    <x v="3"/>
    <x v="1"/>
    <s v="Phones"/>
    <s v="Product_72"/>
    <n v="671.17"/>
    <n v="-154.08000000000001"/>
    <n v="0.04"/>
    <x v="0"/>
    <n v="-0.22956925965105715"/>
    <x v="4"/>
    <n v="2022"/>
  </r>
  <r>
    <s v="O00844"/>
    <d v="2022-11-08T00:00:00"/>
    <x v="76"/>
    <x v="0"/>
    <x v="1"/>
    <s v="Copiers"/>
    <s v="Product_114"/>
    <n v="2663.29"/>
    <n v="-1029.83"/>
    <n v="0.28999999999999998"/>
    <x v="0"/>
    <n v="-0.38667587833093653"/>
    <x v="9"/>
    <n v="2022"/>
  </r>
  <r>
    <s v="O00845"/>
    <d v="2022-05-14T00:00:00"/>
    <x v="473"/>
    <x v="2"/>
    <x v="2"/>
    <s v="Bookcases"/>
    <s v="Product_354"/>
    <n v="797.56"/>
    <n v="-155.36000000000001"/>
    <n v="7.0000000000000007E-2"/>
    <x v="0"/>
    <n v="-0.19479412207232061"/>
    <x v="11"/>
    <n v="2022"/>
  </r>
  <r>
    <s v="O00846"/>
    <d v="2022-07-21T00:00:00"/>
    <x v="46"/>
    <x v="0"/>
    <x v="2"/>
    <s v="Chairs"/>
    <s v="Product_407"/>
    <n v="192.15"/>
    <n v="-17.53"/>
    <n v="0.15"/>
    <x v="0"/>
    <n v="-9.1230809263596155E-2"/>
    <x v="2"/>
    <n v="2022"/>
  </r>
  <r>
    <s v="O00847"/>
    <d v="2022-02-14T00:00:00"/>
    <x v="9"/>
    <x v="3"/>
    <x v="0"/>
    <s v="Storage"/>
    <s v="Product_342"/>
    <n v="3006.56"/>
    <n v="616.70000000000005"/>
    <n v="0.14000000000000001"/>
    <x v="1"/>
    <n v="0.20511814166356238"/>
    <x v="10"/>
    <n v="2022"/>
  </r>
  <r>
    <s v="O00848"/>
    <d v="2022-07-24T00:00:00"/>
    <x v="462"/>
    <x v="3"/>
    <x v="2"/>
    <s v="Chairs"/>
    <s v="Product_15"/>
    <n v="3933.62"/>
    <n v="-1403.36"/>
    <n v="0.28000000000000003"/>
    <x v="0"/>
    <n v="-0.35676043949339281"/>
    <x v="2"/>
    <n v="2022"/>
  </r>
  <r>
    <s v="O00849"/>
    <d v="2022-12-23T00:00:00"/>
    <x v="155"/>
    <x v="1"/>
    <x v="2"/>
    <s v="Chairs"/>
    <s v="Product_438"/>
    <n v="4244.72"/>
    <n v="378.95"/>
    <n v="0.28000000000000003"/>
    <x v="1"/>
    <n v="8.9275617708588551E-2"/>
    <x v="4"/>
    <n v="2022"/>
  </r>
  <r>
    <s v="O00850"/>
    <d v="2023-08-16T00:00:00"/>
    <x v="522"/>
    <x v="0"/>
    <x v="0"/>
    <s v="Storage"/>
    <s v="Product_271"/>
    <n v="3103.49"/>
    <n v="-958.97"/>
    <n v="0.15"/>
    <x v="0"/>
    <n v="-0.30899729014754362"/>
    <x v="3"/>
    <n v="2023"/>
  </r>
  <r>
    <s v="O00851"/>
    <d v="2023-07-05T00:00:00"/>
    <x v="348"/>
    <x v="0"/>
    <x v="2"/>
    <s v="Bookcases"/>
    <s v="Product_474"/>
    <n v="1038.58"/>
    <n v="271.07"/>
    <n v="0.08"/>
    <x v="1"/>
    <n v="0.26100059696893835"/>
    <x v="2"/>
    <n v="2023"/>
  </r>
  <r>
    <s v="O00852"/>
    <d v="2022-07-09T00:00:00"/>
    <x v="294"/>
    <x v="0"/>
    <x v="2"/>
    <s v="Bookcases"/>
    <s v="Product_93"/>
    <n v="4271.3500000000004"/>
    <n v="336.92"/>
    <n v="0.14000000000000001"/>
    <x v="1"/>
    <n v="7.8879042925538767E-2"/>
    <x v="2"/>
    <n v="2022"/>
  </r>
  <r>
    <s v="O00853"/>
    <d v="2022-11-18T00:00:00"/>
    <x v="523"/>
    <x v="2"/>
    <x v="1"/>
    <s v="Accessories"/>
    <s v="Product_57"/>
    <n v="2178.0500000000002"/>
    <n v="-229.68"/>
    <n v="0.15"/>
    <x v="0"/>
    <n v="-0.10545212460687312"/>
    <x v="9"/>
    <n v="2022"/>
  </r>
  <r>
    <s v="O00854"/>
    <d v="2022-02-11T00:00:00"/>
    <x v="297"/>
    <x v="3"/>
    <x v="0"/>
    <s v="Binders"/>
    <s v="Product_253"/>
    <n v="2529.5"/>
    <n v="-346.64"/>
    <n v="0.11"/>
    <x v="0"/>
    <n v="-0.13703894050207549"/>
    <x v="10"/>
    <n v="2022"/>
  </r>
  <r>
    <s v="O00855"/>
    <d v="2023-03-31T00:00:00"/>
    <x v="85"/>
    <x v="2"/>
    <x v="2"/>
    <s v="Tables"/>
    <s v="Product_149"/>
    <n v="1489.7"/>
    <n v="-287.20999999999998"/>
    <n v="0.18"/>
    <x v="0"/>
    <n v="-0.19279720749144122"/>
    <x v="6"/>
    <n v="2023"/>
  </r>
  <r>
    <s v="O00856"/>
    <d v="2023-11-27T00:00:00"/>
    <x v="524"/>
    <x v="1"/>
    <x v="1"/>
    <s v="Phones"/>
    <s v="Product_7"/>
    <n v="4298.1899999999996"/>
    <n v="49.27"/>
    <n v="0.27"/>
    <x v="1"/>
    <n v="1.1462964643256815E-2"/>
    <x v="9"/>
    <n v="2023"/>
  </r>
  <r>
    <s v="O00857"/>
    <d v="2023-11-24T00:00:00"/>
    <x v="525"/>
    <x v="0"/>
    <x v="0"/>
    <s v="Paper"/>
    <s v="Product_74"/>
    <n v="3393.27"/>
    <n v="-21.73"/>
    <n v="0.12"/>
    <x v="0"/>
    <n v="-6.4038523312321153E-3"/>
    <x v="9"/>
    <n v="2023"/>
  </r>
  <r>
    <s v="O00858"/>
    <d v="2022-06-22T00:00:00"/>
    <x v="475"/>
    <x v="3"/>
    <x v="1"/>
    <s v="Accessories"/>
    <s v="Product_500"/>
    <n v="3505.68"/>
    <n v="-158.25"/>
    <n v="0.28999999999999998"/>
    <x v="0"/>
    <n v="-4.5141028274115154E-2"/>
    <x v="8"/>
    <n v="2022"/>
  </r>
  <r>
    <s v="O00859"/>
    <d v="2022-08-27T00:00:00"/>
    <x v="526"/>
    <x v="2"/>
    <x v="2"/>
    <s v="Tables"/>
    <s v="Product_143"/>
    <n v="1081.29"/>
    <n v="-224.29"/>
    <n v="0.25"/>
    <x v="0"/>
    <n v="-0.207428164507209"/>
    <x v="3"/>
    <n v="2022"/>
  </r>
  <r>
    <s v="O00860"/>
    <d v="2023-02-14T00:00:00"/>
    <x v="516"/>
    <x v="2"/>
    <x v="0"/>
    <s v="Storage"/>
    <s v="Product_342"/>
    <n v="3008.88"/>
    <n v="152.22"/>
    <n v="0.23"/>
    <x v="1"/>
    <n v="5.0590252851559381E-2"/>
    <x v="10"/>
    <n v="2023"/>
  </r>
  <r>
    <s v="O00861"/>
    <d v="2023-04-11T00:00:00"/>
    <x v="46"/>
    <x v="0"/>
    <x v="0"/>
    <s v="Paper"/>
    <s v="Product_129"/>
    <n v="4938.8599999999997"/>
    <n v="-1291.8800000000001"/>
    <n v="0.15"/>
    <x v="0"/>
    <n v="-0.26157453339434611"/>
    <x v="0"/>
    <n v="2023"/>
  </r>
  <r>
    <s v="O00862"/>
    <d v="2022-02-24T00:00:00"/>
    <x v="527"/>
    <x v="2"/>
    <x v="1"/>
    <s v="Accessories"/>
    <s v="Product_348"/>
    <n v="1231.03"/>
    <n v="-568.94000000000005"/>
    <n v="0.28000000000000003"/>
    <x v="0"/>
    <n v="-0.46216582861506222"/>
    <x v="10"/>
    <n v="2022"/>
  </r>
  <r>
    <s v="O00863"/>
    <d v="2023-09-29T00:00:00"/>
    <x v="342"/>
    <x v="0"/>
    <x v="2"/>
    <s v="Chairs"/>
    <s v="Product_390"/>
    <n v="1974.9"/>
    <n v="-608.98"/>
    <n v="0.2"/>
    <x v="0"/>
    <n v="-0.30835991695782067"/>
    <x v="7"/>
    <n v="2023"/>
  </r>
  <r>
    <s v="O00864"/>
    <d v="2022-07-26T00:00:00"/>
    <x v="528"/>
    <x v="2"/>
    <x v="2"/>
    <s v="Bookcases"/>
    <s v="Product_252"/>
    <n v="3782.89"/>
    <n v="172.65"/>
    <n v="0.23"/>
    <x v="1"/>
    <n v="4.563970932276646E-2"/>
    <x v="2"/>
    <n v="2022"/>
  </r>
  <r>
    <s v="O00865"/>
    <d v="2022-01-19T00:00:00"/>
    <x v="147"/>
    <x v="0"/>
    <x v="0"/>
    <s v="Paper"/>
    <s v="Product_221"/>
    <n v="2757.95"/>
    <n v="-319.05"/>
    <n v="0.24"/>
    <x v="0"/>
    <n v="-0.11568375061186752"/>
    <x v="1"/>
    <n v="2022"/>
  </r>
  <r>
    <s v="O00866"/>
    <d v="2022-02-06T00:00:00"/>
    <x v="285"/>
    <x v="1"/>
    <x v="2"/>
    <s v="Tables"/>
    <s v="Product_286"/>
    <n v="2305.5700000000002"/>
    <n v="-448.36"/>
    <n v="0.26"/>
    <x v="0"/>
    <n v="-0.19446817923550358"/>
    <x v="10"/>
    <n v="2022"/>
  </r>
  <r>
    <s v="O00867"/>
    <d v="2022-11-16T00:00:00"/>
    <x v="529"/>
    <x v="2"/>
    <x v="0"/>
    <s v="Paper"/>
    <s v="Product_250"/>
    <n v="4435.03"/>
    <n v="37.29"/>
    <n v="0.05"/>
    <x v="1"/>
    <n v="8.4080603738869858E-3"/>
    <x v="9"/>
    <n v="2022"/>
  </r>
  <r>
    <s v="O00868"/>
    <d v="2023-08-09T00:00:00"/>
    <x v="95"/>
    <x v="2"/>
    <x v="2"/>
    <s v="Bookcases"/>
    <s v="Product_288"/>
    <n v="3407.62"/>
    <n v="38.25"/>
    <n v="0.2"/>
    <x v="1"/>
    <n v="1.1224843145655913E-2"/>
    <x v="3"/>
    <n v="2023"/>
  </r>
  <r>
    <s v="O00869"/>
    <d v="2023-01-22T00:00:00"/>
    <x v="530"/>
    <x v="3"/>
    <x v="2"/>
    <s v="Bookcases"/>
    <s v="Product_393"/>
    <n v="373.11"/>
    <n v="27.84"/>
    <n v="0.08"/>
    <x v="1"/>
    <n v="7.4616064967435877E-2"/>
    <x v="1"/>
    <n v="2023"/>
  </r>
  <r>
    <s v="O00870"/>
    <d v="2023-01-11T00:00:00"/>
    <x v="531"/>
    <x v="0"/>
    <x v="1"/>
    <s v="Accessories"/>
    <s v="Product_392"/>
    <n v="400.98"/>
    <n v="-121.53"/>
    <n v="0.18"/>
    <x v="0"/>
    <n v="-0.30308244800239414"/>
    <x v="1"/>
    <n v="2023"/>
  </r>
  <r>
    <s v="O00871"/>
    <d v="2023-02-26T00:00:00"/>
    <x v="48"/>
    <x v="0"/>
    <x v="0"/>
    <s v="Paper"/>
    <s v="Product_339"/>
    <n v="1964.81"/>
    <n v="521"/>
    <n v="0.13"/>
    <x v="1"/>
    <n v="0.26516558853018868"/>
    <x v="10"/>
    <n v="2023"/>
  </r>
  <r>
    <s v="O00872"/>
    <d v="2023-12-06T00:00:00"/>
    <x v="9"/>
    <x v="3"/>
    <x v="2"/>
    <s v="Chairs"/>
    <s v="Product_59"/>
    <n v="1249.6500000000001"/>
    <n v="-298.70999999999998"/>
    <n v="0.09"/>
    <x v="0"/>
    <n v="-0.23903492978033847"/>
    <x v="4"/>
    <n v="2023"/>
  </r>
  <r>
    <s v="O00873"/>
    <d v="2023-03-09T00:00:00"/>
    <x v="532"/>
    <x v="2"/>
    <x v="1"/>
    <s v="Phones"/>
    <s v="Product_137"/>
    <n v="196.59"/>
    <n v="-4.6100000000000003"/>
    <n v="0.1"/>
    <x v="0"/>
    <n v="-2.3449819421130273E-2"/>
    <x v="6"/>
    <n v="2023"/>
  </r>
  <r>
    <s v="O00874"/>
    <d v="2023-08-08T00:00:00"/>
    <x v="533"/>
    <x v="3"/>
    <x v="2"/>
    <s v="Bookcases"/>
    <s v="Product_294"/>
    <n v="2401.5300000000002"/>
    <n v="-48.25"/>
    <n v="0.01"/>
    <x v="0"/>
    <n v="-2.0091358425670301E-2"/>
    <x v="3"/>
    <n v="2023"/>
  </r>
  <r>
    <s v="O00875"/>
    <d v="2023-05-30T00:00:00"/>
    <x v="379"/>
    <x v="3"/>
    <x v="2"/>
    <s v="Tables"/>
    <s v="Product_86"/>
    <n v="590.28"/>
    <n v="-117.12"/>
    <n v="0.2"/>
    <x v="0"/>
    <n v="-0.19841431185200245"/>
    <x v="11"/>
    <n v="2023"/>
  </r>
  <r>
    <s v="O00876"/>
    <d v="2022-03-19T00:00:00"/>
    <x v="534"/>
    <x v="1"/>
    <x v="0"/>
    <s v="Paper"/>
    <s v="Product_148"/>
    <n v="1880.34"/>
    <n v="-59.85"/>
    <n v="0.13"/>
    <x v="0"/>
    <n v="-3.1829350011168198E-2"/>
    <x v="6"/>
    <n v="2022"/>
  </r>
  <r>
    <s v="O00877"/>
    <d v="2023-10-02T00:00:00"/>
    <x v="38"/>
    <x v="0"/>
    <x v="1"/>
    <s v="Phones"/>
    <s v="Product_368"/>
    <n v="1556.87"/>
    <n v="175.56"/>
    <n v="0.17"/>
    <x v="1"/>
    <n v="0.11276471381682479"/>
    <x v="5"/>
    <n v="2023"/>
  </r>
  <r>
    <s v="O00878"/>
    <d v="2023-06-28T00:00:00"/>
    <x v="512"/>
    <x v="2"/>
    <x v="0"/>
    <s v="Binders"/>
    <s v="Product_108"/>
    <n v="3000.14"/>
    <n v="179.58"/>
    <n v="0.08"/>
    <x v="1"/>
    <n v="5.9857206663689037E-2"/>
    <x v="8"/>
    <n v="2023"/>
  </r>
  <r>
    <s v="O00879"/>
    <d v="2023-03-20T00:00:00"/>
    <x v="358"/>
    <x v="3"/>
    <x v="1"/>
    <s v="Phones"/>
    <s v="Product_103"/>
    <n v="3292.53"/>
    <n v="633.73"/>
    <n v="0.09"/>
    <x v="1"/>
    <n v="0.19247508754665865"/>
    <x v="6"/>
    <n v="2023"/>
  </r>
  <r>
    <s v="O00880"/>
    <d v="2023-07-15T00:00:00"/>
    <x v="535"/>
    <x v="0"/>
    <x v="1"/>
    <s v="Accessories"/>
    <s v="Product_322"/>
    <n v="1331.2"/>
    <n v="70.47"/>
    <n v="0.15"/>
    <x v="1"/>
    <n v="5.2937199519230767E-2"/>
    <x v="2"/>
    <n v="2023"/>
  </r>
  <r>
    <s v="O00881"/>
    <d v="2023-04-24T00:00:00"/>
    <x v="536"/>
    <x v="2"/>
    <x v="0"/>
    <s v="Storage"/>
    <s v="Product_479"/>
    <n v="4327.28"/>
    <n v="-1048.19"/>
    <n v="0.17"/>
    <x v="0"/>
    <n v="-0.24222837440609346"/>
    <x v="0"/>
    <n v="2023"/>
  </r>
  <r>
    <s v="O00882"/>
    <d v="2022-06-01T00:00:00"/>
    <x v="175"/>
    <x v="1"/>
    <x v="0"/>
    <s v="Storage"/>
    <s v="Product_383"/>
    <n v="3171.12"/>
    <n v="-448.51"/>
    <n v="0.16"/>
    <x v="0"/>
    <n v="-0.14143583339640253"/>
    <x v="8"/>
    <n v="2022"/>
  </r>
  <r>
    <s v="O00883"/>
    <d v="2022-03-07T00:00:00"/>
    <x v="537"/>
    <x v="1"/>
    <x v="0"/>
    <s v="Paper"/>
    <s v="Product_434"/>
    <n v="4236.2"/>
    <n v="830.77"/>
    <n v="0.12"/>
    <x v="1"/>
    <n v="0.19611208158255039"/>
    <x v="6"/>
    <n v="2022"/>
  </r>
  <r>
    <s v="O00884"/>
    <d v="2023-09-08T00:00:00"/>
    <x v="538"/>
    <x v="2"/>
    <x v="1"/>
    <s v="Accessories"/>
    <s v="Product_123"/>
    <n v="4136.18"/>
    <n v="-976.68"/>
    <n v="0.19"/>
    <x v="0"/>
    <n v="-0.23613092273547087"/>
    <x v="7"/>
    <n v="2023"/>
  </r>
  <r>
    <s v="O00885"/>
    <d v="2023-04-21T00:00:00"/>
    <x v="334"/>
    <x v="2"/>
    <x v="2"/>
    <s v="Chairs"/>
    <s v="Product_217"/>
    <n v="1040.3900000000001"/>
    <n v="235.48"/>
    <n v="7.0000000000000007E-2"/>
    <x v="1"/>
    <n v="0.22633820009804012"/>
    <x v="0"/>
    <n v="2023"/>
  </r>
  <r>
    <s v="O00886"/>
    <d v="2022-10-12T00:00:00"/>
    <x v="54"/>
    <x v="1"/>
    <x v="0"/>
    <s v="Binders"/>
    <s v="Product_330"/>
    <n v="1089.75"/>
    <n v="-286.08"/>
    <n v="0.08"/>
    <x v="0"/>
    <n v="-0.26251892635925672"/>
    <x v="5"/>
    <n v="2022"/>
  </r>
  <r>
    <s v="O00887"/>
    <d v="2022-03-27T00:00:00"/>
    <x v="360"/>
    <x v="3"/>
    <x v="2"/>
    <s v="Bookcases"/>
    <s v="Product_444"/>
    <n v="2480.63"/>
    <n v="758.45"/>
    <n v="0.01"/>
    <x v="1"/>
    <n v="0.30574894280888321"/>
    <x v="6"/>
    <n v="2022"/>
  </r>
  <r>
    <s v="O00888"/>
    <d v="2023-02-11T00:00:00"/>
    <x v="123"/>
    <x v="1"/>
    <x v="2"/>
    <s v="Tables"/>
    <s v="Product_121"/>
    <n v="4494.1899999999996"/>
    <n v="590.67999999999995"/>
    <n v="0.2"/>
    <x v="1"/>
    <n v="0.13143191542858668"/>
    <x v="10"/>
    <n v="2023"/>
  </r>
  <r>
    <s v="O00889"/>
    <d v="2023-08-18T00:00:00"/>
    <x v="539"/>
    <x v="3"/>
    <x v="2"/>
    <s v="Bookcases"/>
    <s v="Product_255"/>
    <n v="3698.95"/>
    <n v="-617.08000000000004"/>
    <n v="0.28000000000000003"/>
    <x v="0"/>
    <n v="-0.16682572081266306"/>
    <x v="3"/>
    <n v="2023"/>
  </r>
  <r>
    <s v="O00890"/>
    <d v="2023-08-22T00:00:00"/>
    <x v="405"/>
    <x v="2"/>
    <x v="2"/>
    <s v="Chairs"/>
    <s v="Product_413"/>
    <n v="3039.12"/>
    <n v="-735.33"/>
    <n v="0.23"/>
    <x v="0"/>
    <n v="-0.24195490799968414"/>
    <x v="3"/>
    <n v="2023"/>
  </r>
  <r>
    <s v="O00891"/>
    <d v="2022-06-29T00:00:00"/>
    <x v="211"/>
    <x v="3"/>
    <x v="0"/>
    <s v="Storage"/>
    <s v="Product_226"/>
    <n v="1256.0999999999999"/>
    <n v="-305.77999999999997"/>
    <n v="0.13"/>
    <x v="0"/>
    <n v="-0.24343603216304435"/>
    <x v="8"/>
    <n v="2022"/>
  </r>
  <r>
    <s v="O00892"/>
    <d v="2023-12-18T00:00:00"/>
    <x v="448"/>
    <x v="3"/>
    <x v="1"/>
    <s v="Accessories"/>
    <s v="Product_280"/>
    <n v="4328.21"/>
    <n v="433.18"/>
    <n v="0.02"/>
    <x v="1"/>
    <n v="0.10008294421943482"/>
    <x v="4"/>
    <n v="2023"/>
  </r>
  <r>
    <s v="O00893"/>
    <d v="2022-05-29T00:00:00"/>
    <x v="128"/>
    <x v="2"/>
    <x v="1"/>
    <s v="Accessories"/>
    <s v="Product_367"/>
    <n v="3445.42"/>
    <n v="129.75"/>
    <n v="0.28999999999999998"/>
    <x v="1"/>
    <n v="3.7658688926168651E-2"/>
    <x v="11"/>
    <n v="2022"/>
  </r>
  <r>
    <s v="O00894"/>
    <d v="2023-11-10T00:00:00"/>
    <x v="325"/>
    <x v="1"/>
    <x v="1"/>
    <s v="Accessories"/>
    <s v="Product_130"/>
    <n v="203.26"/>
    <n v="-25.71"/>
    <n v="0.28999999999999998"/>
    <x v="0"/>
    <n v="-0.1264882416609269"/>
    <x v="9"/>
    <n v="2023"/>
  </r>
  <r>
    <s v="O00895"/>
    <d v="2023-12-03T00:00:00"/>
    <x v="540"/>
    <x v="1"/>
    <x v="0"/>
    <s v="Paper"/>
    <s v="Product_440"/>
    <n v="1615.42"/>
    <n v="-439.86"/>
    <n v="0.28999999999999998"/>
    <x v="0"/>
    <n v="-0.27228832130343811"/>
    <x v="4"/>
    <n v="2023"/>
  </r>
  <r>
    <s v="O00896"/>
    <d v="2022-09-19T00:00:00"/>
    <x v="371"/>
    <x v="0"/>
    <x v="1"/>
    <s v="Accessories"/>
    <s v="Product_480"/>
    <n v="138.54"/>
    <n v="9.2100000000000009"/>
    <n v="0.28999999999999998"/>
    <x v="1"/>
    <n v="6.6478995236032928E-2"/>
    <x v="7"/>
    <n v="2022"/>
  </r>
  <r>
    <s v="O00897"/>
    <d v="2023-10-09T00:00:00"/>
    <x v="259"/>
    <x v="2"/>
    <x v="2"/>
    <s v="Tables"/>
    <s v="Product_405"/>
    <n v="1130.8900000000001"/>
    <n v="89.94"/>
    <n v="0.27"/>
    <x v="1"/>
    <n v="7.9530281459735244E-2"/>
    <x v="5"/>
    <n v="2023"/>
  </r>
  <r>
    <s v="O00898"/>
    <d v="2023-04-28T00:00:00"/>
    <x v="405"/>
    <x v="2"/>
    <x v="2"/>
    <s v="Tables"/>
    <s v="Product_475"/>
    <n v="4345.58"/>
    <n v="496.69"/>
    <n v="0.25"/>
    <x v="1"/>
    <n v="0.11429774621569502"/>
    <x v="0"/>
    <n v="2023"/>
  </r>
  <r>
    <s v="O00899"/>
    <d v="2022-06-14T00:00:00"/>
    <x v="161"/>
    <x v="3"/>
    <x v="1"/>
    <s v="Copiers"/>
    <s v="Product_260"/>
    <n v="2169.59"/>
    <n v="-910.71"/>
    <n v="0.28000000000000003"/>
    <x v="0"/>
    <n v="-0.41976133739554478"/>
    <x v="8"/>
    <n v="2022"/>
  </r>
  <r>
    <s v="O00900"/>
    <d v="2022-12-01T00:00:00"/>
    <x v="541"/>
    <x v="0"/>
    <x v="2"/>
    <s v="Tables"/>
    <s v="Product_391"/>
    <n v="2162.27"/>
    <n v="-197.55"/>
    <n v="0.22"/>
    <x v="0"/>
    <n v="-9.1362318304374579E-2"/>
    <x v="4"/>
    <n v="2022"/>
  </r>
  <r>
    <s v="O00901"/>
    <d v="2022-05-20T00:00:00"/>
    <x v="542"/>
    <x v="2"/>
    <x v="2"/>
    <s v="Bookcases"/>
    <s v="Product_103"/>
    <n v="3243.8"/>
    <n v="274.45999999999998"/>
    <n v="0.19"/>
    <x v="1"/>
    <n v="8.4610641839817494E-2"/>
    <x v="11"/>
    <n v="2022"/>
  </r>
  <r>
    <s v="O00902"/>
    <d v="2023-06-13T00:00:00"/>
    <x v="258"/>
    <x v="1"/>
    <x v="0"/>
    <s v="Paper"/>
    <s v="Product_434"/>
    <n v="1637.24"/>
    <n v="-205.16"/>
    <n v="0.02"/>
    <x v="0"/>
    <n v="-0.12530844592118442"/>
    <x v="8"/>
    <n v="2023"/>
  </r>
  <r>
    <s v="O00903"/>
    <d v="2022-05-17T00:00:00"/>
    <x v="387"/>
    <x v="1"/>
    <x v="0"/>
    <s v="Storage"/>
    <s v="Product_352"/>
    <n v="2110.5500000000002"/>
    <n v="-441.33"/>
    <n v="0.28000000000000003"/>
    <x v="0"/>
    <n v="-0.20910663097296911"/>
    <x v="11"/>
    <n v="2022"/>
  </r>
  <r>
    <s v="O00904"/>
    <d v="2022-07-06T00:00:00"/>
    <x v="452"/>
    <x v="2"/>
    <x v="0"/>
    <s v="Paper"/>
    <s v="Product_484"/>
    <n v="4017.69"/>
    <n v="-45.41"/>
    <n v="0.06"/>
    <x v="0"/>
    <n v="-1.1302514629053012E-2"/>
    <x v="2"/>
    <n v="2022"/>
  </r>
  <r>
    <s v="O00905"/>
    <d v="2023-09-19T00:00:00"/>
    <x v="543"/>
    <x v="1"/>
    <x v="0"/>
    <s v="Binders"/>
    <s v="Product_465"/>
    <n v="201.6"/>
    <n v="25.22"/>
    <n v="0.01"/>
    <x v="1"/>
    <n v="0.12509920634920635"/>
    <x v="7"/>
    <n v="2023"/>
  </r>
  <r>
    <s v="O00906"/>
    <d v="2023-02-15T00:00:00"/>
    <x v="279"/>
    <x v="2"/>
    <x v="2"/>
    <s v="Tables"/>
    <s v="Product_308"/>
    <n v="1071.5"/>
    <n v="-330.82"/>
    <n v="0.21"/>
    <x v="0"/>
    <n v="-0.30874475034997667"/>
    <x v="10"/>
    <n v="2023"/>
  </r>
  <r>
    <s v="O00907"/>
    <d v="2022-05-01T00:00:00"/>
    <x v="544"/>
    <x v="2"/>
    <x v="1"/>
    <s v="Phones"/>
    <s v="Product_396"/>
    <n v="536.4"/>
    <n v="138.58000000000001"/>
    <n v="0.11"/>
    <x v="1"/>
    <n v="0.25835197613721106"/>
    <x v="11"/>
    <n v="2022"/>
  </r>
  <r>
    <s v="O00908"/>
    <d v="2022-09-30T00:00:00"/>
    <x v="99"/>
    <x v="2"/>
    <x v="1"/>
    <s v="Copiers"/>
    <s v="Product_196"/>
    <n v="2521.33"/>
    <n v="-373.44"/>
    <n v="7.0000000000000007E-2"/>
    <x v="0"/>
    <n v="-0.14811230580685592"/>
    <x v="7"/>
    <n v="2022"/>
  </r>
  <r>
    <s v="O00909"/>
    <d v="2022-10-17T00:00:00"/>
    <x v="486"/>
    <x v="1"/>
    <x v="2"/>
    <s v="Tables"/>
    <s v="Product_215"/>
    <n v="4296.05"/>
    <n v="932.78"/>
    <n v="0.18"/>
    <x v="1"/>
    <n v="0.21712503346096995"/>
    <x v="5"/>
    <n v="2022"/>
  </r>
  <r>
    <s v="O00910"/>
    <d v="2022-08-30T00:00:00"/>
    <x v="279"/>
    <x v="2"/>
    <x v="2"/>
    <s v="Tables"/>
    <s v="Product_465"/>
    <n v="3983.07"/>
    <n v="1496.35"/>
    <n v="0.01"/>
    <x v="1"/>
    <n v="0.3756775552526066"/>
    <x v="3"/>
    <n v="2022"/>
  </r>
  <r>
    <s v="O00911"/>
    <d v="2023-04-26T00:00:00"/>
    <x v="224"/>
    <x v="3"/>
    <x v="2"/>
    <s v="Tables"/>
    <s v="Product_499"/>
    <n v="2956.23"/>
    <n v="-1000.85"/>
    <n v="0.19"/>
    <x v="0"/>
    <n v="-0.33855620164872152"/>
    <x v="0"/>
    <n v="2023"/>
  </r>
  <r>
    <s v="O00912"/>
    <d v="2023-09-04T00:00:00"/>
    <x v="545"/>
    <x v="0"/>
    <x v="0"/>
    <s v="Paper"/>
    <s v="Product_49"/>
    <n v="3465.58"/>
    <n v="52.23"/>
    <n v="0.21"/>
    <x v="1"/>
    <n v="1.5071070354745813E-2"/>
    <x v="7"/>
    <n v="2023"/>
  </r>
  <r>
    <s v="O00913"/>
    <d v="2022-12-29T00:00:00"/>
    <x v="118"/>
    <x v="0"/>
    <x v="0"/>
    <s v="Binders"/>
    <s v="Product_3"/>
    <n v="355.35"/>
    <n v="-70.16"/>
    <n v="0.28000000000000003"/>
    <x v="0"/>
    <n v="-0.19743914450541716"/>
    <x v="4"/>
    <n v="2022"/>
  </r>
  <r>
    <s v="O00914"/>
    <d v="2023-01-15T00:00:00"/>
    <x v="260"/>
    <x v="0"/>
    <x v="1"/>
    <s v="Copiers"/>
    <s v="Product_298"/>
    <n v="3136.32"/>
    <n v="-166.8"/>
    <n v="0.09"/>
    <x v="0"/>
    <n v="-5.318334863789409E-2"/>
    <x v="1"/>
    <n v="2023"/>
  </r>
  <r>
    <s v="O00915"/>
    <d v="2023-04-25T00:00:00"/>
    <x v="260"/>
    <x v="0"/>
    <x v="2"/>
    <s v="Tables"/>
    <s v="Product_163"/>
    <n v="932.35"/>
    <n v="-136.58000000000001"/>
    <n v="0.15"/>
    <x v="0"/>
    <n v="-0.14649005201909154"/>
    <x v="0"/>
    <n v="2023"/>
  </r>
  <r>
    <s v="O00916"/>
    <d v="2022-05-11T00:00:00"/>
    <x v="302"/>
    <x v="3"/>
    <x v="0"/>
    <s v="Storage"/>
    <s v="Product_383"/>
    <n v="2221.36"/>
    <n v="-204.45"/>
    <n v="0.08"/>
    <x v="0"/>
    <n v="-9.2038210825800396E-2"/>
    <x v="11"/>
    <n v="2022"/>
  </r>
  <r>
    <s v="O00917"/>
    <d v="2022-09-28T00:00:00"/>
    <x v="330"/>
    <x v="3"/>
    <x v="1"/>
    <s v="Accessories"/>
    <s v="Product_224"/>
    <n v="1486.33"/>
    <n v="-137.1"/>
    <n v="0.26"/>
    <x v="0"/>
    <n v="-9.2240619512490504E-2"/>
    <x v="7"/>
    <n v="2022"/>
  </r>
  <r>
    <s v="O00918"/>
    <d v="2023-07-24T00:00:00"/>
    <x v="546"/>
    <x v="2"/>
    <x v="2"/>
    <s v="Tables"/>
    <s v="Product_28"/>
    <n v="3710.66"/>
    <n v="816.46"/>
    <n v="0.15"/>
    <x v="1"/>
    <n v="0.22003093789245043"/>
    <x v="2"/>
    <n v="2023"/>
  </r>
  <r>
    <s v="O00919"/>
    <d v="2022-06-17T00:00:00"/>
    <x v="209"/>
    <x v="2"/>
    <x v="2"/>
    <s v="Chairs"/>
    <s v="Product_224"/>
    <n v="367.38"/>
    <n v="11.81"/>
    <n v="0.05"/>
    <x v="1"/>
    <n v="3.2146551254831512E-2"/>
    <x v="8"/>
    <n v="2022"/>
  </r>
  <r>
    <s v="O00920"/>
    <d v="2023-05-12T00:00:00"/>
    <x v="172"/>
    <x v="2"/>
    <x v="2"/>
    <s v="Tables"/>
    <s v="Product_58"/>
    <n v="299.88"/>
    <n v="34.61"/>
    <n v="0.11"/>
    <x v="1"/>
    <n v="0.11541283179938643"/>
    <x v="11"/>
    <n v="2023"/>
  </r>
  <r>
    <s v="O00921"/>
    <d v="2022-07-04T00:00:00"/>
    <x v="547"/>
    <x v="3"/>
    <x v="0"/>
    <s v="Binders"/>
    <s v="Product_289"/>
    <n v="705.91"/>
    <n v="205.35"/>
    <n v="0.03"/>
    <x v="1"/>
    <n v="0.29090110637333372"/>
    <x v="2"/>
    <n v="2022"/>
  </r>
  <r>
    <s v="O00922"/>
    <d v="2023-08-08T00:00:00"/>
    <x v="535"/>
    <x v="2"/>
    <x v="0"/>
    <s v="Storage"/>
    <s v="Product_472"/>
    <n v="1140.74"/>
    <n v="-567.54999999999995"/>
    <n v="0.3"/>
    <x v="0"/>
    <n v="-0.49752792047267558"/>
    <x v="3"/>
    <n v="2023"/>
  </r>
  <r>
    <s v="O00923"/>
    <d v="2022-01-27T00:00:00"/>
    <x v="36"/>
    <x v="0"/>
    <x v="2"/>
    <s v="Chairs"/>
    <s v="Product_202"/>
    <n v="3864.44"/>
    <n v="511.73"/>
    <n v="0.2"/>
    <x v="1"/>
    <n v="0.13242022129985198"/>
    <x v="1"/>
    <n v="2022"/>
  </r>
  <r>
    <s v="O00924"/>
    <d v="2022-01-30T00:00:00"/>
    <x v="548"/>
    <x v="2"/>
    <x v="1"/>
    <s v="Copiers"/>
    <s v="Product_426"/>
    <n v="4652.83"/>
    <n v="-166.93"/>
    <n v="0.03"/>
    <x v="0"/>
    <n v="-3.5877089857140707E-2"/>
    <x v="1"/>
    <n v="2022"/>
  </r>
  <r>
    <s v="O00925"/>
    <d v="2023-11-05T00:00:00"/>
    <x v="549"/>
    <x v="3"/>
    <x v="0"/>
    <s v="Storage"/>
    <s v="Product_497"/>
    <n v="2451.29"/>
    <n v="-559.9"/>
    <n v="0.19"/>
    <x v="0"/>
    <n v="-0.22841034720494108"/>
    <x v="9"/>
    <n v="2023"/>
  </r>
  <r>
    <s v="O00926"/>
    <d v="2023-08-06T00:00:00"/>
    <x v="350"/>
    <x v="1"/>
    <x v="2"/>
    <s v="Bookcases"/>
    <s v="Product_442"/>
    <n v="3149.59"/>
    <n v="719.53"/>
    <n v="0.14000000000000001"/>
    <x v="1"/>
    <n v="0.22845195723887871"/>
    <x v="3"/>
    <n v="2023"/>
  </r>
  <r>
    <s v="O00927"/>
    <d v="2023-07-15T00:00:00"/>
    <x v="550"/>
    <x v="2"/>
    <x v="2"/>
    <s v="Bookcases"/>
    <s v="Product_48"/>
    <n v="1486.47"/>
    <n v="9.34"/>
    <n v="0.24"/>
    <x v="1"/>
    <n v="6.2833424152522414E-3"/>
    <x v="2"/>
    <n v="2023"/>
  </r>
  <r>
    <s v="O00928"/>
    <d v="2022-04-02T00:00:00"/>
    <x v="503"/>
    <x v="1"/>
    <x v="1"/>
    <s v="Accessories"/>
    <s v="Product_84"/>
    <n v="972.25"/>
    <n v="28.5"/>
    <n v="0.28999999999999998"/>
    <x v="1"/>
    <n v="2.9313448187194651E-2"/>
    <x v="0"/>
    <n v="2022"/>
  </r>
  <r>
    <s v="O00929"/>
    <d v="2022-05-04T00:00:00"/>
    <x v="463"/>
    <x v="2"/>
    <x v="1"/>
    <s v="Accessories"/>
    <s v="Product_411"/>
    <n v="1496.19"/>
    <n v="-56.2"/>
    <n v="0.23"/>
    <x v="0"/>
    <n v="-3.7562074335478784E-2"/>
    <x v="11"/>
    <n v="2022"/>
  </r>
  <r>
    <s v="O00930"/>
    <d v="2022-05-15T00:00:00"/>
    <x v="551"/>
    <x v="0"/>
    <x v="1"/>
    <s v="Copiers"/>
    <s v="Product_427"/>
    <n v="4051.13"/>
    <n v="490.09"/>
    <n v="0.09"/>
    <x v="1"/>
    <n v="0.12097612271144099"/>
    <x v="11"/>
    <n v="2022"/>
  </r>
  <r>
    <s v="O00931"/>
    <d v="2022-10-02T00:00:00"/>
    <x v="552"/>
    <x v="2"/>
    <x v="1"/>
    <s v="Copiers"/>
    <s v="Product_47"/>
    <n v="1079.3699999999999"/>
    <n v="-104.86"/>
    <n v="0.13"/>
    <x v="0"/>
    <n v="-9.7149262996006944E-2"/>
    <x v="5"/>
    <n v="2022"/>
  </r>
  <r>
    <s v="O00932"/>
    <d v="2022-02-11T00:00:00"/>
    <x v="553"/>
    <x v="3"/>
    <x v="1"/>
    <s v="Accessories"/>
    <s v="Product_499"/>
    <n v="3107.95"/>
    <n v="-231.2"/>
    <n v="0.13"/>
    <x v="0"/>
    <n v="-7.4389871136923053E-2"/>
    <x v="10"/>
    <n v="2022"/>
  </r>
  <r>
    <s v="O00933"/>
    <d v="2023-05-23T00:00:00"/>
    <x v="554"/>
    <x v="0"/>
    <x v="1"/>
    <s v="Copiers"/>
    <s v="Product_149"/>
    <n v="1198.73"/>
    <n v="-379.95"/>
    <n v="0.21"/>
    <x v="0"/>
    <n v="-0.31696044980938159"/>
    <x v="11"/>
    <n v="2023"/>
  </r>
  <r>
    <s v="O00934"/>
    <d v="2022-05-11T00:00:00"/>
    <x v="110"/>
    <x v="3"/>
    <x v="1"/>
    <s v="Accessories"/>
    <s v="Product_431"/>
    <n v="488"/>
    <n v="-126.76"/>
    <n v="0.24"/>
    <x v="0"/>
    <n v="-0.25975409836065577"/>
    <x v="11"/>
    <n v="2022"/>
  </r>
  <r>
    <s v="O00935"/>
    <d v="2022-02-16T00:00:00"/>
    <x v="553"/>
    <x v="0"/>
    <x v="2"/>
    <s v="Bookcases"/>
    <s v="Product_262"/>
    <n v="2195.89"/>
    <n v="-86.53"/>
    <n v="0.17"/>
    <x v="0"/>
    <n v="-3.9405434698459398E-2"/>
    <x v="10"/>
    <n v="2022"/>
  </r>
  <r>
    <s v="O00936"/>
    <d v="2022-09-17T00:00:00"/>
    <x v="315"/>
    <x v="3"/>
    <x v="1"/>
    <s v="Accessories"/>
    <s v="Product_300"/>
    <n v="562.97"/>
    <n v="-33.17"/>
    <n v="0.2"/>
    <x v="0"/>
    <n v="-5.8919658241114094E-2"/>
    <x v="7"/>
    <n v="2022"/>
  </r>
  <r>
    <s v="O00937"/>
    <d v="2022-07-06T00:00:00"/>
    <x v="452"/>
    <x v="0"/>
    <x v="2"/>
    <s v="Bookcases"/>
    <s v="Product_43"/>
    <n v="179.72"/>
    <n v="-25.57"/>
    <n v="0.22"/>
    <x v="0"/>
    <n v="-0.14227687513910528"/>
    <x v="2"/>
    <n v="2022"/>
  </r>
  <r>
    <s v="O00938"/>
    <d v="2023-11-18T00:00:00"/>
    <x v="555"/>
    <x v="3"/>
    <x v="1"/>
    <s v="Copiers"/>
    <s v="Product_175"/>
    <n v="1558.47"/>
    <n v="-166.76"/>
    <n v="0.18"/>
    <x v="0"/>
    <n v="-0.10700238053988848"/>
    <x v="9"/>
    <n v="2023"/>
  </r>
  <r>
    <s v="O00939"/>
    <d v="2023-11-21T00:00:00"/>
    <x v="73"/>
    <x v="2"/>
    <x v="2"/>
    <s v="Chairs"/>
    <s v="Product_274"/>
    <n v="1006.93"/>
    <n v="-57.97"/>
    <n v="0.22"/>
    <x v="0"/>
    <n v="-5.7571032743090382E-2"/>
    <x v="9"/>
    <n v="2023"/>
  </r>
  <r>
    <s v="O00940"/>
    <d v="2023-04-17T00:00:00"/>
    <x v="363"/>
    <x v="2"/>
    <x v="2"/>
    <s v="Chairs"/>
    <s v="Product_445"/>
    <n v="2035.18"/>
    <n v="393.77"/>
    <n v="0"/>
    <x v="1"/>
    <n v="0.19348165764207587"/>
    <x v="0"/>
    <n v="2023"/>
  </r>
  <r>
    <s v="O00941"/>
    <d v="2023-09-24T00:00:00"/>
    <x v="556"/>
    <x v="2"/>
    <x v="0"/>
    <s v="Storage"/>
    <s v="Product_412"/>
    <n v="3049.25"/>
    <n v="64.34"/>
    <n v="0.15"/>
    <x v="1"/>
    <n v="2.1100270558334019E-2"/>
    <x v="7"/>
    <n v="2023"/>
  </r>
  <r>
    <s v="O00942"/>
    <d v="2022-01-17T00:00:00"/>
    <x v="459"/>
    <x v="1"/>
    <x v="1"/>
    <s v="Phones"/>
    <s v="Product_440"/>
    <n v="712.94"/>
    <n v="-94.72"/>
    <n v="0"/>
    <x v="0"/>
    <n v="-0.13285830504670798"/>
    <x v="1"/>
    <n v="2022"/>
  </r>
  <r>
    <s v="O00943"/>
    <d v="2023-10-04T00:00:00"/>
    <x v="64"/>
    <x v="1"/>
    <x v="2"/>
    <s v="Chairs"/>
    <s v="Product_45"/>
    <n v="2457.4699999999998"/>
    <n v="-233.29"/>
    <n v="0.04"/>
    <x v="0"/>
    <n v="-9.4930965586558544E-2"/>
    <x v="5"/>
    <n v="2023"/>
  </r>
  <r>
    <s v="O00944"/>
    <d v="2022-06-06T00:00:00"/>
    <x v="557"/>
    <x v="2"/>
    <x v="1"/>
    <s v="Accessories"/>
    <s v="Product_494"/>
    <n v="826.01"/>
    <n v="-214.87"/>
    <n v="0.13"/>
    <x v="0"/>
    <n v="-0.26013002263895113"/>
    <x v="8"/>
    <n v="2022"/>
  </r>
  <r>
    <s v="O00945"/>
    <d v="2022-10-29T00:00:00"/>
    <x v="32"/>
    <x v="2"/>
    <x v="1"/>
    <s v="Accessories"/>
    <s v="Product_27"/>
    <n v="196.18"/>
    <n v="-36.18"/>
    <n v="0.13"/>
    <x v="0"/>
    <n v="-0.1844224691609746"/>
    <x v="5"/>
    <n v="2022"/>
  </r>
  <r>
    <s v="O00946"/>
    <d v="2023-03-02T00:00:00"/>
    <x v="96"/>
    <x v="3"/>
    <x v="1"/>
    <s v="Phones"/>
    <s v="Product_19"/>
    <n v="603.04999999999995"/>
    <n v="-115.14"/>
    <n v="0.25"/>
    <x v="0"/>
    <n v="-0.19092944200315068"/>
    <x v="6"/>
    <n v="2023"/>
  </r>
  <r>
    <s v="O00947"/>
    <d v="2023-11-26T00:00:00"/>
    <x v="558"/>
    <x v="1"/>
    <x v="1"/>
    <s v="Accessories"/>
    <s v="Product_366"/>
    <n v="2481.89"/>
    <n v="-32.520000000000003"/>
    <n v="0.18"/>
    <x v="0"/>
    <n v="-1.3102917534620794E-2"/>
    <x v="9"/>
    <n v="2023"/>
  </r>
  <r>
    <s v="O00948"/>
    <d v="2022-10-02T00:00:00"/>
    <x v="125"/>
    <x v="2"/>
    <x v="2"/>
    <s v="Bookcases"/>
    <s v="Product_456"/>
    <n v="193.2"/>
    <n v="-7.35"/>
    <n v="0.17"/>
    <x v="0"/>
    <n v="-3.8043478260869568E-2"/>
    <x v="5"/>
    <n v="2022"/>
  </r>
  <r>
    <s v="O00949"/>
    <d v="2023-12-16T00:00:00"/>
    <x v="149"/>
    <x v="0"/>
    <x v="1"/>
    <s v="Phones"/>
    <s v="Product_83"/>
    <n v="2524.4699999999998"/>
    <n v="-686.51"/>
    <n v="0.28000000000000003"/>
    <x v="0"/>
    <n v="-0.27194222945806451"/>
    <x v="4"/>
    <n v="2023"/>
  </r>
  <r>
    <s v="O00950"/>
    <d v="2022-08-13T00:00:00"/>
    <x v="93"/>
    <x v="3"/>
    <x v="1"/>
    <s v="Copiers"/>
    <s v="Product_472"/>
    <n v="1041.79"/>
    <n v="-167.46"/>
    <n v="0.1"/>
    <x v="0"/>
    <n v="-0.16074256807993934"/>
    <x v="3"/>
    <n v="2022"/>
  </r>
  <r>
    <s v="O00951"/>
    <d v="2023-12-30T00:00:00"/>
    <x v="533"/>
    <x v="2"/>
    <x v="0"/>
    <s v="Storage"/>
    <s v="Product_427"/>
    <n v="3319.09"/>
    <n v="-212.3"/>
    <n v="0.04"/>
    <x v="0"/>
    <n v="-6.3963315246046357E-2"/>
    <x v="4"/>
    <n v="2023"/>
  </r>
  <r>
    <s v="O00952"/>
    <d v="2022-06-15T00:00:00"/>
    <x v="559"/>
    <x v="1"/>
    <x v="0"/>
    <s v="Storage"/>
    <s v="Product_145"/>
    <n v="3699.46"/>
    <n v="147.43"/>
    <n v="0.24"/>
    <x v="1"/>
    <n v="3.9851762149070408E-2"/>
    <x v="8"/>
    <n v="2022"/>
  </r>
  <r>
    <s v="O00953"/>
    <d v="2022-06-10T00:00:00"/>
    <x v="118"/>
    <x v="2"/>
    <x v="0"/>
    <s v="Storage"/>
    <s v="Product_52"/>
    <n v="522.34"/>
    <n v="-123.29"/>
    <n v="0.14000000000000001"/>
    <x v="0"/>
    <n v="-0.2360340008423632"/>
    <x v="8"/>
    <n v="2022"/>
  </r>
  <r>
    <s v="O00954"/>
    <d v="2022-01-19T00:00:00"/>
    <x v="551"/>
    <x v="3"/>
    <x v="1"/>
    <s v="Accessories"/>
    <s v="Product_183"/>
    <n v="1587.89"/>
    <n v="-368.03"/>
    <n v="0.06"/>
    <x v="0"/>
    <n v="-0.23177298175566313"/>
    <x v="1"/>
    <n v="2022"/>
  </r>
  <r>
    <s v="O00955"/>
    <d v="2022-03-07T00:00:00"/>
    <x v="560"/>
    <x v="2"/>
    <x v="0"/>
    <s v="Binders"/>
    <s v="Product_59"/>
    <n v="956.1"/>
    <n v="-150.97999999999999"/>
    <n v="0.26"/>
    <x v="0"/>
    <n v="-0.15791235226440747"/>
    <x v="6"/>
    <n v="2022"/>
  </r>
  <r>
    <s v="O00956"/>
    <d v="2022-12-15T00:00:00"/>
    <x v="315"/>
    <x v="0"/>
    <x v="0"/>
    <s v="Binders"/>
    <s v="Product_395"/>
    <n v="691.37"/>
    <n v="-79.72"/>
    <n v="7.0000000000000007E-2"/>
    <x v="0"/>
    <n v="-0.11530728842732545"/>
    <x v="4"/>
    <n v="2022"/>
  </r>
  <r>
    <s v="O00957"/>
    <d v="2023-09-11T00:00:00"/>
    <x v="561"/>
    <x v="0"/>
    <x v="0"/>
    <s v="Paper"/>
    <s v="Product_362"/>
    <n v="4491.96"/>
    <n v="288.45999999999998"/>
    <n v="0.26"/>
    <x v="1"/>
    <n v="6.4216956517867477E-2"/>
    <x v="7"/>
    <n v="2023"/>
  </r>
  <r>
    <s v="O00958"/>
    <d v="2022-04-19T00:00:00"/>
    <x v="164"/>
    <x v="0"/>
    <x v="2"/>
    <s v="Tables"/>
    <s v="Product_422"/>
    <n v="4015.04"/>
    <n v="-146.72"/>
    <n v="0.28999999999999998"/>
    <x v="0"/>
    <n v="-3.654259982465928E-2"/>
    <x v="0"/>
    <n v="2022"/>
  </r>
  <r>
    <s v="O00959"/>
    <d v="2022-07-30T00:00:00"/>
    <x v="151"/>
    <x v="1"/>
    <x v="0"/>
    <s v="Binders"/>
    <s v="Product_373"/>
    <n v="2585.8000000000002"/>
    <n v="-463.28"/>
    <n v="0.05"/>
    <x v="0"/>
    <n v="-0.17916312166447518"/>
    <x v="2"/>
    <n v="2022"/>
  </r>
  <r>
    <s v="O00960"/>
    <d v="2022-04-12T00:00:00"/>
    <x v="377"/>
    <x v="3"/>
    <x v="1"/>
    <s v="Copiers"/>
    <s v="Product_172"/>
    <n v="2263.44"/>
    <n v="202.65"/>
    <n v="0.15"/>
    <x v="1"/>
    <n v="8.9531863004983558E-2"/>
    <x v="0"/>
    <n v="2022"/>
  </r>
  <r>
    <s v="O00961"/>
    <d v="2022-01-07T00:00:00"/>
    <x v="75"/>
    <x v="2"/>
    <x v="2"/>
    <s v="Chairs"/>
    <s v="Product_175"/>
    <n v="4258.12"/>
    <n v="-342.99"/>
    <n v="0.13"/>
    <x v="0"/>
    <n v="-8.0549632232064863E-2"/>
    <x v="1"/>
    <n v="2022"/>
  </r>
  <r>
    <s v="O00962"/>
    <d v="2023-03-01T00:00:00"/>
    <x v="556"/>
    <x v="1"/>
    <x v="1"/>
    <s v="Copiers"/>
    <s v="Product_78"/>
    <n v="939.18"/>
    <n v="140.05000000000001"/>
    <n v="0.08"/>
    <x v="1"/>
    <n v="0.14911944462190424"/>
    <x v="6"/>
    <n v="2023"/>
  </r>
  <r>
    <s v="O00963"/>
    <d v="2023-02-24T00:00:00"/>
    <x v="10"/>
    <x v="3"/>
    <x v="0"/>
    <s v="Paper"/>
    <s v="Product_484"/>
    <n v="3957.36"/>
    <n v="68.44"/>
    <n v="0.04"/>
    <x v="1"/>
    <n v="1.7294357854731435E-2"/>
    <x v="10"/>
    <n v="2023"/>
  </r>
  <r>
    <s v="O00964"/>
    <d v="2022-03-13T00:00:00"/>
    <x v="562"/>
    <x v="3"/>
    <x v="2"/>
    <s v="Tables"/>
    <s v="Product_162"/>
    <n v="813.36"/>
    <n v="230.79"/>
    <n v="0"/>
    <x v="1"/>
    <n v="0.28374889347890231"/>
    <x v="6"/>
    <n v="2022"/>
  </r>
  <r>
    <s v="O00965"/>
    <d v="2023-10-19T00:00:00"/>
    <x v="563"/>
    <x v="0"/>
    <x v="1"/>
    <s v="Phones"/>
    <s v="Product_324"/>
    <n v="2226.9499999999998"/>
    <n v="-663.06"/>
    <n v="0.12"/>
    <x v="0"/>
    <n v="-0.2977435505961068"/>
    <x v="5"/>
    <n v="2023"/>
  </r>
  <r>
    <s v="O00966"/>
    <d v="2023-11-29T00:00:00"/>
    <x v="308"/>
    <x v="3"/>
    <x v="0"/>
    <s v="Storage"/>
    <s v="Product_370"/>
    <n v="4391.49"/>
    <n v="-1047.01"/>
    <n v="0.28999999999999998"/>
    <x v="0"/>
    <n v="-0.2384179401524312"/>
    <x v="9"/>
    <n v="2023"/>
  </r>
  <r>
    <s v="O00967"/>
    <d v="2023-06-25T00:00:00"/>
    <x v="164"/>
    <x v="1"/>
    <x v="0"/>
    <s v="Paper"/>
    <s v="Product_359"/>
    <n v="4555.2299999999996"/>
    <n v="-146.37"/>
    <n v="0"/>
    <x v="0"/>
    <n v="-3.2132296283612465E-2"/>
    <x v="8"/>
    <n v="2023"/>
  </r>
  <r>
    <s v="O00968"/>
    <d v="2023-09-26T00:00:00"/>
    <x v="94"/>
    <x v="2"/>
    <x v="1"/>
    <s v="Accessories"/>
    <s v="Product_358"/>
    <n v="3255.01"/>
    <n v="-310.48"/>
    <n v="0.27"/>
    <x v="0"/>
    <n v="-9.5385267633586374E-2"/>
    <x v="7"/>
    <n v="2023"/>
  </r>
  <r>
    <s v="O00969"/>
    <d v="2022-02-07T00:00:00"/>
    <x v="35"/>
    <x v="3"/>
    <x v="1"/>
    <s v="Copiers"/>
    <s v="Product_200"/>
    <n v="2082.08"/>
    <n v="-164.65"/>
    <n v="0.06"/>
    <x v="0"/>
    <n v="-7.9079574271881975E-2"/>
    <x v="10"/>
    <n v="2022"/>
  </r>
  <r>
    <s v="O00970"/>
    <d v="2022-10-18T00:00:00"/>
    <x v="373"/>
    <x v="0"/>
    <x v="0"/>
    <s v="Storage"/>
    <s v="Product_262"/>
    <n v="3726.26"/>
    <n v="1323.4"/>
    <n v="0.04"/>
    <x v="1"/>
    <n v="0.35515503480701832"/>
    <x v="5"/>
    <n v="2022"/>
  </r>
  <r>
    <s v="O00971"/>
    <d v="2022-01-29T00:00:00"/>
    <x v="398"/>
    <x v="3"/>
    <x v="0"/>
    <s v="Paper"/>
    <s v="Product_124"/>
    <n v="2654.55"/>
    <n v="-886.58"/>
    <n v="0.23"/>
    <x v="0"/>
    <n v="-0.33398504454615657"/>
    <x v="1"/>
    <n v="2022"/>
  </r>
  <r>
    <s v="O00972"/>
    <d v="2023-01-17T00:00:00"/>
    <x v="311"/>
    <x v="3"/>
    <x v="1"/>
    <s v="Copiers"/>
    <s v="Product_64"/>
    <n v="2171.4499999999998"/>
    <n v="193.68"/>
    <n v="0.15"/>
    <x v="1"/>
    <n v="8.9193856639572647E-2"/>
    <x v="1"/>
    <n v="2023"/>
  </r>
  <r>
    <s v="O00973"/>
    <d v="2022-01-06T00:00:00"/>
    <x v="541"/>
    <x v="3"/>
    <x v="2"/>
    <s v="Bookcases"/>
    <s v="Product_121"/>
    <n v="4712.58"/>
    <n v="63.44"/>
    <n v="0.13"/>
    <x v="1"/>
    <n v="1.3461840435600033E-2"/>
    <x v="1"/>
    <n v="2022"/>
  </r>
  <r>
    <s v="O00974"/>
    <d v="2023-07-01T00:00:00"/>
    <x v="59"/>
    <x v="1"/>
    <x v="0"/>
    <s v="Storage"/>
    <s v="Product_180"/>
    <n v="2871.43"/>
    <n v="-268.06"/>
    <n v="0.27"/>
    <x v="0"/>
    <n v="-9.3354182410854525E-2"/>
    <x v="2"/>
    <n v="2023"/>
  </r>
  <r>
    <s v="O00975"/>
    <d v="2022-05-24T00:00:00"/>
    <x v="157"/>
    <x v="2"/>
    <x v="1"/>
    <s v="Accessories"/>
    <s v="Product_267"/>
    <n v="3367.92"/>
    <n v="-324.47000000000003"/>
    <n v="0.24"/>
    <x v="0"/>
    <n v="-9.6341362027601615E-2"/>
    <x v="11"/>
    <n v="2022"/>
  </r>
  <r>
    <s v="O00976"/>
    <d v="2023-01-05T00:00:00"/>
    <x v="124"/>
    <x v="0"/>
    <x v="0"/>
    <s v="Binders"/>
    <s v="Product_76"/>
    <n v="615.61"/>
    <n v="-144.34"/>
    <n v="0.15"/>
    <x v="0"/>
    <n v="-0.23446662659800849"/>
    <x v="1"/>
    <n v="2023"/>
  </r>
  <r>
    <s v="O00977"/>
    <d v="2022-05-14T00:00:00"/>
    <x v="132"/>
    <x v="1"/>
    <x v="0"/>
    <s v="Paper"/>
    <s v="Product_229"/>
    <n v="4159.34"/>
    <n v="-759.84"/>
    <n v="0.02"/>
    <x v="0"/>
    <n v="-0.18268282948737061"/>
    <x v="11"/>
    <n v="2022"/>
  </r>
  <r>
    <s v="O00978"/>
    <d v="2023-02-09T00:00:00"/>
    <x v="357"/>
    <x v="2"/>
    <x v="2"/>
    <s v="Tables"/>
    <s v="Product_326"/>
    <n v="3416.43"/>
    <n v="52.55"/>
    <n v="0.12"/>
    <x v="1"/>
    <n v="1.5381553258811098E-2"/>
    <x v="10"/>
    <n v="2023"/>
  </r>
  <r>
    <s v="O00979"/>
    <d v="2023-03-03T00:00:00"/>
    <x v="340"/>
    <x v="1"/>
    <x v="1"/>
    <s v="Accessories"/>
    <s v="Product_259"/>
    <n v="3476.19"/>
    <n v="-142.41999999999999"/>
    <n v="0.28000000000000003"/>
    <x v="0"/>
    <n v="-4.0970142598649666E-2"/>
    <x v="6"/>
    <n v="2023"/>
  </r>
  <r>
    <s v="O00980"/>
    <d v="2023-06-26T00:00:00"/>
    <x v="564"/>
    <x v="1"/>
    <x v="2"/>
    <s v="Tables"/>
    <s v="Product_234"/>
    <n v="3584.64"/>
    <n v="654.97"/>
    <n v="0.04"/>
    <x v="1"/>
    <n v="0.18271569808962687"/>
    <x v="8"/>
    <n v="2023"/>
  </r>
  <r>
    <s v="O00981"/>
    <d v="2022-05-02T00:00:00"/>
    <x v="550"/>
    <x v="2"/>
    <x v="1"/>
    <s v="Phones"/>
    <s v="Product_57"/>
    <n v="3757.83"/>
    <n v="-971.03"/>
    <n v="0.28000000000000003"/>
    <x v="0"/>
    <n v="-0.25840179039498862"/>
    <x v="11"/>
    <n v="2022"/>
  </r>
  <r>
    <s v="O00982"/>
    <d v="2023-01-16T00:00:00"/>
    <x v="341"/>
    <x v="3"/>
    <x v="2"/>
    <s v="Tables"/>
    <s v="Product_156"/>
    <n v="2901.65"/>
    <n v="-342.44"/>
    <n v="0.01"/>
    <x v="0"/>
    <n v="-0.11801561180707527"/>
    <x v="1"/>
    <n v="2023"/>
  </r>
  <r>
    <s v="O00983"/>
    <d v="2023-03-08T00:00:00"/>
    <x v="565"/>
    <x v="3"/>
    <x v="1"/>
    <s v="Accessories"/>
    <s v="Product_456"/>
    <n v="237.09"/>
    <n v="54.6"/>
    <n v="0.04"/>
    <x v="1"/>
    <n v="0.23029229406554474"/>
    <x v="6"/>
    <n v="2023"/>
  </r>
  <r>
    <s v="O00984"/>
    <d v="2023-07-15T00:00:00"/>
    <x v="531"/>
    <x v="0"/>
    <x v="1"/>
    <s v="Phones"/>
    <s v="Product_446"/>
    <n v="997.08"/>
    <n v="-417.53"/>
    <n v="0.22"/>
    <x v="0"/>
    <n v="-0.41875275805351625"/>
    <x v="2"/>
    <n v="2023"/>
  </r>
  <r>
    <s v="O00985"/>
    <d v="2022-12-12T00:00:00"/>
    <x v="242"/>
    <x v="2"/>
    <x v="2"/>
    <s v="Tables"/>
    <s v="Product_428"/>
    <n v="2457.7600000000002"/>
    <n v="-45.65"/>
    <n v="0.09"/>
    <x v="0"/>
    <n v="-1.8573823318794348E-2"/>
    <x v="4"/>
    <n v="2022"/>
  </r>
  <r>
    <s v="O00986"/>
    <d v="2023-04-06T00:00:00"/>
    <x v="187"/>
    <x v="2"/>
    <x v="0"/>
    <s v="Storage"/>
    <s v="Product_77"/>
    <n v="750.77"/>
    <n v="106.52"/>
    <n v="0.04"/>
    <x v="1"/>
    <n v="0.14188100217110433"/>
    <x v="0"/>
    <n v="2023"/>
  </r>
  <r>
    <s v="O00987"/>
    <d v="2023-02-01T00:00:00"/>
    <x v="566"/>
    <x v="2"/>
    <x v="0"/>
    <s v="Paper"/>
    <s v="Product_174"/>
    <n v="537.64"/>
    <n v="-8.52"/>
    <n v="0.19"/>
    <x v="0"/>
    <n v="-1.5847035190834014E-2"/>
    <x v="10"/>
    <n v="2023"/>
  </r>
  <r>
    <s v="O00988"/>
    <d v="2023-10-24T00:00:00"/>
    <x v="497"/>
    <x v="1"/>
    <x v="0"/>
    <s v="Binders"/>
    <s v="Product_363"/>
    <n v="4794.59"/>
    <n v="-136.41999999999999"/>
    <n v="0.27"/>
    <x v="0"/>
    <n v="-2.8452902125103499E-2"/>
    <x v="5"/>
    <n v="2023"/>
  </r>
  <r>
    <s v="O00989"/>
    <d v="2023-10-23T00:00:00"/>
    <x v="523"/>
    <x v="0"/>
    <x v="2"/>
    <s v="Bookcases"/>
    <s v="Product_99"/>
    <n v="3187.54"/>
    <n v="-779.96"/>
    <n v="0.23"/>
    <x v="0"/>
    <n v="-0.24469026271042874"/>
    <x v="5"/>
    <n v="2023"/>
  </r>
  <r>
    <s v="O00990"/>
    <d v="2022-07-13T00:00:00"/>
    <x v="567"/>
    <x v="2"/>
    <x v="0"/>
    <s v="Storage"/>
    <s v="Product_258"/>
    <n v="2926.59"/>
    <n v="357.47"/>
    <n v="0.02"/>
    <x v="1"/>
    <n v="0.12214556873357731"/>
    <x v="2"/>
    <n v="2022"/>
  </r>
  <r>
    <s v="O00991"/>
    <d v="2022-10-09T00:00:00"/>
    <x v="481"/>
    <x v="1"/>
    <x v="2"/>
    <s v="Chairs"/>
    <s v="Product_425"/>
    <n v="3325.45"/>
    <n v="723.04"/>
    <n v="0.16"/>
    <x v="1"/>
    <n v="0.21742621299373016"/>
    <x v="5"/>
    <n v="2022"/>
  </r>
  <r>
    <s v="O00992"/>
    <d v="2023-02-16T00:00:00"/>
    <x v="89"/>
    <x v="0"/>
    <x v="0"/>
    <s v="Storage"/>
    <s v="Product_252"/>
    <n v="2276.7199999999998"/>
    <n v="-172.77"/>
    <n v="0.24"/>
    <x v="0"/>
    <n v="-7.5885484381039398E-2"/>
    <x v="10"/>
    <n v="2023"/>
  </r>
  <r>
    <s v="O00993"/>
    <d v="2022-11-21T00:00:00"/>
    <x v="568"/>
    <x v="3"/>
    <x v="2"/>
    <s v="Tables"/>
    <s v="Product_47"/>
    <n v="2241.39"/>
    <n v="438.84"/>
    <n v="0.12"/>
    <x v="1"/>
    <n v="0.19578922008218114"/>
    <x v="9"/>
    <n v="2022"/>
  </r>
  <r>
    <s v="O00994"/>
    <d v="2022-04-02T00:00:00"/>
    <x v="377"/>
    <x v="3"/>
    <x v="2"/>
    <s v="Chairs"/>
    <s v="Product_488"/>
    <n v="2754.72"/>
    <n v="-496.95"/>
    <n v="0.09"/>
    <x v="0"/>
    <n v="-0.18039945983620842"/>
    <x v="0"/>
    <n v="2022"/>
  </r>
  <r>
    <s v="O00995"/>
    <d v="2022-01-28T00:00:00"/>
    <x v="258"/>
    <x v="0"/>
    <x v="1"/>
    <s v="Copiers"/>
    <s v="Product_153"/>
    <n v="929.04"/>
    <n v="-171.71"/>
    <n v="0.18"/>
    <x v="0"/>
    <n v="-0.18482519590114529"/>
    <x v="1"/>
    <n v="2022"/>
  </r>
  <r>
    <s v="O00996"/>
    <d v="2023-01-20T00:00:00"/>
    <x v="362"/>
    <x v="0"/>
    <x v="1"/>
    <s v="Phones"/>
    <s v="Product_104"/>
    <n v="1668.2"/>
    <n v="-209.31"/>
    <n v="0.12"/>
    <x v="0"/>
    <n v="-0.12547056707828796"/>
    <x v="1"/>
    <n v="2023"/>
  </r>
  <r>
    <s v="O00997"/>
    <d v="2023-01-30T00:00:00"/>
    <x v="135"/>
    <x v="3"/>
    <x v="2"/>
    <s v="Bookcases"/>
    <s v="Product_32"/>
    <n v="2971.54"/>
    <n v="301.42"/>
    <n v="0.15"/>
    <x v="1"/>
    <n v="0.10143561924120154"/>
    <x v="1"/>
    <n v="2023"/>
  </r>
  <r>
    <s v="O00998"/>
    <d v="2023-10-11T00:00:00"/>
    <x v="389"/>
    <x v="0"/>
    <x v="1"/>
    <s v="Accessories"/>
    <s v="Product_138"/>
    <n v="2810.29"/>
    <n v="-569.52"/>
    <n v="0.02"/>
    <x v="0"/>
    <n v="-0.20265524198570253"/>
    <x v="5"/>
    <n v="2023"/>
  </r>
  <r>
    <s v="O00999"/>
    <d v="2022-05-09T00:00:00"/>
    <x v="126"/>
    <x v="2"/>
    <x v="0"/>
    <s v="Storage"/>
    <s v="Product_229"/>
    <n v="3407.98"/>
    <n v="214.1"/>
    <n v="7.0000000000000007E-2"/>
    <x v="1"/>
    <n v="6.2823138633442688E-2"/>
    <x v="11"/>
    <n v="2022"/>
  </r>
  <r>
    <s v="O01000"/>
    <d v="2023-07-08T00:00:00"/>
    <x v="547"/>
    <x v="1"/>
    <x v="2"/>
    <s v="Bookcases"/>
    <s v="Product_276"/>
    <n v="2552.12"/>
    <n v="-879.41"/>
    <n v="0.23"/>
    <x v="0"/>
    <n v="-0.34458019215397395"/>
    <x v="2"/>
    <n v="2023"/>
  </r>
  <r>
    <s v="O01001"/>
    <d v="2023-09-28T00:00:00"/>
    <x v="150"/>
    <x v="1"/>
    <x v="1"/>
    <s v="Copiers"/>
    <s v="Product_1"/>
    <n v="2313.54"/>
    <n v="182.29"/>
    <n v="0"/>
    <x v="1"/>
    <n v="7.8792672700709734E-2"/>
    <x v="7"/>
    <n v="2023"/>
  </r>
  <r>
    <s v="O01002"/>
    <d v="2022-12-26T00:00:00"/>
    <x v="569"/>
    <x v="1"/>
    <x v="2"/>
    <s v="Tables"/>
    <s v="Product_300"/>
    <n v="1439.18"/>
    <n v="184.21"/>
    <n v="0.08"/>
    <x v="1"/>
    <n v="0.12799649800580887"/>
    <x v="4"/>
    <n v="2022"/>
  </r>
  <r>
    <s v="O01003"/>
    <d v="2022-11-04T00:00:00"/>
    <x v="416"/>
    <x v="2"/>
    <x v="0"/>
    <s v="Paper"/>
    <s v="Product_358"/>
    <n v="322.88"/>
    <n v="-26.52"/>
    <n v="0.22"/>
    <x v="0"/>
    <n v="-8.2135777998017842E-2"/>
    <x v="9"/>
    <n v="2022"/>
  </r>
  <r>
    <s v="O01004"/>
    <d v="2022-08-04T00:00:00"/>
    <x v="164"/>
    <x v="3"/>
    <x v="2"/>
    <s v="Chairs"/>
    <s v="Product_453"/>
    <n v="3652.86"/>
    <n v="98.51"/>
    <n v="0.3"/>
    <x v="1"/>
    <n v="2.6967910075940498E-2"/>
    <x v="3"/>
    <n v="2022"/>
  </r>
  <r>
    <s v="O01005"/>
    <d v="2022-10-07T00:00:00"/>
    <x v="75"/>
    <x v="3"/>
    <x v="0"/>
    <s v="Paper"/>
    <s v="Product_175"/>
    <n v="3212.33"/>
    <n v="-209.92"/>
    <n v="0.28999999999999998"/>
    <x v="0"/>
    <n v="-6.5348205196850875E-2"/>
    <x v="5"/>
    <n v="2022"/>
  </r>
  <r>
    <s v="O01006"/>
    <d v="2022-05-17T00:00:00"/>
    <x v="336"/>
    <x v="0"/>
    <x v="2"/>
    <s v="Tables"/>
    <s v="Product_312"/>
    <n v="4799.0600000000004"/>
    <n v="1192.1400000000001"/>
    <n v="0.1"/>
    <x v="1"/>
    <n v="0.24841114718299001"/>
    <x v="11"/>
    <n v="2022"/>
  </r>
  <r>
    <s v="O01007"/>
    <d v="2023-12-15T00:00:00"/>
    <x v="292"/>
    <x v="2"/>
    <x v="1"/>
    <s v="Phones"/>
    <s v="Product_391"/>
    <n v="4517.08"/>
    <n v="-687.06"/>
    <n v="0.2"/>
    <x v="0"/>
    <n v="-0.15210268580587458"/>
    <x v="4"/>
    <n v="2023"/>
  </r>
  <r>
    <s v="O01008"/>
    <d v="2023-07-06T00:00:00"/>
    <x v="142"/>
    <x v="2"/>
    <x v="1"/>
    <s v="Copiers"/>
    <s v="Product_345"/>
    <n v="497.63"/>
    <n v="-34.46"/>
    <n v="0.26"/>
    <x v="0"/>
    <n v="-6.9248236641681574E-2"/>
    <x v="2"/>
    <n v="2023"/>
  </r>
  <r>
    <s v="O01009"/>
    <d v="2023-02-01T00:00:00"/>
    <x v="570"/>
    <x v="0"/>
    <x v="2"/>
    <s v="Tables"/>
    <s v="Product_64"/>
    <n v="4862.99"/>
    <n v="246.97"/>
    <n v="0.11"/>
    <x v="1"/>
    <n v="5.0785627772214216E-2"/>
    <x v="10"/>
    <n v="2023"/>
  </r>
  <r>
    <s v="O01010"/>
    <d v="2022-01-21T00:00:00"/>
    <x v="571"/>
    <x v="3"/>
    <x v="1"/>
    <s v="Accessories"/>
    <s v="Product_349"/>
    <n v="4687.6099999999997"/>
    <n v="-923.87"/>
    <n v="0.13"/>
    <x v="0"/>
    <n v="-0.19708764167667533"/>
    <x v="1"/>
    <n v="2022"/>
  </r>
  <r>
    <s v="O01011"/>
    <d v="2022-08-15T00:00:00"/>
    <x v="389"/>
    <x v="2"/>
    <x v="0"/>
    <s v="Paper"/>
    <s v="Product_496"/>
    <n v="1038.4100000000001"/>
    <n v="-67.349999999999994"/>
    <n v="0.24"/>
    <x v="0"/>
    <n v="-6.4858774472510844E-2"/>
    <x v="3"/>
    <n v="2022"/>
  </r>
  <r>
    <s v="O01012"/>
    <d v="2022-08-03T00:00:00"/>
    <x v="572"/>
    <x v="1"/>
    <x v="1"/>
    <s v="Phones"/>
    <s v="Product_421"/>
    <n v="1475.71"/>
    <n v="-67.62"/>
    <n v="0.27"/>
    <x v="0"/>
    <n v="-4.5822011099741822E-2"/>
    <x v="3"/>
    <n v="2022"/>
  </r>
  <r>
    <s v="O01013"/>
    <d v="2022-06-24T00:00:00"/>
    <x v="87"/>
    <x v="1"/>
    <x v="0"/>
    <s v="Paper"/>
    <s v="Product_338"/>
    <n v="643.64"/>
    <n v="13"/>
    <n v="0.08"/>
    <x v="1"/>
    <n v="2.0197626002112983E-2"/>
    <x v="8"/>
    <n v="2022"/>
  </r>
  <r>
    <s v="O01014"/>
    <d v="2023-08-26T00:00:00"/>
    <x v="573"/>
    <x v="0"/>
    <x v="0"/>
    <s v="Storage"/>
    <s v="Product_66"/>
    <n v="3393.66"/>
    <n v="-932.18"/>
    <n v="0.18"/>
    <x v="0"/>
    <n v="-0.27468279085117542"/>
    <x v="3"/>
    <n v="2023"/>
  </r>
  <r>
    <s v="O01015"/>
    <d v="2022-10-08T00:00:00"/>
    <x v="5"/>
    <x v="0"/>
    <x v="1"/>
    <s v="Copiers"/>
    <s v="Product_497"/>
    <n v="4291.8500000000004"/>
    <n v="-97.26"/>
    <n v="0.26"/>
    <x v="0"/>
    <n v="-2.2661556205365984E-2"/>
    <x v="5"/>
    <n v="2022"/>
  </r>
  <r>
    <s v="O01016"/>
    <d v="2023-04-10T00:00:00"/>
    <x v="356"/>
    <x v="2"/>
    <x v="0"/>
    <s v="Storage"/>
    <s v="Product_329"/>
    <n v="2711.41"/>
    <n v="152.03"/>
    <n v="0.08"/>
    <x v="1"/>
    <n v="5.6070457806086133E-2"/>
    <x v="0"/>
    <n v="2023"/>
  </r>
  <r>
    <s v="O01017"/>
    <d v="2023-02-21T00:00:00"/>
    <x v="574"/>
    <x v="0"/>
    <x v="0"/>
    <s v="Storage"/>
    <s v="Product_349"/>
    <n v="354.13"/>
    <n v="-78.08"/>
    <n v="0.28000000000000003"/>
    <x v="0"/>
    <n v="-0.22048400304972751"/>
    <x v="10"/>
    <n v="2023"/>
  </r>
  <r>
    <s v="O01018"/>
    <d v="2022-08-18T00:00:00"/>
    <x v="575"/>
    <x v="3"/>
    <x v="0"/>
    <s v="Paper"/>
    <s v="Product_471"/>
    <n v="2528.3200000000002"/>
    <n v="-844.26"/>
    <n v="0.16"/>
    <x v="0"/>
    <n v="-0.33392133907100363"/>
    <x v="3"/>
    <n v="2022"/>
  </r>
  <r>
    <s v="O01019"/>
    <d v="2022-03-25T00:00:00"/>
    <x v="304"/>
    <x v="0"/>
    <x v="1"/>
    <s v="Copiers"/>
    <s v="Product_378"/>
    <n v="2299.42"/>
    <n v="-191.39"/>
    <n v="0"/>
    <x v="0"/>
    <n v="-8.3234032930043222E-2"/>
    <x v="6"/>
    <n v="2022"/>
  </r>
  <r>
    <s v="O01020"/>
    <d v="2022-06-18T00:00:00"/>
    <x v="576"/>
    <x v="3"/>
    <x v="2"/>
    <s v="Bookcases"/>
    <s v="Product_33"/>
    <n v="2176.7199999999998"/>
    <n v="-152.38999999999999"/>
    <n v="0.02"/>
    <x v="0"/>
    <n v="-7.0009004373552869E-2"/>
    <x v="8"/>
    <n v="2022"/>
  </r>
  <r>
    <s v="O01021"/>
    <d v="2023-08-30T00:00:00"/>
    <x v="543"/>
    <x v="3"/>
    <x v="0"/>
    <s v="Storage"/>
    <s v="Product_431"/>
    <n v="573.96"/>
    <n v="83.13"/>
    <n v="0.14000000000000001"/>
    <x v="1"/>
    <n v="0.1448358770646038"/>
    <x v="3"/>
    <n v="2023"/>
  </r>
  <r>
    <s v="O01022"/>
    <d v="2022-02-25T00:00:00"/>
    <x v="493"/>
    <x v="1"/>
    <x v="1"/>
    <s v="Phones"/>
    <s v="Product_484"/>
    <n v="628.41999999999996"/>
    <n v="-41.17"/>
    <n v="7.0000000000000007E-2"/>
    <x v="0"/>
    <n v="-6.5513510072881198E-2"/>
    <x v="10"/>
    <n v="2022"/>
  </r>
  <r>
    <s v="O01023"/>
    <d v="2023-08-16T00:00:00"/>
    <x v="4"/>
    <x v="0"/>
    <x v="2"/>
    <s v="Bookcases"/>
    <s v="Product_499"/>
    <n v="3135.88"/>
    <n v="-171.82"/>
    <n v="0.23"/>
    <x v="0"/>
    <n v="-5.4791637435105928E-2"/>
    <x v="3"/>
    <n v="2023"/>
  </r>
  <r>
    <s v="O01024"/>
    <d v="2022-05-11T00:00:00"/>
    <x v="328"/>
    <x v="2"/>
    <x v="2"/>
    <s v="Chairs"/>
    <s v="Product_29"/>
    <n v="1949.24"/>
    <n v="-105.22"/>
    <n v="0.27"/>
    <x v="0"/>
    <n v="-5.3980012722907388E-2"/>
    <x v="11"/>
    <n v="2022"/>
  </r>
  <r>
    <s v="O01025"/>
    <d v="2023-07-27T00:00:00"/>
    <x v="577"/>
    <x v="3"/>
    <x v="1"/>
    <s v="Copiers"/>
    <s v="Product_436"/>
    <n v="3168.31"/>
    <n v="591.01"/>
    <n v="0.02"/>
    <x v="1"/>
    <n v="0.18653793347241904"/>
    <x v="2"/>
    <n v="2023"/>
  </r>
  <r>
    <s v="O01026"/>
    <d v="2023-09-06T00:00:00"/>
    <x v="450"/>
    <x v="0"/>
    <x v="1"/>
    <s v="Accessories"/>
    <s v="Product_233"/>
    <n v="569.57000000000005"/>
    <n v="-165.25"/>
    <n v="0.23"/>
    <x v="0"/>
    <n v="-0.29013115157048297"/>
    <x v="7"/>
    <n v="2023"/>
  </r>
  <r>
    <s v="O01027"/>
    <d v="2022-12-14T00:00:00"/>
    <x v="578"/>
    <x v="0"/>
    <x v="1"/>
    <s v="Accessories"/>
    <s v="Product_233"/>
    <n v="3996.31"/>
    <n v="-353.52"/>
    <n v="0.26"/>
    <x v="0"/>
    <n v="-8.846160583137945E-2"/>
    <x v="4"/>
    <n v="2022"/>
  </r>
  <r>
    <s v="O01028"/>
    <d v="2024-01-01T00:00:00"/>
    <x v="527"/>
    <x v="1"/>
    <x v="0"/>
    <s v="Paper"/>
    <s v="Product_464"/>
    <n v="2980.29"/>
    <n v="-663.49"/>
    <n v="0.03"/>
    <x v="0"/>
    <n v="-0.2226259860617591"/>
    <x v="1"/>
    <n v="2024"/>
  </r>
  <r>
    <s v="O01029"/>
    <d v="2023-09-28T00:00:00"/>
    <x v="579"/>
    <x v="1"/>
    <x v="0"/>
    <s v="Binders"/>
    <s v="Product_125"/>
    <n v="3223.08"/>
    <n v="-88.3"/>
    <n v="0.08"/>
    <x v="0"/>
    <n v="-2.7396155230400735E-2"/>
    <x v="7"/>
    <n v="2023"/>
  </r>
  <r>
    <s v="O01030"/>
    <d v="2023-10-30T00:00:00"/>
    <x v="239"/>
    <x v="3"/>
    <x v="2"/>
    <s v="Chairs"/>
    <s v="Product_160"/>
    <n v="396.41"/>
    <n v="-11.29"/>
    <n v="0.09"/>
    <x v="0"/>
    <n v="-2.8480613506218305E-2"/>
    <x v="5"/>
    <n v="2023"/>
  </r>
  <r>
    <s v="O01031"/>
    <d v="2022-12-18T00:00:00"/>
    <x v="173"/>
    <x v="3"/>
    <x v="0"/>
    <s v="Storage"/>
    <s v="Product_497"/>
    <n v="3899.93"/>
    <n v="-213.7"/>
    <n v="0.04"/>
    <x v="0"/>
    <n v="-5.4795855310223518E-2"/>
    <x v="4"/>
    <n v="2022"/>
  </r>
  <r>
    <s v="O01032"/>
    <d v="2023-06-04T00:00:00"/>
    <x v="520"/>
    <x v="0"/>
    <x v="2"/>
    <s v="Bookcases"/>
    <s v="Product_217"/>
    <n v="2973.56"/>
    <n v="-1087.1600000000001"/>
    <n v="0.2"/>
    <x v="0"/>
    <n v="-0.36560889976997274"/>
    <x v="8"/>
    <n v="2023"/>
  </r>
  <r>
    <s v="O01033"/>
    <d v="2022-03-12T00:00:00"/>
    <x v="163"/>
    <x v="1"/>
    <x v="1"/>
    <s v="Phones"/>
    <s v="Product_342"/>
    <n v="4884.8999999999996"/>
    <n v="-1315.23"/>
    <n v="0.19"/>
    <x v="0"/>
    <n v="-0.26924399680648531"/>
    <x v="6"/>
    <n v="2022"/>
  </r>
  <r>
    <s v="O01034"/>
    <d v="2023-08-16T00:00:00"/>
    <x v="489"/>
    <x v="3"/>
    <x v="1"/>
    <s v="Copiers"/>
    <s v="Product_316"/>
    <n v="3490.02"/>
    <n v="263.32"/>
    <n v="0.14000000000000001"/>
    <x v="1"/>
    <n v="7.5449424358599665E-2"/>
    <x v="3"/>
    <n v="2023"/>
  </r>
  <r>
    <s v="O01035"/>
    <d v="2022-02-13T00:00:00"/>
    <x v="96"/>
    <x v="1"/>
    <x v="1"/>
    <s v="Accessories"/>
    <s v="Product_472"/>
    <n v="1710.23"/>
    <n v="505.65"/>
    <n v="0.03"/>
    <x v="1"/>
    <n v="0.29566198698420676"/>
    <x v="10"/>
    <n v="2022"/>
  </r>
  <r>
    <s v="O01036"/>
    <d v="2022-09-02T00:00:00"/>
    <x v="580"/>
    <x v="3"/>
    <x v="2"/>
    <s v="Bookcases"/>
    <s v="Product_414"/>
    <n v="1192.82"/>
    <n v="124.47"/>
    <n v="7.0000000000000007E-2"/>
    <x v="1"/>
    <n v="0.10434935698596604"/>
    <x v="7"/>
    <n v="2022"/>
  </r>
  <r>
    <s v="O01037"/>
    <d v="2023-01-07T00:00:00"/>
    <x v="404"/>
    <x v="0"/>
    <x v="0"/>
    <s v="Paper"/>
    <s v="Product_184"/>
    <n v="1106.05"/>
    <n v="369.34"/>
    <n v="0.06"/>
    <x v="1"/>
    <n v="0.33392703765652548"/>
    <x v="1"/>
    <n v="2023"/>
  </r>
  <r>
    <s v="O01038"/>
    <d v="2023-08-23T00:00:00"/>
    <x v="379"/>
    <x v="3"/>
    <x v="2"/>
    <s v="Bookcases"/>
    <s v="Product_23"/>
    <n v="664.43"/>
    <n v="-115.18"/>
    <n v="0.09"/>
    <x v="0"/>
    <n v="-0.17335159459988264"/>
    <x v="3"/>
    <n v="2023"/>
  </r>
  <r>
    <s v="O01039"/>
    <d v="2022-06-28T00:00:00"/>
    <x v="141"/>
    <x v="1"/>
    <x v="2"/>
    <s v="Chairs"/>
    <s v="Product_92"/>
    <n v="1069.3399999999999"/>
    <n v="300.73"/>
    <n v="0.05"/>
    <x v="1"/>
    <n v="0.28122954345671164"/>
    <x v="8"/>
    <n v="2022"/>
  </r>
  <r>
    <s v="O01040"/>
    <d v="2023-11-25T00:00:00"/>
    <x v="354"/>
    <x v="2"/>
    <x v="2"/>
    <s v="Chairs"/>
    <s v="Product_336"/>
    <n v="962.78"/>
    <n v="-211.12"/>
    <n v="0.08"/>
    <x v="0"/>
    <n v="-0.21928166351606806"/>
    <x v="9"/>
    <n v="2023"/>
  </r>
  <r>
    <s v="O01041"/>
    <d v="2023-01-17T00:00:00"/>
    <x v="234"/>
    <x v="1"/>
    <x v="2"/>
    <s v="Tables"/>
    <s v="Product_482"/>
    <n v="4686.96"/>
    <n v="-683.87"/>
    <n v="0.09"/>
    <x v="0"/>
    <n v="-0.14590907539215184"/>
    <x v="1"/>
    <n v="2023"/>
  </r>
  <r>
    <s v="O01042"/>
    <d v="2022-05-28T00:00:00"/>
    <x v="310"/>
    <x v="1"/>
    <x v="0"/>
    <s v="Storage"/>
    <s v="Product_99"/>
    <n v="4420.1499999999996"/>
    <n v="-1859.88"/>
    <n v="0.26"/>
    <x v="0"/>
    <n v="-0.4207730506883251"/>
    <x v="11"/>
    <n v="2022"/>
  </r>
  <r>
    <s v="O01043"/>
    <d v="2023-10-14T00:00:00"/>
    <x v="581"/>
    <x v="0"/>
    <x v="0"/>
    <s v="Paper"/>
    <s v="Product_391"/>
    <n v="3502.33"/>
    <n v="-148.06"/>
    <n v="0.1"/>
    <x v="0"/>
    <n v="-4.2274714261648673E-2"/>
    <x v="5"/>
    <n v="2023"/>
  </r>
  <r>
    <s v="O01044"/>
    <d v="2022-12-02T00:00:00"/>
    <x v="233"/>
    <x v="0"/>
    <x v="0"/>
    <s v="Storage"/>
    <s v="Product_323"/>
    <n v="1026.5999999999999"/>
    <n v="116.78"/>
    <n v="0.16"/>
    <x v="1"/>
    <n v="0.11375413987921294"/>
    <x v="4"/>
    <n v="2022"/>
  </r>
  <r>
    <s v="O01045"/>
    <d v="2022-08-03T00:00:00"/>
    <x v="486"/>
    <x v="0"/>
    <x v="1"/>
    <s v="Phones"/>
    <s v="Product_402"/>
    <n v="4272.3599999999997"/>
    <n v="177.31"/>
    <n v="0.28999999999999998"/>
    <x v="1"/>
    <n v="4.1501652482468711E-2"/>
    <x v="3"/>
    <n v="2022"/>
  </r>
  <r>
    <s v="O01046"/>
    <d v="2023-10-23T00:00:00"/>
    <x v="582"/>
    <x v="3"/>
    <x v="1"/>
    <s v="Copiers"/>
    <s v="Product_256"/>
    <n v="3112.94"/>
    <n v="-53.33"/>
    <n v="0.05"/>
    <x v="0"/>
    <n v="-1.7131714713422036E-2"/>
    <x v="5"/>
    <n v="2023"/>
  </r>
  <r>
    <s v="O01047"/>
    <d v="2023-05-10T00:00:00"/>
    <x v="529"/>
    <x v="2"/>
    <x v="0"/>
    <s v="Paper"/>
    <s v="Product_243"/>
    <n v="977.09"/>
    <n v="-92.54"/>
    <n v="0.21"/>
    <x v="0"/>
    <n v="-9.4709801553592821E-2"/>
    <x v="11"/>
    <n v="2023"/>
  </r>
  <r>
    <s v="O01048"/>
    <d v="2022-02-07T00:00:00"/>
    <x v="254"/>
    <x v="1"/>
    <x v="1"/>
    <s v="Copiers"/>
    <s v="Product_459"/>
    <n v="2064.64"/>
    <n v="-267.60000000000002"/>
    <n v="0.28000000000000003"/>
    <x v="0"/>
    <n v="-0.12961097334159952"/>
    <x v="10"/>
    <n v="2022"/>
  </r>
  <r>
    <s v="O01049"/>
    <d v="2023-01-22T00:00:00"/>
    <x v="304"/>
    <x v="1"/>
    <x v="2"/>
    <s v="Tables"/>
    <s v="Product_479"/>
    <n v="4329.5200000000004"/>
    <n v="-590.54999999999995"/>
    <n v="0.12"/>
    <x v="0"/>
    <n v="-0.1364008019364733"/>
    <x v="1"/>
    <n v="2023"/>
  </r>
  <r>
    <s v="O01050"/>
    <d v="2023-04-01T00:00:00"/>
    <x v="458"/>
    <x v="3"/>
    <x v="1"/>
    <s v="Accessories"/>
    <s v="Product_118"/>
    <n v="2797.7"/>
    <n v="-530.4"/>
    <n v="0.04"/>
    <x v="0"/>
    <n v="-0.18958430139042787"/>
    <x v="0"/>
    <n v="2023"/>
  </r>
  <r>
    <s v="O01051"/>
    <d v="2023-04-24T00:00:00"/>
    <x v="92"/>
    <x v="2"/>
    <x v="0"/>
    <s v="Binders"/>
    <s v="Product_189"/>
    <n v="2379.7399999999998"/>
    <n v="-319.69"/>
    <n v="0.19"/>
    <x v="0"/>
    <n v="-0.13433820501399313"/>
    <x v="0"/>
    <n v="2023"/>
  </r>
  <r>
    <s v="O01052"/>
    <d v="2022-09-29T00:00:00"/>
    <x v="583"/>
    <x v="0"/>
    <x v="1"/>
    <s v="Accessories"/>
    <s v="Product_184"/>
    <n v="1437.8"/>
    <n v="79.099999999999994"/>
    <n v="0.01"/>
    <x v="1"/>
    <n v="5.5014605647517041E-2"/>
    <x v="7"/>
    <n v="2022"/>
  </r>
  <r>
    <s v="O01053"/>
    <d v="2022-10-11T00:00:00"/>
    <x v="47"/>
    <x v="0"/>
    <x v="2"/>
    <s v="Tables"/>
    <s v="Product_61"/>
    <n v="4228.76"/>
    <n v="153.05000000000001"/>
    <n v="0.15"/>
    <x v="1"/>
    <n v="3.6192642760525542E-2"/>
    <x v="5"/>
    <n v="2022"/>
  </r>
  <r>
    <s v="O01054"/>
    <d v="2022-12-04T00:00:00"/>
    <x v="119"/>
    <x v="3"/>
    <x v="2"/>
    <s v="Tables"/>
    <s v="Product_382"/>
    <n v="287.58"/>
    <n v="-40.840000000000003"/>
    <n v="0.06"/>
    <x v="0"/>
    <n v="-0.14201265734752072"/>
    <x v="4"/>
    <n v="2022"/>
  </r>
  <r>
    <s v="O01055"/>
    <d v="2023-07-11T00:00:00"/>
    <x v="584"/>
    <x v="0"/>
    <x v="0"/>
    <s v="Paper"/>
    <s v="Product_395"/>
    <n v="1034.1500000000001"/>
    <n v="-307.43"/>
    <n v="0.18"/>
    <x v="0"/>
    <n v="-0.29727795774307403"/>
    <x v="2"/>
    <n v="2023"/>
  </r>
  <r>
    <s v="O01056"/>
    <d v="2023-02-20T00:00:00"/>
    <x v="585"/>
    <x v="0"/>
    <x v="1"/>
    <s v="Accessories"/>
    <s v="Product_242"/>
    <n v="4129.3100000000004"/>
    <n v="-775.13"/>
    <n v="0.23"/>
    <x v="0"/>
    <n v="-0.18771417016402253"/>
    <x v="10"/>
    <n v="2023"/>
  </r>
  <r>
    <s v="O01057"/>
    <d v="2022-08-22T00:00:00"/>
    <x v="453"/>
    <x v="1"/>
    <x v="0"/>
    <s v="Storage"/>
    <s v="Product_243"/>
    <n v="4947.45"/>
    <n v="144.86000000000001"/>
    <n v="0.28999999999999998"/>
    <x v="1"/>
    <n v="2.9279729961899568E-2"/>
    <x v="3"/>
    <n v="2022"/>
  </r>
  <r>
    <s v="O01058"/>
    <d v="2023-04-18T00:00:00"/>
    <x v="586"/>
    <x v="0"/>
    <x v="2"/>
    <s v="Bookcases"/>
    <s v="Product_161"/>
    <n v="2976.32"/>
    <n v="-264.17"/>
    <n v="0.17"/>
    <x v="0"/>
    <n v="-8.8757257284162991E-2"/>
    <x v="0"/>
    <n v="2023"/>
  </r>
  <r>
    <s v="O01059"/>
    <d v="2023-04-06T00:00:00"/>
    <x v="273"/>
    <x v="0"/>
    <x v="2"/>
    <s v="Tables"/>
    <s v="Product_192"/>
    <n v="3873.64"/>
    <n v="-1101.08"/>
    <n v="0.21"/>
    <x v="0"/>
    <n v="-0.28424943980338907"/>
    <x v="0"/>
    <n v="2023"/>
  </r>
  <r>
    <s v="O01060"/>
    <d v="2023-05-27T00:00:00"/>
    <x v="54"/>
    <x v="3"/>
    <x v="2"/>
    <s v="Bookcases"/>
    <s v="Product_174"/>
    <n v="4381.38"/>
    <n v="668.96"/>
    <n v="0.09"/>
    <x v="1"/>
    <n v="0.15268248816582902"/>
    <x v="11"/>
    <n v="2023"/>
  </r>
  <r>
    <s v="O01061"/>
    <d v="2023-12-09T00:00:00"/>
    <x v="35"/>
    <x v="3"/>
    <x v="2"/>
    <s v="Tables"/>
    <s v="Product_167"/>
    <n v="2186.02"/>
    <n v="60.56"/>
    <n v="0.23"/>
    <x v="1"/>
    <n v="2.770331469977402E-2"/>
    <x v="4"/>
    <n v="2023"/>
  </r>
  <r>
    <s v="O01062"/>
    <d v="2022-12-05T00:00:00"/>
    <x v="532"/>
    <x v="2"/>
    <x v="0"/>
    <s v="Binders"/>
    <s v="Product_196"/>
    <n v="2881.13"/>
    <n v="-364.52"/>
    <n v="0.01"/>
    <x v="0"/>
    <n v="-0.12651980299396418"/>
    <x v="4"/>
    <n v="2022"/>
  </r>
  <r>
    <s v="O01063"/>
    <d v="2022-12-03T00:00:00"/>
    <x v="32"/>
    <x v="2"/>
    <x v="2"/>
    <s v="Tables"/>
    <s v="Product_328"/>
    <n v="412.18"/>
    <n v="-14.48"/>
    <n v="0.12"/>
    <x v="0"/>
    <n v="-3.5130282886117713E-2"/>
    <x v="4"/>
    <n v="2022"/>
  </r>
  <r>
    <s v="O01064"/>
    <d v="2023-12-07T00:00:00"/>
    <x v="160"/>
    <x v="2"/>
    <x v="1"/>
    <s v="Phones"/>
    <s v="Product_14"/>
    <n v="939.98"/>
    <n v="-275.81"/>
    <n v="0.2"/>
    <x v="0"/>
    <n v="-0.29342113661992808"/>
    <x v="4"/>
    <n v="2023"/>
  </r>
  <r>
    <s v="O01065"/>
    <d v="2022-08-27T00:00:00"/>
    <x v="173"/>
    <x v="0"/>
    <x v="2"/>
    <s v="Chairs"/>
    <s v="Product_233"/>
    <n v="440.51"/>
    <n v="-140.84"/>
    <n v="0.28999999999999998"/>
    <x v="0"/>
    <n v="-0.31972032416971241"/>
    <x v="3"/>
    <n v="2022"/>
  </r>
  <r>
    <s v="O01066"/>
    <d v="2023-02-25T00:00:00"/>
    <x v="587"/>
    <x v="1"/>
    <x v="2"/>
    <s v="Tables"/>
    <s v="Product_57"/>
    <n v="2640.81"/>
    <n v="701.99"/>
    <n v="0.05"/>
    <x v="1"/>
    <n v="0.26582374347264665"/>
    <x v="10"/>
    <n v="2023"/>
  </r>
  <r>
    <s v="O01067"/>
    <d v="2022-07-31T00:00:00"/>
    <x v="310"/>
    <x v="1"/>
    <x v="2"/>
    <s v="Bookcases"/>
    <s v="Product_159"/>
    <n v="2150.2199999999998"/>
    <n v="-401.24"/>
    <n v="0.22"/>
    <x v="0"/>
    <n v="-0.18660416143464392"/>
    <x v="2"/>
    <n v="2022"/>
  </r>
  <r>
    <s v="O01068"/>
    <d v="2022-11-14T00:00:00"/>
    <x v="93"/>
    <x v="1"/>
    <x v="1"/>
    <s v="Copiers"/>
    <s v="Product_258"/>
    <n v="3357.48"/>
    <n v="319.14"/>
    <n v="0.05"/>
    <x v="1"/>
    <n v="9.5053432931841736E-2"/>
    <x v="9"/>
    <n v="2022"/>
  </r>
  <r>
    <s v="O01069"/>
    <d v="2023-04-02T00:00:00"/>
    <x v="588"/>
    <x v="2"/>
    <x v="0"/>
    <s v="Storage"/>
    <s v="Product_310"/>
    <n v="2348.89"/>
    <n v="786.06"/>
    <n v="0.06"/>
    <x v="1"/>
    <n v="0.33465168654130251"/>
    <x v="0"/>
    <n v="2023"/>
  </r>
  <r>
    <s v="O01070"/>
    <d v="2023-04-19T00:00:00"/>
    <x v="400"/>
    <x v="0"/>
    <x v="2"/>
    <s v="Bookcases"/>
    <s v="Product_378"/>
    <n v="1711.57"/>
    <n v="-129.09"/>
    <n v="0.17"/>
    <x v="0"/>
    <n v="-7.5421980988215509E-2"/>
    <x v="0"/>
    <n v="2023"/>
  </r>
  <r>
    <s v="O01071"/>
    <d v="2023-12-30T00:00:00"/>
    <x v="589"/>
    <x v="2"/>
    <x v="2"/>
    <s v="Tables"/>
    <s v="Product_314"/>
    <n v="3266.87"/>
    <n v="-888.36"/>
    <n v="0.28000000000000003"/>
    <x v="0"/>
    <n v="-0.27193001251962889"/>
    <x v="4"/>
    <n v="2023"/>
  </r>
  <r>
    <s v="O01072"/>
    <d v="2023-04-14T00:00:00"/>
    <x v="364"/>
    <x v="1"/>
    <x v="2"/>
    <s v="Tables"/>
    <s v="Product_358"/>
    <n v="1320.76"/>
    <n v="-39.69"/>
    <n v="0.27"/>
    <x v="0"/>
    <n v="-3.0050879796480811E-2"/>
    <x v="0"/>
    <n v="2023"/>
  </r>
  <r>
    <s v="O01073"/>
    <d v="2022-06-11T00:00:00"/>
    <x v="574"/>
    <x v="3"/>
    <x v="0"/>
    <s v="Binders"/>
    <s v="Product_342"/>
    <n v="2028.4"/>
    <n v="-681.91"/>
    <n v="0.28000000000000003"/>
    <x v="0"/>
    <n v="-0.33618122658252808"/>
    <x v="8"/>
    <n v="2022"/>
  </r>
  <r>
    <s v="O01074"/>
    <d v="2023-02-26T00:00:00"/>
    <x v="446"/>
    <x v="0"/>
    <x v="2"/>
    <s v="Bookcases"/>
    <s v="Product_189"/>
    <n v="3660.03"/>
    <n v="275.39"/>
    <n v="0.27"/>
    <x v="1"/>
    <n v="7.5242552656672207E-2"/>
    <x v="10"/>
    <n v="2023"/>
  </r>
  <r>
    <s v="O01075"/>
    <d v="2022-06-18T00:00:00"/>
    <x v="68"/>
    <x v="1"/>
    <x v="2"/>
    <s v="Chairs"/>
    <s v="Product_260"/>
    <n v="2571.5300000000002"/>
    <n v="-473.01"/>
    <n v="0.23"/>
    <x v="0"/>
    <n v="-0.18394107787970584"/>
    <x v="8"/>
    <n v="2022"/>
  </r>
  <r>
    <s v="O01076"/>
    <d v="2023-04-18T00:00:00"/>
    <x v="423"/>
    <x v="3"/>
    <x v="2"/>
    <s v="Tables"/>
    <s v="Product_382"/>
    <n v="230.92"/>
    <n v="3.55"/>
    <n v="0.19"/>
    <x v="1"/>
    <n v="1.5373289450892084E-2"/>
    <x v="0"/>
    <n v="2023"/>
  </r>
  <r>
    <s v="O01077"/>
    <d v="2022-05-20T00:00:00"/>
    <x v="590"/>
    <x v="2"/>
    <x v="1"/>
    <s v="Phones"/>
    <s v="Product_249"/>
    <n v="2043.7"/>
    <n v="-268.11"/>
    <n v="0"/>
    <x v="0"/>
    <n v="-0.13118853060625338"/>
    <x v="11"/>
    <n v="2022"/>
  </r>
  <r>
    <s v="O01078"/>
    <d v="2023-03-25T00:00:00"/>
    <x v="235"/>
    <x v="2"/>
    <x v="1"/>
    <s v="Phones"/>
    <s v="Product_421"/>
    <n v="504.49"/>
    <n v="14.2"/>
    <n v="0.2"/>
    <x v="1"/>
    <n v="2.8147237804515449E-2"/>
    <x v="6"/>
    <n v="2023"/>
  </r>
  <r>
    <s v="O01079"/>
    <d v="2022-10-29T00:00:00"/>
    <x v="4"/>
    <x v="2"/>
    <x v="1"/>
    <s v="Phones"/>
    <s v="Product_87"/>
    <n v="935.89"/>
    <n v="-140.09"/>
    <n v="0.01"/>
    <x v="0"/>
    <n v="-0.14968639476861598"/>
    <x v="5"/>
    <n v="2022"/>
  </r>
  <r>
    <s v="O01080"/>
    <d v="2023-01-02T00:00:00"/>
    <x v="492"/>
    <x v="1"/>
    <x v="2"/>
    <s v="Bookcases"/>
    <s v="Product_366"/>
    <n v="3841.59"/>
    <n v="-1182.83"/>
    <n v="0.2"/>
    <x v="0"/>
    <n v="-0.30790115551112945"/>
    <x v="1"/>
    <n v="2023"/>
  </r>
  <r>
    <s v="O01081"/>
    <d v="2023-10-13T00:00:00"/>
    <x v="158"/>
    <x v="0"/>
    <x v="2"/>
    <s v="Bookcases"/>
    <s v="Product_200"/>
    <n v="2708.26"/>
    <n v="-816.12"/>
    <n v="0.13"/>
    <x v="0"/>
    <n v="-0.30134477487390426"/>
    <x v="5"/>
    <n v="2023"/>
  </r>
  <r>
    <s v="O01082"/>
    <d v="2023-01-22T00:00:00"/>
    <x v="591"/>
    <x v="1"/>
    <x v="0"/>
    <s v="Paper"/>
    <s v="Product_476"/>
    <n v="2275.5300000000002"/>
    <n v="-798.26"/>
    <n v="0.18"/>
    <x v="0"/>
    <n v="-0.35080179123105382"/>
    <x v="1"/>
    <n v="2023"/>
  </r>
  <r>
    <s v="O01083"/>
    <d v="2022-01-29T00:00:00"/>
    <x v="544"/>
    <x v="3"/>
    <x v="2"/>
    <s v="Tables"/>
    <s v="Product_421"/>
    <n v="4552.91"/>
    <n v="-1139.94"/>
    <n v="0.06"/>
    <x v="0"/>
    <n v="-0.25037613306654427"/>
    <x v="1"/>
    <n v="2022"/>
  </r>
  <r>
    <s v="O01084"/>
    <d v="2023-11-12T00:00:00"/>
    <x v="395"/>
    <x v="1"/>
    <x v="2"/>
    <s v="Bookcases"/>
    <s v="Product_23"/>
    <n v="3377.85"/>
    <n v="876.12"/>
    <n v="7.0000000000000007E-2"/>
    <x v="1"/>
    <n v="0.25937208579421822"/>
    <x v="9"/>
    <n v="2023"/>
  </r>
  <r>
    <s v="O01085"/>
    <d v="2022-07-14T00:00:00"/>
    <x v="592"/>
    <x v="1"/>
    <x v="1"/>
    <s v="Copiers"/>
    <s v="Product_479"/>
    <n v="627.65"/>
    <n v="23.37"/>
    <n v="0.1"/>
    <x v="1"/>
    <n v="3.7234127300246958E-2"/>
    <x v="2"/>
    <n v="2022"/>
  </r>
  <r>
    <s v="O01086"/>
    <d v="2023-01-01T00:00:00"/>
    <x v="433"/>
    <x v="1"/>
    <x v="0"/>
    <s v="Paper"/>
    <s v="Product_8"/>
    <n v="4700.72"/>
    <n v="-525.22"/>
    <n v="0.04"/>
    <x v="0"/>
    <n v="-0.11173181980632754"/>
    <x v="1"/>
    <n v="2023"/>
  </r>
  <r>
    <s v="O01087"/>
    <d v="2022-03-09T00:00:00"/>
    <x v="546"/>
    <x v="3"/>
    <x v="1"/>
    <s v="Copiers"/>
    <s v="Product_333"/>
    <n v="1649.58"/>
    <n v="-73.790000000000006"/>
    <n v="0.12"/>
    <x v="0"/>
    <n v="-4.4732598600855981E-2"/>
    <x v="6"/>
    <n v="2022"/>
  </r>
  <r>
    <s v="O01088"/>
    <d v="2023-09-06T00:00:00"/>
    <x v="302"/>
    <x v="0"/>
    <x v="0"/>
    <s v="Paper"/>
    <s v="Product_365"/>
    <n v="315.3"/>
    <n v="-70.42"/>
    <n v="0.27"/>
    <x v="0"/>
    <n v="-0.22334284808119251"/>
    <x v="7"/>
    <n v="2023"/>
  </r>
  <r>
    <s v="O01089"/>
    <d v="2023-10-09T00:00:00"/>
    <x v="29"/>
    <x v="2"/>
    <x v="0"/>
    <s v="Storage"/>
    <s v="Product_348"/>
    <n v="940.15"/>
    <n v="-122.29"/>
    <n v="0.28999999999999998"/>
    <x v="0"/>
    <n v="-0.13007498803382439"/>
    <x v="5"/>
    <n v="2023"/>
  </r>
  <r>
    <s v="O01090"/>
    <d v="2022-11-22T00:00:00"/>
    <x v="249"/>
    <x v="2"/>
    <x v="0"/>
    <s v="Binders"/>
    <s v="Product_35"/>
    <n v="1727.03"/>
    <n v="242.44"/>
    <n v="0.19"/>
    <x v="1"/>
    <n v="0.14037972704585328"/>
    <x v="9"/>
    <n v="2022"/>
  </r>
  <r>
    <s v="O01091"/>
    <d v="2023-10-18T00:00:00"/>
    <x v="593"/>
    <x v="1"/>
    <x v="1"/>
    <s v="Phones"/>
    <s v="Product_258"/>
    <n v="3081.81"/>
    <n v="-464.05"/>
    <n v="0.18"/>
    <x v="0"/>
    <n v="-0.15057709592739332"/>
    <x v="5"/>
    <n v="2023"/>
  </r>
  <r>
    <s v="O01092"/>
    <d v="2022-05-08T00:00:00"/>
    <x v="415"/>
    <x v="1"/>
    <x v="0"/>
    <s v="Storage"/>
    <s v="Product_378"/>
    <n v="4943.07"/>
    <n v="493.36"/>
    <n v="7.0000000000000007E-2"/>
    <x v="1"/>
    <n v="9.9808418654803596E-2"/>
    <x v="11"/>
    <n v="2022"/>
  </r>
  <r>
    <s v="O01093"/>
    <d v="2022-10-31T00:00:00"/>
    <x v="460"/>
    <x v="1"/>
    <x v="1"/>
    <s v="Phones"/>
    <s v="Product_193"/>
    <n v="3136.85"/>
    <n v="14.79"/>
    <n v="0.02"/>
    <x v="1"/>
    <n v="4.7149210194940786E-3"/>
    <x v="5"/>
    <n v="2022"/>
  </r>
  <r>
    <s v="O01094"/>
    <d v="2023-03-31T00:00:00"/>
    <x v="557"/>
    <x v="3"/>
    <x v="2"/>
    <s v="Bookcases"/>
    <s v="Product_69"/>
    <n v="285.74"/>
    <n v="-34.619999999999997"/>
    <n v="0.28000000000000003"/>
    <x v="0"/>
    <n v="-0.12115909568138866"/>
    <x v="6"/>
    <n v="2023"/>
  </r>
  <r>
    <s v="O01095"/>
    <d v="2023-03-01T00:00:00"/>
    <x v="125"/>
    <x v="3"/>
    <x v="1"/>
    <s v="Accessories"/>
    <s v="Product_385"/>
    <n v="3253.65"/>
    <n v="-382.23"/>
    <n v="0.23"/>
    <x v="0"/>
    <n v="-0.11747729473053341"/>
    <x v="6"/>
    <n v="2023"/>
  </r>
  <r>
    <s v="O01096"/>
    <d v="2023-07-07T00:00:00"/>
    <x v="325"/>
    <x v="1"/>
    <x v="2"/>
    <s v="Chairs"/>
    <s v="Product_411"/>
    <n v="4249.9799999999996"/>
    <n v="-657.26"/>
    <n v="0.1"/>
    <x v="0"/>
    <n v="-0.1546501395300684"/>
    <x v="2"/>
    <n v="2023"/>
  </r>
  <r>
    <s v="O01097"/>
    <d v="2022-11-26T00:00:00"/>
    <x v="517"/>
    <x v="2"/>
    <x v="0"/>
    <s v="Storage"/>
    <s v="Product_323"/>
    <n v="3625.56"/>
    <n v="-547.85"/>
    <n v="0.18"/>
    <x v="0"/>
    <n v="-0.15110769094981191"/>
    <x v="9"/>
    <n v="2022"/>
  </r>
  <r>
    <s v="O01098"/>
    <d v="2023-10-12T00:00:00"/>
    <x v="594"/>
    <x v="1"/>
    <x v="2"/>
    <s v="Chairs"/>
    <s v="Product_65"/>
    <n v="4362.3500000000004"/>
    <n v="-455.96"/>
    <n v="0.02"/>
    <x v="0"/>
    <n v="-0.10452164544339632"/>
    <x v="5"/>
    <n v="2023"/>
  </r>
  <r>
    <s v="O01099"/>
    <d v="2022-08-30T00:00:00"/>
    <x v="508"/>
    <x v="0"/>
    <x v="2"/>
    <s v="Chairs"/>
    <s v="Product_219"/>
    <n v="3003.89"/>
    <n v="327.69"/>
    <n v="0.25"/>
    <x v="1"/>
    <n v="0.109088548515425"/>
    <x v="3"/>
    <n v="2022"/>
  </r>
  <r>
    <s v="O01100"/>
    <d v="2022-06-30T00:00:00"/>
    <x v="118"/>
    <x v="1"/>
    <x v="0"/>
    <s v="Paper"/>
    <s v="Product_156"/>
    <n v="1626.17"/>
    <n v="-444.02"/>
    <n v="0.22"/>
    <x v="0"/>
    <n v="-0.27304648345498933"/>
    <x v="8"/>
    <n v="2022"/>
  </r>
  <r>
    <s v="O01101"/>
    <d v="2023-05-08T00:00:00"/>
    <x v="413"/>
    <x v="3"/>
    <x v="1"/>
    <s v="Copiers"/>
    <s v="Product_204"/>
    <n v="2296.5300000000002"/>
    <n v="-521.04"/>
    <n v="0.19"/>
    <x v="0"/>
    <n v="-0.22688142545492543"/>
    <x v="11"/>
    <n v="2023"/>
  </r>
  <r>
    <s v="O01102"/>
    <d v="2023-03-20T00:00:00"/>
    <x v="18"/>
    <x v="1"/>
    <x v="1"/>
    <s v="Phones"/>
    <s v="Product_420"/>
    <n v="2406.5"/>
    <n v="85.76"/>
    <n v="0.13"/>
    <x v="1"/>
    <n v="3.5636816954082697E-2"/>
    <x v="6"/>
    <n v="2023"/>
  </r>
  <r>
    <s v="O01103"/>
    <d v="2022-11-04T00:00:00"/>
    <x v="59"/>
    <x v="1"/>
    <x v="1"/>
    <s v="Phones"/>
    <s v="Product_284"/>
    <n v="3833.45"/>
    <n v="-1073.5999999999999"/>
    <n v="0.13"/>
    <x v="0"/>
    <n v="-0.28006104162047241"/>
    <x v="9"/>
    <n v="2022"/>
  </r>
  <r>
    <s v="O01104"/>
    <d v="2023-01-20T00:00:00"/>
    <x v="240"/>
    <x v="2"/>
    <x v="0"/>
    <s v="Binders"/>
    <s v="Product_37"/>
    <n v="1360.73"/>
    <n v="-92.31"/>
    <n v="0.14000000000000001"/>
    <x v="0"/>
    <n v="-6.7838586640994167E-2"/>
    <x v="1"/>
    <n v="2023"/>
  </r>
  <r>
    <s v="O01105"/>
    <d v="2022-01-05T00:00:00"/>
    <x v="595"/>
    <x v="3"/>
    <x v="1"/>
    <s v="Phones"/>
    <s v="Product_252"/>
    <n v="3602.83"/>
    <n v="1043.6600000000001"/>
    <n v="0.06"/>
    <x v="1"/>
    <n v="0.28967783658956991"/>
    <x v="1"/>
    <n v="2022"/>
  </r>
  <r>
    <s v="O01106"/>
    <d v="2023-05-17T00:00:00"/>
    <x v="146"/>
    <x v="0"/>
    <x v="1"/>
    <s v="Accessories"/>
    <s v="Product_210"/>
    <n v="4707.3999999999996"/>
    <n v="-1252.7"/>
    <n v="0.28999999999999998"/>
    <x v="0"/>
    <n v="-0.26611292858053281"/>
    <x v="11"/>
    <n v="2023"/>
  </r>
  <r>
    <s v="O01107"/>
    <d v="2023-03-23T00:00:00"/>
    <x v="596"/>
    <x v="3"/>
    <x v="2"/>
    <s v="Chairs"/>
    <s v="Product_261"/>
    <n v="1985.65"/>
    <n v="-503.29"/>
    <n v="0.17"/>
    <x v="0"/>
    <n v="-0.25346360133961171"/>
    <x v="6"/>
    <n v="2023"/>
  </r>
  <r>
    <s v="O01108"/>
    <d v="2023-01-30T00:00:00"/>
    <x v="526"/>
    <x v="1"/>
    <x v="0"/>
    <s v="Paper"/>
    <s v="Product_125"/>
    <n v="3211.4"/>
    <n v="-884.35"/>
    <n v="0.11"/>
    <x v="0"/>
    <n v="-0.27537833966494363"/>
    <x v="1"/>
    <n v="2023"/>
  </r>
  <r>
    <s v="O01109"/>
    <d v="2022-01-29T00:00:00"/>
    <x v="445"/>
    <x v="1"/>
    <x v="1"/>
    <s v="Phones"/>
    <s v="Product_134"/>
    <n v="4615.2"/>
    <n v="525.83000000000004"/>
    <n v="0.11"/>
    <x v="1"/>
    <n v="0.11393439070896171"/>
    <x v="1"/>
    <n v="2022"/>
  </r>
  <r>
    <s v="O01110"/>
    <d v="2023-08-16T00:00:00"/>
    <x v="597"/>
    <x v="1"/>
    <x v="0"/>
    <s v="Paper"/>
    <s v="Product_7"/>
    <n v="4726.8999999999996"/>
    <n v="-432.75"/>
    <n v="0.04"/>
    <x v="0"/>
    <n v="-9.1550487634601968E-2"/>
    <x v="3"/>
    <n v="2023"/>
  </r>
  <r>
    <s v="O01111"/>
    <d v="2023-08-24T00:00:00"/>
    <x v="62"/>
    <x v="1"/>
    <x v="2"/>
    <s v="Chairs"/>
    <s v="Product_449"/>
    <n v="3257.55"/>
    <n v="-786.37"/>
    <n v="0.28000000000000003"/>
    <x v="0"/>
    <n v="-0.24139921106352932"/>
    <x v="3"/>
    <n v="2023"/>
  </r>
  <r>
    <s v="O01112"/>
    <d v="2023-06-30T00:00:00"/>
    <x v="54"/>
    <x v="2"/>
    <x v="1"/>
    <s v="Phones"/>
    <s v="Product_301"/>
    <n v="4165.7700000000004"/>
    <n v="-411.03"/>
    <n v="0.08"/>
    <x v="0"/>
    <n v="-9.8668433446877757E-2"/>
    <x v="8"/>
    <n v="2023"/>
  </r>
  <r>
    <s v="O01113"/>
    <d v="2022-04-02T00:00:00"/>
    <x v="271"/>
    <x v="3"/>
    <x v="1"/>
    <s v="Copiers"/>
    <s v="Product_417"/>
    <n v="2116.88"/>
    <n v="-49.55"/>
    <n v="0.26"/>
    <x v="0"/>
    <n v="-2.3407089679150447E-2"/>
    <x v="0"/>
    <n v="2022"/>
  </r>
  <r>
    <s v="O01114"/>
    <d v="2022-11-12T00:00:00"/>
    <x v="265"/>
    <x v="1"/>
    <x v="2"/>
    <s v="Tables"/>
    <s v="Product_418"/>
    <n v="3768.78"/>
    <n v="-909.1"/>
    <n v="0.28000000000000003"/>
    <x v="0"/>
    <n v="-0.24121864369902196"/>
    <x v="9"/>
    <n v="2022"/>
  </r>
  <r>
    <s v="O01115"/>
    <d v="2023-03-03T00:00:00"/>
    <x v="598"/>
    <x v="3"/>
    <x v="1"/>
    <s v="Phones"/>
    <s v="Product_376"/>
    <n v="574.66999999999996"/>
    <n v="-103.04"/>
    <n v="0.23"/>
    <x v="0"/>
    <n v="-0.17930290427549728"/>
    <x v="6"/>
    <n v="2023"/>
  </r>
  <r>
    <s v="O01116"/>
    <d v="2023-05-14T00:00:00"/>
    <x v="419"/>
    <x v="0"/>
    <x v="1"/>
    <s v="Phones"/>
    <s v="Product_231"/>
    <n v="964.37"/>
    <n v="-173.01"/>
    <n v="0.06"/>
    <x v="0"/>
    <n v="-0.17940209670562127"/>
    <x v="11"/>
    <n v="2023"/>
  </r>
  <r>
    <s v="O01117"/>
    <d v="2022-07-16T00:00:00"/>
    <x v="311"/>
    <x v="2"/>
    <x v="0"/>
    <s v="Binders"/>
    <s v="Product_226"/>
    <n v="1009.63"/>
    <n v="-111.43"/>
    <n v="0.02"/>
    <x v="0"/>
    <n v="-0.11036716420867052"/>
    <x v="2"/>
    <n v="2022"/>
  </r>
  <r>
    <s v="O01118"/>
    <d v="2022-03-29T00:00:00"/>
    <x v="242"/>
    <x v="0"/>
    <x v="0"/>
    <s v="Storage"/>
    <s v="Product_142"/>
    <n v="635.05999999999995"/>
    <n v="-217.26"/>
    <n v="0.19"/>
    <x v="0"/>
    <n v="-0.34210940698516679"/>
    <x v="6"/>
    <n v="2022"/>
  </r>
  <r>
    <s v="O01119"/>
    <d v="2022-04-14T00:00:00"/>
    <x v="281"/>
    <x v="0"/>
    <x v="2"/>
    <s v="Tables"/>
    <s v="Product_137"/>
    <n v="245.37"/>
    <n v="5.18"/>
    <n v="7.0000000000000007E-2"/>
    <x v="1"/>
    <n v="2.1110975261849449E-2"/>
    <x v="0"/>
    <n v="2022"/>
  </r>
  <r>
    <s v="O01120"/>
    <d v="2023-06-19T00:00:00"/>
    <x v="572"/>
    <x v="2"/>
    <x v="2"/>
    <s v="Bookcases"/>
    <s v="Product_309"/>
    <n v="2953.98"/>
    <n v="-1305.3499999999999"/>
    <n v="0.3"/>
    <x v="0"/>
    <n v="-0.44189534120068513"/>
    <x v="8"/>
    <n v="2023"/>
  </r>
  <r>
    <s v="O01121"/>
    <d v="2023-03-16T00:00:00"/>
    <x v="599"/>
    <x v="3"/>
    <x v="0"/>
    <s v="Paper"/>
    <s v="Product_350"/>
    <n v="4667.43"/>
    <n v="-643.09"/>
    <n v="0.14000000000000001"/>
    <x v="0"/>
    <n v="-0.13778246272573985"/>
    <x v="6"/>
    <n v="2023"/>
  </r>
  <r>
    <s v="O01122"/>
    <d v="2023-01-23T00:00:00"/>
    <x v="164"/>
    <x v="0"/>
    <x v="1"/>
    <s v="Accessories"/>
    <s v="Product_500"/>
    <n v="4102.55"/>
    <n v="-332.11"/>
    <n v="0.28000000000000003"/>
    <x v="0"/>
    <n v="-8.0952090772812027E-2"/>
    <x v="1"/>
    <n v="2023"/>
  </r>
  <r>
    <s v="O01123"/>
    <d v="2023-02-16T00:00:00"/>
    <x v="262"/>
    <x v="1"/>
    <x v="1"/>
    <s v="Accessories"/>
    <s v="Product_14"/>
    <n v="4050.72"/>
    <n v="1305.6500000000001"/>
    <n v="0"/>
    <x v="1"/>
    <n v="0.32232541375360435"/>
    <x v="10"/>
    <n v="2023"/>
  </r>
  <r>
    <s v="O01124"/>
    <d v="2022-09-12T00:00:00"/>
    <x v="206"/>
    <x v="2"/>
    <x v="0"/>
    <s v="Binders"/>
    <s v="Product_317"/>
    <n v="4358.13"/>
    <n v="608.22"/>
    <n v="0.08"/>
    <x v="1"/>
    <n v="0.13955985709467134"/>
    <x v="7"/>
    <n v="2022"/>
  </r>
  <r>
    <s v="O01125"/>
    <d v="2022-01-04T00:00:00"/>
    <x v="426"/>
    <x v="3"/>
    <x v="0"/>
    <s v="Storage"/>
    <s v="Product_9"/>
    <n v="4362.28"/>
    <n v="201.26"/>
    <n v="0.15"/>
    <x v="1"/>
    <n v="4.613642407181566E-2"/>
    <x v="1"/>
    <n v="2022"/>
  </r>
  <r>
    <s v="O01126"/>
    <d v="2023-11-26T00:00:00"/>
    <x v="111"/>
    <x v="1"/>
    <x v="0"/>
    <s v="Paper"/>
    <s v="Product_311"/>
    <n v="4379.83"/>
    <n v="-212.48"/>
    <n v="0.28999999999999998"/>
    <x v="0"/>
    <n v="-4.8513298461355804E-2"/>
    <x v="9"/>
    <n v="2023"/>
  </r>
  <r>
    <s v="O01127"/>
    <d v="2023-05-03T00:00:00"/>
    <x v="54"/>
    <x v="0"/>
    <x v="1"/>
    <s v="Accessories"/>
    <s v="Product_376"/>
    <n v="3722.1"/>
    <n v="-859.8"/>
    <n v="0.24"/>
    <x v="0"/>
    <n v="-0.23099862980575481"/>
    <x v="11"/>
    <n v="2023"/>
  </r>
  <r>
    <s v="O01128"/>
    <d v="2023-08-09T00:00:00"/>
    <x v="600"/>
    <x v="0"/>
    <x v="1"/>
    <s v="Accessories"/>
    <s v="Product_66"/>
    <n v="3075.15"/>
    <n v="344.16"/>
    <n v="0.21"/>
    <x v="1"/>
    <n v="0.11191649187844496"/>
    <x v="3"/>
    <n v="2023"/>
  </r>
  <r>
    <s v="O01129"/>
    <d v="2023-04-24T00:00:00"/>
    <x v="547"/>
    <x v="2"/>
    <x v="1"/>
    <s v="Phones"/>
    <s v="Product_489"/>
    <n v="1576.61"/>
    <n v="-111.55"/>
    <n v="0.2"/>
    <x v="0"/>
    <n v="-7.0753071463456413E-2"/>
    <x v="0"/>
    <n v="2023"/>
  </r>
  <r>
    <s v="O01130"/>
    <d v="2023-11-07T00:00:00"/>
    <x v="472"/>
    <x v="0"/>
    <x v="2"/>
    <s v="Tables"/>
    <s v="Product_55"/>
    <n v="3346.95"/>
    <n v="-478.67"/>
    <n v="7.0000000000000007E-2"/>
    <x v="0"/>
    <n v="-0.14301677646812772"/>
    <x v="9"/>
    <n v="2023"/>
  </r>
  <r>
    <s v="O01131"/>
    <d v="2023-01-28T00:00:00"/>
    <x v="601"/>
    <x v="3"/>
    <x v="1"/>
    <s v="Copiers"/>
    <s v="Product_113"/>
    <n v="243.19"/>
    <n v="-69.09"/>
    <n v="0.28000000000000003"/>
    <x v="0"/>
    <n v="-0.28409885274887947"/>
    <x v="1"/>
    <n v="2023"/>
  </r>
  <r>
    <s v="O01132"/>
    <d v="2023-11-13T00:00:00"/>
    <x v="602"/>
    <x v="2"/>
    <x v="0"/>
    <s v="Paper"/>
    <s v="Product_47"/>
    <n v="3363.07"/>
    <n v="-294.74"/>
    <n v="0.28999999999999998"/>
    <x v="0"/>
    <n v="-8.7640162113782935E-2"/>
    <x v="9"/>
    <n v="2023"/>
  </r>
  <r>
    <s v="O01133"/>
    <d v="2023-09-08T00:00:00"/>
    <x v="475"/>
    <x v="3"/>
    <x v="0"/>
    <s v="Paper"/>
    <s v="Product_194"/>
    <n v="4372.51"/>
    <n v="-88.31"/>
    <n v="0.28000000000000003"/>
    <x v="0"/>
    <n v="-2.0196637629187813E-2"/>
    <x v="7"/>
    <n v="2023"/>
  </r>
  <r>
    <s v="O01134"/>
    <d v="2023-07-30T00:00:00"/>
    <x v="483"/>
    <x v="1"/>
    <x v="0"/>
    <s v="Storage"/>
    <s v="Product_115"/>
    <n v="3706.41"/>
    <n v="278.95"/>
    <n v="0.11"/>
    <x v="1"/>
    <n v="7.5261506417260912E-2"/>
    <x v="2"/>
    <n v="2023"/>
  </r>
  <r>
    <s v="O01135"/>
    <d v="2023-08-30T00:00:00"/>
    <x v="420"/>
    <x v="0"/>
    <x v="1"/>
    <s v="Phones"/>
    <s v="Product_294"/>
    <n v="1525.78"/>
    <n v="-39.450000000000003"/>
    <n v="0.03"/>
    <x v="0"/>
    <n v="-2.5855627941118644E-2"/>
    <x v="3"/>
    <n v="2023"/>
  </r>
  <r>
    <s v="O01136"/>
    <d v="2022-01-02T00:00:00"/>
    <x v="603"/>
    <x v="0"/>
    <x v="1"/>
    <s v="Phones"/>
    <s v="Product_303"/>
    <n v="4281.32"/>
    <n v="-615.87"/>
    <n v="0.28999999999999998"/>
    <x v="0"/>
    <n v="-0.14385049470723985"/>
    <x v="1"/>
    <n v="2022"/>
  </r>
  <r>
    <s v="O01137"/>
    <d v="2023-01-09T00:00:00"/>
    <x v="604"/>
    <x v="1"/>
    <x v="0"/>
    <s v="Binders"/>
    <s v="Product_267"/>
    <n v="4250.88"/>
    <n v="-1267.67"/>
    <n v="0.28999999999999998"/>
    <x v="0"/>
    <n v="-0.29821354637157482"/>
    <x v="1"/>
    <n v="2023"/>
  </r>
  <r>
    <s v="O01138"/>
    <d v="2023-04-17T00:00:00"/>
    <x v="33"/>
    <x v="1"/>
    <x v="0"/>
    <s v="Storage"/>
    <s v="Product_418"/>
    <n v="2994.8"/>
    <n v="-672.29"/>
    <n v="0.03"/>
    <x v="0"/>
    <n v="-0.22448577534392944"/>
    <x v="0"/>
    <n v="2023"/>
  </r>
  <r>
    <s v="O01139"/>
    <d v="2022-05-30T00:00:00"/>
    <x v="122"/>
    <x v="0"/>
    <x v="1"/>
    <s v="Phones"/>
    <s v="Product_307"/>
    <n v="2549.1799999999998"/>
    <n v="53.22"/>
    <n v="0.14000000000000001"/>
    <x v="1"/>
    <n v="2.0877301720553278E-2"/>
    <x v="11"/>
    <n v="2022"/>
  </r>
  <r>
    <s v="O01140"/>
    <d v="2023-12-25T00:00:00"/>
    <x v="479"/>
    <x v="2"/>
    <x v="1"/>
    <s v="Accessories"/>
    <s v="Product_324"/>
    <n v="2561.65"/>
    <n v="-629.98"/>
    <n v="0.21"/>
    <x v="0"/>
    <n v="-0.24592742958639938"/>
    <x v="4"/>
    <n v="2023"/>
  </r>
  <r>
    <s v="O01141"/>
    <d v="2022-12-08T00:00:00"/>
    <x v="12"/>
    <x v="1"/>
    <x v="2"/>
    <s v="Tables"/>
    <s v="Product_435"/>
    <n v="1528.33"/>
    <n v="-694.95"/>
    <n v="0.28999999999999998"/>
    <x v="0"/>
    <n v="-0.45471200591495298"/>
    <x v="4"/>
    <n v="2022"/>
  </r>
  <r>
    <s v="O01142"/>
    <d v="2022-07-03T00:00:00"/>
    <x v="558"/>
    <x v="2"/>
    <x v="0"/>
    <s v="Binders"/>
    <s v="Product_154"/>
    <n v="3532"/>
    <n v="1056.98"/>
    <n v="0.02"/>
    <x v="1"/>
    <n v="0.2992582106455266"/>
    <x v="2"/>
    <n v="2022"/>
  </r>
  <r>
    <s v="O01143"/>
    <d v="2023-11-26T00:00:00"/>
    <x v="70"/>
    <x v="3"/>
    <x v="0"/>
    <s v="Binders"/>
    <s v="Product_388"/>
    <n v="4956.21"/>
    <n v="-780.87"/>
    <n v="0.16"/>
    <x v="0"/>
    <n v="-0.15755385667677518"/>
    <x v="9"/>
    <n v="2023"/>
  </r>
  <r>
    <s v="O01144"/>
    <d v="2022-07-19T00:00:00"/>
    <x v="308"/>
    <x v="2"/>
    <x v="1"/>
    <s v="Accessories"/>
    <s v="Product_50"/>
    <n v="451.93"/>
    <n v="-113.25"/>
    <n v="0.22"/>
    <x v="0"/>
    <n v="-0.25059190582612351"/>
    <x v="2"/>
    <n v="2022"/>
  </r>
  <r>
    <s v="O01145"/>
    <d v="2023-12-28T00:00:00"/>
    <x v="126"/>
    <x v="2"/>
    <x v="2"/>
    <s v="Tables"/>
    <s v="Product_336"/>
    <n v="3786.11"/>
    <n v="427.99"/>
    <n v="0.17"/>
    <x v="1"/>
    <n v="0.11304214616057114"/>
    <x v="4"/>
    <n v="2023"/>
  </r>
  <r>
    <s v="O01146"/>
    <d v="2022-05-29T00:00:00"/>
    <x v="286"/>
    <x v="1"/>
    <x v="2"/>
    <s v="Bookcases"/>
    <s v="Product_412"/>
    <n v="774.05"/>
    <n v="-182.17"/>
    <n v="0.21"/>
    <x v="0"/>
    <n v="-0.23534655384019121"/>
    <x v="11"/>
    <n v="2022"/>
  </r>
  <r>
    <s v="O01147"/>
    <d v="2023-08-13T00:00:00"/>
    <x v="605"/>
    <x v="1"/>
    <x v="0"/>
    <s v="Binders"/>
    <s v="Product_193"/>
    <n v="3703.06"/>
    <n v="872.35"/>
    <n v="0"/>
    <x v="1"/>
    <n v="0.23557544301199548"/>
    <x v="3"/>
    <n v="2023"/>
  </r>
  <r>
    <s v="O01148"/>
    <d v="2023-05-01T00:00:00"/>
    <x v="45"/>
    <x v="0"/>
    <x v="1"/>
    <s v="Copiers"/>
    <s v="Product_61"/>
    <n v="4224.13"/>
    <n v="-1784.15"/>
    <n v="0.28000000000000003"/>
    <x v="0"/>
    <n v="-0.42237099710472925"/>
    <x v="11"/>
    <n v="2023"/>
  </r>
  <r>
    <s v="O01149"/>
    <d v="2023-02-18T00:00:00"/>
    <x v="581"/>
    <x v="0"/>
    <x v="0"/>
    <s v="Storage"/>
    <s v="Product_61"/>
    <n v="1758.58"/>
    <n v="-423.57"/>
    <n v="0.13"/>
    <x v="0"/>
    <n v="-0.24085910223020848"/>
    <x v="10"/>
    <n v="2023"/>
  </r>
  <r>
    <s v="O01150"/>
    <d v="2023-10-31T00:00:00"/>
    <x v="152"/>
    <x v="2"/>
    <x v="2"/>
    <s v="Tables"/>
    <s v="Product_398"/>
    <n v="2494.27"/>
    <n v="405.9"/>
    <n v="0.21"/>
    <x v="1"/>
    <n v="0.16273298399932645"/>
    <x v="5"/>
    <n v="2023"/>
  </r>
  <r>
    <s v="O01151"/>
    <d v="2023-10-28T00:00:00"/>
    <x v="568"/>
    <x v="3"/>
    <x v="0"/>
    <s v="Storage"/>
    <s v="Product_324"/>
    <n v="3326.74"/>
    <n v="295.87"/>
    <n v="0.23"/>
    <x v="1"/>
    <n v="8.8936917222265655E-2"/>
    <x v="5"/>
    <n v="2023"/>
  </r>
  <r>
    <s v="O01152"/>
    <d v="2023-05-16T00:00:00"/>
    <x v="606"/>
    <x v="1"/>
    <x v="0"/>
    <s v="Paper"/>
    <s v="Product_12"/>
    <n v="1899.88"/>
    <n v="-361.77"/>
    <n v="0.04"/>
    <x v="0"/>
    <n v="-0.19041728951302186"/>
    <x v="11"/>
    <n v="2023"/>
  </r>
  <r>
    <s v="O01153"/>
    <d v="2022-04-07T00:00:00"/>
    <x v="205"/>
    <x v="1"/>
    <x v="0"/>
    <s v="Storage"/>
    <s v="Product_197"/>
    <n v="4938.01"/>
    <n v="376.45"/>
    <n v="0.14000000000000001"/>
    <x v="1"/>
    <n v="7.6235163557789462E-2"/>
    <x v="0"/>
    <n v="2022"/>
  </r>
  <r>
    <s v="O01154"/>
    <d v="2022-11-30T00:00:00"/>
    <x v="588"/>
    <x v="1"/>
    <x v="1"/>
    <s v="Copiers"/>
    <s v="Product_208"/>
    <n v="3543.41"/>
    <n v="-761.33"/>
    <n v="0.09"/>
    <x v="0"/>
    <n v="-0.21485800401308347"/>
    <x v="9"/>
    <n v="2022"/>
  </r>
  <r>
    <s v="O01155"/>
    <d v="2023-06-27T00:00:00"/>
    <x v="607"/>
    <x v="0"/>
    <x v="0"/>
    <s v="Binders"/>
    <s v="Product_266"/>
    <n v="2029.6"/>
    <n v="40.76"/>
    <n v="0.25"/>
    <x v="1"/>
    <n v="2.008277493102089E-2"/>
    <x v="8"/>
    <n v="2023"/>
  </r>
  <r>
    <s v="O01156"/>
    <d v="2022-08-01T00:00:00"/>
    <x v="54"/>
    <x v="0"/>
    <x v="0"/>
    <s v="Storage"/>
    <s v="Product_93"/>
    <n v="3597.37"/>
    <n v="-1315.01"/>
    <n v="0.24"/>
    <x v="0"/>
    <n v="-0.36554760839168615"/>
    <x v="3"/>
    <n v="2022"/>
  </r>
  <r>
    <s v="O01157"/>
    <d v="2022-05-06T00:00:00"/>
    <x v="608"/>
    <x v="1"/>
    <x v="0"/>
    <s v="Storage"/>
    <s v="Product_295"/>
    <n v="981.69"/>
    <n v="108.29"/>
    <n v="0.17"/>
    <x v="1"/>
    <n v="0.1103097719239271"/>
    <x v="11"/>
    <n v="2022"/>
  </r>
  <r>
    <s v="O01158"/>
    <d v="2022-02-05T00:00:00"/>
    <x v="562"/>
    <x v="0"/>
    <x v="2"/>
    <s v="Bookcases"/>
    <s v="Product_260"/>
    <n v="889.93"/>
    <n v="125.36"/>
    <n v="0.17"/>
    <x v="1"/>
    <n v="0.140865011854865"/>
    <x v="10"/>
    <n v="2022"/>
  </r>
  <r>
    <s v="O01159"/>
    <d v="2023-11-05T00:00:00"/>
    <x v="609"/>
    <x v="1"/>
    <x v="1"/>
    <s v="Accessories"/>
    <s v="Product_154"/>
    <n v="4834.75"/>
    <n v="1625.74"/>
    <n v="0.05"/>
    <x v="1"/>
    <n v="0.33626144061223434"/>
    <x v="9"/>
    <n v="2023"/>
  </r>
  <r>
    <s v="O01160"/>
    <d v="2022-05-24T00:00:00"/>
    <x v="23"/>
    <x v="2"/>
    <x v="2"/>
    <s v="Bookcases"/>
    <s v="Product_356"/>
    <n v="4532.6400000000003"/>
    <n v="138.07"/>
    <n v="0.09"/>
    <x v="1"/>
    <n v="3.0461276430512899E-2"/>
    <x v="11"/>
    <n v="2022"/>
  </r>
  <r>
    <s v="O01161"/>
    <d v="2023-06-07T00:00:00"/>
    <x v="286"/>
    <x v="0"/>
    <x v="1"/>
    <s v="Copiers"/>
    <s v="Product_340"/>
    <n v="4562.84"/>
    <n v="-621.9"/>
    <n v="0.3"/>
    <x v="0"/>
    <n v="-0.13629669241086689"/>
    <x v="8"/>
    <n v="2023"/>
  </r>
  <r>
    <s v="O01162"/>
    <d v="2022-08-09T00:00:00"/>
    <x v="280"/>
    <x v="1"/>
    <x v="2"/>
    <s v="Chairs"/>
    <s v="Product_303"/>
    <n v="280"/>
    <n v="76.62"/>
    <n v="0.04"/>
    <x v="1"/>
    <n v="0.27364285714285713"/>
    <x v="3"/>
    <n v="2022"/>
  </r>
  <r>
    <s v="O01163"/>
    <d v="2022-09-19T00:00:00"/>
    <x v="387"/>
    <x v="2"/>
    <x v="1"/>
    <s v="Accessories"/>
    <s v="Product_333"/>
    <n v="729.61"/>
    <n v="-252"/>
    <n v="0.19"/>
    <x v="0"/>
    <n v="-0.34539000287825"/>
    <x v="7"/>
    <n v="2022"/>
  </r>
  <r>
    <s v="O01164"/>
    <d v="2023-12-13T00:00:00"/>
    <x v="347"/>
    <x v="1"/>
    <x v="2"/>
    <s v="Tables"/>
    <s v="Product_37"/>
    <n v="2334.73"/>
    <n v="-172.97"/>
    <n v="0.28000000000000003"/>
    <x v="0"/>
    <n v="-7.408565444398281E-2"/>
    <x v="4"/>
    <n v="2023"/>
  </r>
  <r>
    <s v="O01165"/>
    <d v="2023-01-17T00:00:00"/>
    <x v="66"/>
    <x v="1"/>
    <x v="0"/>
    <s v="Storage"/>
    <s v="Product_215"/>
    <n v="1420.06"/>
    <n v="-3.77"/>
    <n v="0.19"/>
    <x v="0"/>
    <n v="-2.6548174020816022E-3"/>
    <x v="1"/>
    <n v="2023"/>
  </r>
  <r>
    <s v="O01166"/>
    <d v="2023-09-11T00:00:00"/>
    <x v="233"/>
    <x v="0"/>
    <x v="2"/>
    <s v="Tables"/>
    <s v="Product_139"/>
    <n v="4963"/>
    <n v="-1560.64"/>
    <n v="0.13"/>
    <x v="0"/>
    <n v="-0.31445496675397949"/>
    <x v="7"/>
    <n v="2023"/>
  </r>
  <r>
    <s v="O01167"/>
    <d v="2023-10-18T00:00:00"/>
    <x v="416"/>
    <x v="3"/>
    <x v="2"/>
    <s v="Bookcases"/>
    <s v="Product_466"/>
    <n v="638.95000000000005"/>
    <n v="-204.74"/>
    <n v="0.16"/>
    <x v="0"/>
    <n v="-0.32043195868221297"/>
    <x v="5"/>
    <n v="2023"/>
  </r>
  <r>
    <s v="O01168"/>
    <d v="2022-04-11T00:00:00"/>
    <x v="242"/>
    <x v="1"/>
    <x v="1"/>
    <s v="Accessories"/>
    <s v="Product_194"/>
    <n v="817.02"/>
    <n v="-225.34"/>
    <n v="0.24"/>
    <x v="0"/>
    <n v="-0.27580720178208612"/>
    <x v="0"/>
    <n v="2022"/>
  </r>
  <r>
    <s v="O01169"/>
    <d v="2023-05-17T00:00:00"/>
    <x v="610"/>
    <x v="3"/>
    <x v="2"/>
    <s v="Chairs"/>
    <s v="Product_359"/>
    <n v="961.08"/>
    <n v="-226.88"/>
    <n v="0.22"/>
    <x v="0"/>
    <n v="-0.23606775710658839"/>
    <x v="11"/>
    <n v="2023"/>
  </r>
  <r>
    <s v="O01170"/>
    <d v="2022-06-24T00:00:00"/>
    <x v="611"/>
    <x v="2"/>
    <x v="0"/>
    <s v="Paper"/>
    <s v="Product_93"/>
    <n v="2802.56"/>
    <n v="442.64"/>
    <n v="0.18"/>
    <x v="1"/>
    <n v="0.15794131080155285"/>
    <x v="8"/>
    <n v="2022"/>
  </r>
  <r>
    <s v="O01171"/>
    <d v="2023-02-17T00:00:00"/>
    <x v="612"/>
    <x v="1"/>
    <x v="1"/>
    <s v="Copiers"/>
    <s v="Product_133"/>
    <n v="3421.28"/>
    <n v="-372.91"/>
    <n v="0.24"/>
    <x v="0"/>
    <n v="-0.10899721741570406"/>
    <x v="10"/>
    <n v="2023"/>
  </r>
  <r>
    <s v="O01172"/>
    <d v="2023-01-23T00:00:00"/>
    <x v="532"/>
    <x v="3"/>
    <x v="2"/>
    <s v="Bookcases"/>
    <s v="Product_28"/>
    <n v="2616.4699999999998"/>
    <n v="-455.73"/>
    <n v="0.05"/>
    <x v="0"/>
    <n v="-0.17417742225211832"/>
    <x v="1"/>
    <n v="2023"/>
  </r>
  <r>
    <s v="O01173"/>
    <d v="2023-09-16T00:00:00"/>
    <x v="166"/>
    <x v="2"/>
    <x v="0"/>
    <s v="Storage"/>
    <s v="Product_94"/>
    <n v="4875.05"/>
    <n v="-1270.1099999999999"/>
    <n v="0.21"/>
    <x v="0"/>
    <n v="-0.26053271248500015"/>
    <x v="7"/>
    <n v="2023"/>
  </r>
  <r>
    <s v="O01174"/>
    <d v="2023-03-15T00:00:00"/>
    <x v="466"/>
    <x v="1"/>
    <x v="1"/>
    <s v="Accessories"/>
    <s v="Product_157"/>
    <n v="4012.5"/>
    <n v="-740.33"/>
    <n v="0.15"/>
    <x v="0"/>
    <n v="-0.18450591900311528"/>
    <x v="6"/>
    <n v="2023"/>
  </r>
  <r>
    <s v="O01175"/>
    <d v="2022-04-03T00:00:00"/>
    <x v="537"/>
    <x v="0"/>
    <x v="0"/>
    <s v="Binders"/>
    <s v="Product_40"/>
    <n v="4742.53"/>
    <n v="-627.71"/>
    <n v="0.12"/>
    <x v="0"/>
    <n v="-0.13235762346258223"/>
    <x v="0"/>
    <n v="2022"/>
  </r>
  <r>
    <s v="O01176"/>
    <d v="2022-10-20T00:00:00"/>
    <x v="21"/>
    <x v="2"/>
    <x v="0"/>
    <s v="Binders"/>
    <s v="Product_414"/>
    <n v="4729.8500000000004"/>
    <n v="-1019.53"/>
    <n v="0.05"/>
    <x v="0"/>
    <n v="-0.2155522902417624"/>
    <x v="5"/>
    <n v="2022"/>
  </r>
  <r>
    <s v="O01177"/>
    <d v="2023-05-25T00:00:00"/>
    <x v="178"/>
    <x v="0"/>
    <x v="2"/>
    <s v="Tables"/>
    <s v="Product_208"/>
    <n v="3417.46"/>
    <n v="-1360.64"/>
    <n v="0.28000000000000003"/>
    <x v="0"/>
    <n v="-0.39814365054748269"/>
    <x v="11"/>
    <n v="2023"/>
  </r>
  <r>
    <s v="O01178"/>
    <d v="2023-03-12T00:00:00"/>
    <x v="482"/>
    <x v="3"/>
    <x v="2"/>
    <s v="Bookcases"/>
    <s v="Product_126"/>
    <n v="1031.9000000000001"/>
    <n v="-459.84"/>
    <n v="0.25"/>
    <x v="0"/>
    <n v="-0.44562457602480854"/>
    <x v="6"/>
    <n v="2023"/>
  </r>
  <r>
    <s v="O01179"/>
    <d v="2023-06-25T00:00:00"/>
    <x v="110"/>
    <x v="0"/>
    <x v="0"/>
    <s v="Storage"/>
    <s v="Product_311"/>
    <n v="4759.26"/>
    <n v="372.17"/>
    <n v="0.25"/>
    <x v="1"/>
    <n v="7.8199131797800497E-2"/>
    <x v="8"/>
    <n v="2023"/>
  </r>
  <r>
    <s v="O01180"/>
    <d v="2022-08-19T00:00:00"/>
    <x v="501"/>
    <x v="0"/>
    <x v="1"/>
    <s v="Phones"/>
    <s v="Product_188"/>
    <n v="3405.16"/>
    <n v="-496.78"/>
    <n v="0.26"/>
    <x v="0"/>
    <n v="-0.14589035463825489"/>
    <x v="3"/>
    <n v="2022"/>
  </r>
  <r>
    <s v="O01181"/>
    <d v="2022-06-24T00:00:00"/>
    <x v="16"/>
    <x v="0"/>
    <x v="2"/>
    <s v="Bookcases"/>
    <s v="Product_174"/>
    <n v="1831.13"/>
    <n v="141.55000000000001"/>
    <n v="0.02"/>
    <x v="1"/>
    <n v="7.7301993850791589E-2"/>
    <x v="8"/>
    <n v="2022"/>
  </r>
  <r>
    <s v="O01182"/>
    <d v="2022-10-25T00:00:00"/>
    <x v="613"/>
    <x v="2"/>
    <x v="0"/>
    <s v="Binders"/>
    <s v="Product_151"/>
    <n v="4175.46"/>
    <n v="228.33"/>
    <n v="0.26"/>
    <x v="1"/>
    <n v="5.4683795318360137E-2"/>
    <x v="5"/>
    <n v="2022"/>
  </r>
  <r>
    <s v="O01183"/>
    <d v="2022-11-09T00:00:00"/>
    <x v="176"/>
    <x v="0"/>
    <x v="1"/>
    <s v="Phones"/>
    <s v="Product_479"/>
    <n v="110.95"/>
    <n v="-17.07"/>
    <n v="0.19"/>
    <x v="0"/>
    <n v="-0.15385308697611536"/>
    <x v="9"/>
    <n v="2022"/>
  </r>
  <r>
    <s v="O01184"/>
    <d v="2023-04-17T00:00:00"/>
    <x v="614"/>
    <x v="3"/>
    <x v="1"/>
    <s v="Copiers"/>
    <s v="Product_182"/>
    <n v="4256.92"/>
    <n v="-921.48"/>
    <n v="0.02"/>
    <x v="0"/>
    <n v="-0.21646636535335406"/>
    <x v="0"/>
    <n v="2023"/>
  </r>
  <r>
    <s v="O01185"/>
    <d v="2022-01-10T00:00:00"/>
    <x v="615"/>
    <x v="2"/>
    <x v="2"/>
    <s v="Chairs"/>
    <s v="Product_252"/>
    <n v="1813.64"/>
    <n v="-324.2"/>
    <n v="0.22"/>
    <x v="0"/>
    <n v="-0.17875653382148607"/>
    <x v="1"/>
    <n v="2022"/>
  </r>
  <r>
    <s v="O01186"/>
    <d v="2023-05-15T00:00:00"/>
    <x v="572"/>
    <x v="1"/>
    <x v="2"/>
    <s v="Chairs"/>
    <s v="Product_394"/>
    <n v="2692.57"/>
    <n v="-601.97"/>
    <n v="0.27"/>
    <x v="0"/>
    <n v="-0.22356707532209005"/>
    <x v="11"/>
    <n v="2023"/>
  </r>
  <r>
    <s v="O01187"/>
    <d v="2023-03-15T00:00:00"/>
    <x v="419"/>
    <x v="3"/>
    <x v="0"/>
    <s v="Paper"/>
    <s v="Product_56"/>
    <n v="1207.8699999999999"/>
    <n v="-169.62"/>
    <n v="0.12"/>
    <x v="0"/>
    <n v="-0.14042901967927013"/>
    <x v="6"/>
    <n v="2023"/>
  </r>
  <r>
    <s v="O01188"/>
    <d v="2023-03-21T00:00:00"/>
    <x v="549"/>
    <x v="3"/>
    <x v="1"/>
    <s v="Copiers"/>
    <s v="Product_453"/>
    <n v="4212.8500000000004"/>
    <n v="-159.07"/>
    <n v="0.05"/>
    <x v="0"/>
    <n v="-3.7758287145281691E-2"/>
    <x v="6"/>
    <n v="2023"/>
  </r>
  <r>
    <s v="O01189"/>
    <d v="2023-03-08T00:00:00"/>
    <x v="180"/>
    <x v="3"/>
    <x v="0"/>
    <s v="Binders"/>
    <s v="Product_462"/>
    <n v="642.26"/>
    <n v="-134.74"/>
    <n v="0.09"/>
    <x v="0"/>
    <n v="-0.20979042755270452"/>
    <x v="6"/>
    <n v="2023"/>
  </r>
  <r>
    <s v="O01190"/>
    <d v="2022-09-30T00:00:00"/>
    <x v="616"/>
    <x v="2"/>
    <x v="2"/>
    <s v="Chairs"/>
    <s v="Product_251"/>
    <n v="3364.4"/>
    <n v="322.37"/>
    <n v="0.28000000000000003"/>
    <x v="1"/>
    <n v="9.5817976459398407E-2"/>
    <x v="7"/>
    <n v="2022"/>
  </r>
  <r>
    <s v="O01191"/>
    <d v="2023-02-14T00:00:00"/>
    <x v="617"/>
    <x v="2"/>
    <x v="0"/>
    <s v="Paper"/>
    <s v="Product_68"/>
    <n v="4019.12"/>
    <n v="-864.38"/>
    <n v="0.21"/>
    <x v="0"/>
    <n v="-0.21506697983638209"/>
    <x v="10"/>
    <n v="2023"/>
  </r>
  <r>
    <s v="O01192"/>
    <d v="2022-01-14T00:00:00"/>
    <x v="591"/>
    <x v="1"/>
    <x v="2"/>
    <s v="Chairs"/>
    <s v="Product_27"/>
    <n v="3984.29"/>
    <n v="-133.58000000000001"/>
    <n v="0.04"/>
    <x v="0"/>
    <n v="-3.3526676020068827E-2"/>
    <x v="1"/>
    <n v="2022"/>
  </r>
  <r>
    <s v="O01193"/>
    <d v="2023-05-07T00:00:00"/>
    <x v="150"/>
    <x v="3"/>
    <x v="0"/>
    <s v="Paper"/>
    <s v="Product_249"/>
    <n v="2205.36"/>
    <n v="-827.41"/>
    <n v="0.18"/>
    <x v="0"/>
    <n v="-0.37518137628323717"/>
    <x v="11"/>
    <n v="2023"/>
  </r>
  <r>
    <s v="O01194"/>
    <d v="2022-09-13T00:00:00"/>
    <x v="268"/>
    <x v="0"/>
    <x v="2"/>
    <s v="Tables"/>
    <s v="Product_443"/>
    <n v="1313.96"/>
    <n v="74.56"/>
    <n v="0.05"/>
    <x v="1"/>
    <n v="5.6744497549392675E-2"/>
    <x v="7"/>
    <n v="2022"/>
  </r>
  <r>
    <s v="O01195"/>
    <d v="2023-12-25T00:00:00"/>
    <x v="82"/>
    <x v="1"/>
    <x v="1"/>
    <s v="Copiers"/>
    <s v="Product_97"/>
    <n v="1312.04"/>
    <n v="-434.22"/>
    <n v="0.25"/>
    <x v="0"/>
    <n v="-0.33095027590622239"/>
    <x v="4"/>
    <n v="2023"/>
  </r>
  <r>
    <s v="O01196"/>
    <d v="2022-02-09T00:00:00"/>
    <x v="574"/>
    <x v="1"/>
    <x v="0"/>
    <s v="Storage"/>
    <s v="Product_476"/>
    <n v="3208.94"/>
    <n v="-611.70000000000005"/>
    <n v="7.0000000000000007E-2"/>
    <x v="0"/>
    <n v="-0.19062369505194862"/>
    <x v="10"/>
    <n v="2022"/>
  </r>
  <r>
    <s v="O01197"/>
    <d v="2023-01-25T00:00:00"/>
    <x v="618"/>
    <x v="3"/>
    <x v="2"/>
    <s v="Tables"/>
    <s v="Product_359"/>
    <n v="186.54"/>
    <n v="48.24"/>
    <n v="0.06"/>
    <x v="1"/>
    <n v="0.25860405275008042"/>
    <x v="1"/>
    <n v="2023"/>
  </r>
  <r>
    <s v="O01198"/>
    <d v="2023-03-14T00:00:00"/>
    <x v="619"/>
    <x v="0"/>
    <x v="0"/>
    <s v="Binders"/>
    <s v="Product_156"/>
    <n v="1186.7"/>
    <n v="-347.93"/>
    <n v="0.13"/>
    <x v="0"/>
    <n v="-0.29319120249431196"/>
    <x v="6"/>
    <n v="2023"/>
  </r>
  <r>
    <s v="O01199"/>
    <d v="2022-09-10T00:00:00"/>
    <x v="515"/>
    <x v="0"/>
    <x v="2"/>
    <s v="Tables"/>
    <s v="Product_94"/>
    <n v="1881.52"/>
    <n v="-99.81"/>
    <n v="0.28000000000000003"/>
    <x v="0"/>
    <n v="-5.3047536034695357E-2"/>
    <x v="7"/>
    <n v="2022"/>
  </r>
  <r>
    <s v="O01200"/>
    <d v="2023-04-29T00:00:00"/>
    <x v="620"/>
    <x v="0"/>
    <x v="2"/>
    <s v="Chairs"/>
    <s v="Product_221"/>
    <n v="355.44"/>
    <n v="-104.08"/>
    <n v="0.22"/>
    <x v="0"/>
    <n v="-0.29282016655413007"/>
    <x v="0"/>
    <n v="2023"/>
  </r>
  <r>
    <s v="O01201"/>
    <d v="2022-04-10T00:00:00"/>
    <x v="561"/>
    <x v="0"/>
    <x v="2"/>
    <s v="Tables"/>
    <s v="Product_350"/>
    <n v="4746.8100000000004"/>
    <n v="-604.67999999999995"/>
    <n v="0.11"/>
    <x v="0"/>
    <n v="-0.12738660279219094"/>
    <x v="0"/>
    <n v="2022"/>
  </r>
  <r>
    <s v="O01202"/>
    <d v="2023-08-27T00:00:00"/>
    <x v="13"/>
    <x v="3"/>
    <x v="0"/>
    <s v="Binders"/>
    <s v="Product_122"/>
    <n v="1722.94"/>
    <n v="-350.05"/>
    <n v="0.22"/>
    <x v="0"/>
    <n v="-0.20317016262899462"/>
    <x v="3"/>
    <n v="2023"/>
  </r>
  <r>
    <s v="O01203"/>
    <d v="2022-05-14T00:00:00"/>
    <x v="207"/>
    <x v="0"/>
    <x v="0"/>
    <s v="Paper"/>
    <s v="Product_22"/>
    <n v="1129.1600000000001"/>
    <n v="239.74"/>
    <n v="0.12"/>
    <x v="1"/>
    <n v="0.21231712069148748"/>
    <x v="11"/>
    <n v="2022"/>
  </r>
  <r>
    <s v="O01204"/>
    <d v="2022-04-12T00:00:00"/>
    <x v="307"/>
    <x v="3"/>
    <x v="0"/>
    <s v="Storage"/>
    <s v="Product_155"/>
    <n v="4105.3"/>
    <n v="30.63"/>
    <n v="0.06"/>
    <x v="1"/>
    <n v="7.4610868876817766E-3"/>
    <x v="0"/>
    <n v="2022"/>
  </r>
  <r>
    <s v="O01205"/>
    <d v="2022-02-14T00:00:00"/>
    <x v="162"/>
    <x v="1"/>
    <x v="0"/>
    <s v="Paper"/>
    <s v="Product_215"/>
    <n v="4949.26"/>
    <n v="853.56"/>
    <n v="0.06"/>
    <x v="1"/>
    <n v="0.17246214585614816"/>
    <x v="10"/>
    <n v="2022"/>
  </r>
  <r>
    <s v="O01206"/>
    <d v="2023-07-28T00:00:00"/>
    <x v="72"/>
    <x v="3"/>
    <x v="0"/>
    <s v="Storage"/>
    <s v="Product_230"/>
    <n v="1337.37"/>
    <n v="69.63"/>
    <n v="0.26"/>
    <x v="1"/>
    <n v="5.2064873595190561E-2"/>
    <x v="2"/>
    <n v="2023"/>
  </r>
  <r>
    <s v="O01207"/>
    <d v="2023-06-21T00:00:00"/>
    <x v="621"/>
    <x v="0"/>
    <x v="0"/>
    <s v="Storage"/>
    <s v="Product_86"/>
    <n v="675.4"/>
    <n v="-27.22"/>
    <n v="0.13"/>
    <x v="0"/>
    <n v="-4.0302043233639326E-2"/>
    <x v="8"/>
    <n v="2023"/>
  </r>
  <r>
    <s v="O01208"/>
    <d v="2023-08-03T00:00:00"/>
    <x v="437"/>
    <x v="1"/>
    <x v="0"/>
    <s v="Paper"/>
    <s v="Product_380"/>
    <n v="3513.86"/>
    <n v="-747.51"/>
    <n v="0.04"/>
    <x v="0"/>
    <n v="-0.21273186751891082"/>
    <x v="3"/>
    <n v="2023"/>
  </r>
  <r>
    <s v="O01209"/>
    <d v="2022-06-19T00:00:00"/>
    <x v="494"/>
    <x v="2"/>
    <x v="1"/>
    <s v="Accessories"/>
    <s v="Product_288"/>
    <n v="3455"/>
    <n v="424.7"/>
    <n v="0.26"/>
    <x v="1"/>
    <n v="0.12292329956584659"/>
    <x v="8"/>
    <n v="2022"/>
  </r>
  <r>
    <s v="O01210"/>
    <d v="2023-08-09T00:00:00"/>
    <x v="622"/>
    <x v="0"/>
    <x v="1"/>
    <s v="Accessories"/>
    <s v="Product_451"/>
    <n v="3075.37"/>
    <n v="-792.95"/>
    <n v="0.06"/>
    <x v="0"/>
    <n v="-0.25783889418183831"/>
    <x v="3"/>
    <n v="2023"/>
  </r>
  <r>
    <s v="O01211"/>
    <d v="2022-08-14T00:00:00"/>
    <x v="623"/>
    <x v="3"/>
    <x v="0"/>
    <s v="Paper"/>
    <s v="Product_283"/>
    <n v="2568.71"/>
    <n v="-679.94"/>
    <n v="0.22"/>
    <x v="0"/>
    <n v="-0.26470095884704775"/>
    <x v="3"/>
    <n v="2022"/>
  </r>
  <r>
    <s v="O01212"/>
    <d v="2023-10-17T00:00:00"/>
    <x v="57"/>
    <x v="3"/>
    <x v="2"/>
    <s v="Chairs"/>
    <s v="Product_475"/>
    <n v="1197.25"/>
    <n v="-221.36"/>
    <n v="0.16"/>
    <x v="0"/>
    <n v="-0.18489037377323034"/>
    <x v="5"/>
    <n v="2023"/>
  </r>
  <r>
    <s v="O01213"/>
    <d v="2022-08-04T00:00:00"/>
    <x v="624"/>
    <x v="0"/>
    <x v="2"/>
    <s v="Tables"/>
    <s v="Product_1"/>
    <n v="4379.58"/>
    <n v="1611.75"/>
    <n v="0.02"/>
    <x v="1"/>
    <n v="0.36801474113956134"/>
    <x v="3"/>
    <n v="2022"/>
  </r>
  <r>
    <s v="O01214"/>
    <d v="2023-12-24T00:00:00"/>
    <x v="284"/>
    <x v="3"/>
    <x v="0"/>
    <s v="Paper"/>
    <s v="Product_370"/>
    <n v="3200.15"/>
    <n v="-944.89"/>
    <n v="0.28999999999999998"/>
    <x v="0"/>
    <n v="-0.2952642844866647"/>
    <x v="4"/>
    <n v="2023"/>
  </r>
  <r>
    <s v="O01215"/>
    <d v="2023-10-03T00:00:00"/>
    <x v="404"/>
    <x v="3"/>
    <x v="2"/>
    <s v="Tables"/>
    <s v="Product_113"/>
    <n v="4501.8500000000004"/>
    <n v="1355.76"/>
    <n v="0.09"/>
    <x v="1"/>
    <n v="0.30115619134355875"/>
    <x v="5"/>
    <n v="2023"/>
  </r>
  <r>
    <s v="O01216"/>
    <d v="2023-08-21T00:00:00"/>
    <x v="73"/>
    <x v="2"/>
    <x v="0"/>
    <s v="Paper"/>
    <s v="Product_485"/>
    <n v="966"/>
    <n v="-161.87"/>
    <n v="0.28999999999999998"/>
    <x v="0"/>
    <n v="-0.16756728778467908"/>
    <x v="3"/>
    <n v="2023"/>
  </r>
  <r>
    <s v="O01217"/>
    <d v="2023-03-29T00:00:00"/>
    <x v="625"/>
    <x v="3"/>
    <x v="0"/>
    <s v="Paper"/>
    <s v="Product_138"/>
    <n v="4363.13"/>
    <n v="-259.49"/>
    <n v="0.19"/>
    <x v="0"/>
    <n v="-5.9473359721117641E-2"/>
    <x v="6"/>
    <n v="2023"/>
  </r>
  <r>
    <s v="O01218"/>
    <d v="2023-04-02T00:00:00"/>
    <x v="626"/>
    <x v="2"/>
    <x v="2"/>
    <s v="Bookcases"/>
    <s v="Product_189"/>
    <n v="3186.02"/>
    <n v="-709.6"/>
    <n v="0.26"/>
    <x v="0"/>
    <n v="-0.22272302119886253"/>
    <x v="0"/>
    <n v="2023"/>
  </r>
  <r>
    <s v="O01219"/>
    <d v="2022-06-30T00:00:00"/>
    <x v="627"/>
    <x v="2"/>
    <x v="2"/>
    <s v="Tables"/>
    <s v="Product_483"/>
    <n v="559.09"/>
    <n v="-77.7"/>
    <n v="0.05"/>
    <x v="0"/>
    <n v="-0.13897583573306624"/>
    <x v="8"/>
    <n v="2022"/>
  </r>
  <r>
    <s v="O01220"/>
    <d v="2022-07-01T00:00:00"/>
    <x v="628"/>
    <x v="1"/>
    <x v="0"/>
    <s v="Binders"/>
    <s v="Product_36"/>
    <n v="3273.06"/>
    <n v="-367.4"/>
    <n v="0.01"/>
    <x v="0"/>
    <n v="-0.11224969905837351"/>
    <x v="2"/>
    <n v="2022"/>
  </r>
  <r>
    <s v="O01221"/>
    <d v="2023-02-17T00:00:00"/>
    <x v="108"/>
    <x v="1"/>
    <x v="2"/>
    <s v="Chairs"/>
    <s v="Product_373"/>
    <n v="2189.34"/>
    <n v="103.05"/>
    <n v="0.14000000000000001"/>
    <x v="1"/>
    <n v="4.7068979692510067E-2"/>
    <x v="10"/>
    <n v="2023"/>
  </r>
  <r>
    <s v="O01222"/>
    <d v="2022-01-14T00:00:00"/>
    <x v="522"/>
    <x v="0"/>
    <x v="2"/>
    <s v="Bookcases"/>
    <s v="Product_68"/>
    <n v="588.67999999999995"/>
    <n v="-149.51"/>
    <n v="0.12"/>
    <x v="0"/>
    <n v="-0.25397499490385267"/>
    <x v="1"/>
    <n v="2022"/>
  </r>
  <r>
    <s v="O01223"/>
    <d v="2022-01-10T00:00:00"/>
    <x v="73"/>
    <x v="3"/>
    <x v="2"/>
    <s v="Chairs"/>
    <s v="Product_437"/>
    <n v="1411.52"/>
    <n v="-169.69"/>
    <n v="0.28000000000000003"/>
    <x v="0"/>
    <n v="-0.12021792110632509"/>
    <x v="1"/>
    <n v="2022"/>
  </r>
  <r>
    <s v="O01224"/>
    <d v="2023-03-31T00:00:00"/>
    <x v="629"/>
    <x v="3"/>
    <x v="0"/>
    <s v="Binders"/>
    <s v="Product_170"/>
    <n v="1091.3800000000001"/>
    <n v="-2.5"/>
    <n v="0.14000000000000001"/>
    <x v="0"/>
    <n v="-2.2906778573915589E-3"/>
    <x v="6"/>
    <n v="2023"/>
  </r>
  <r>
    <s v="O01225"/>
    <d v="2023-07-11T00:00:00"/>
    <x v="523"/>
    <x v="0"/>
    <x v="1"/>
    <s v="Phones"/>
    <s v="Product_423"/>
    <n v="1294.6600000000001"/>
    <n v="-258.32"/>
    <n v="0.16"/>
    <x v="0"/>
    <n v="-0.1995272890179661"/>
    <x v="2"/>
    <n v="2023"/>
  </r>
  <r>
    <s v="O01226"/>
    <d v="2023-03-02T00:00:00"/>
    <x v="630"/>
    <x v="0"/>
    <x v="2"/>
    <s v="Chairs"/>
    <s v="Product_468"/>
    <n v="2768.75"/>
    <n v="835.81"/>
    <n v="0.03"/>
    <x v="1"/>
    <n v="0.30187268623024827"/>
    <x v="6"/>
    <n v="2023"/>
  </r>
  <r>
    <s v="O01227"/>
    <d v="2022-10-21T00:00:00"/>
    <x v="85"/>
    <x v="2"/>
    <x v="2"/>
    <s v="Chairs"/>
    <s v="Product_352"/>
    <n v="1210.71"/>
    <n v="-130.77000000000001"/>
    <n v="0.12"/>
    <x v="0"/>
    <n v="-0.10801100180885596"/>
    <x v="5"/>
    <n v="2022"/>
  </r>
  <r>
    <s v="O01228"/>
    <d v="2022-10-16T00:00:00"/>
    <x v="509"/>
    <x v="0"/>
    <x v="0"/>
    <s v="Binders"/>
    <s v="Product_316"/>
    <n v="2509.92"/>
    <n v="-916.84"/>
    <n v="0.3"/>
    <x v="0"/>
    <n v="-0.36528654299738639"/>
    <x v="5"/>
    <n v="2022"/>
  </r>
  <r>
    <s v="O01229"/>
    <d v="2022-02-14T00:00:00"/>
    <x v="631"/>
    <x v="1"/>
    <x v="1"/>
    <s v="Phones"/>
    <s v="Product_92"/>
    <n v="1866.42"/>
    <n v="-800.91"/>
    <n v="0.28000000000000003"/>
    <x v="0"/>
    <n v="-0.42911563313723594"/>
    <x v="10"/>
    <n v="2022"/>
  </r>
  <r>
    <s v="O01230"/>
    <d v="2023-11-15T00:00:00"/>
    <x v="51"/>
    <x v="3"/>
    <x v="1"/>
    <s v="Copiers"/>
    <s v="Product_320"/>
    <n v="1740.74"/>
    <n v="8.9600000000000009"/>
    <n v="0.05"/>
    <x v="1"/>
    <n v="5.1472362328664825E-3"/>
    <x v="9"/>
    <n v="2023"/>
  </r>
  <r>
    <s v="O01231"/>
    <d v="2023-01-13T00:00:00"/>
    <x v="109"/>
    <x v="0"/>
    <x v="1"/>
    <s v="Accessories"/>
    <s v="Product_404"/>
    <n v="4389.47"/>
    <n v="85.82"/>
    <n v="0.08"/>
    <x v="1"/>
    <n v="1.9551335354837825E-2"/>
    <x v="1"/>
    <n v="2023"/>
  </r>
  <r>
    <s v="O01232"/>
    <d v="2023-04-03T00:00:00"/>
    <x v="143"/>
    <x v="2"/>
    <x v="2"/>
    <s v="Chairs"/>
    <s v="Product_418"/>
    <n v="3911.14"/>
    <n v="-591.88"/>
    <n v="0.04"/>
    <x v="0"/>
    <n v="-0.15133183675347853"/>
    <x v="0"/>
    <n v="2023"/>
  </r>
  <r>
    <s v="O01233"/>
    <d v="2022-04-03T00:00:00"/>
    <x v="425"/>
    <x v="1"/>
    <x v="2"/>
    <s v="Chairs"/>
    <s v="Product_94"/>
    <n v="2931.43"/>
    <n v="-946.6"/>
    <n v="0.28999999999999998"/>
    <x v="0"/>
    <n v="-0.32291407265396072"/>
    <x v="0"/>
    <n v="2022"/>
  </r>
  <r>
    <s v="O01234"/>
    <d v="2023-02-28T00:00:00"/>
    <x v="550"/>
    <x v="3"/>
    <x v="1"/>
    <s v="Accessories"/>
    <s v="Product_71"/>
    <n v="1664.65"/>
    <n v="143.25"/>
    <n v="0.13"/>
    <x v="1"/>
    <n v="8.6054125491845129E-2"/>
    <x v="10"/>
    <n v="2023"/>
  </r>
  <r>
    <s v="O01235"/>
    <d v="2023-05-20T00:00:00"/>
    <x v="148"/>
    <x v="1"/>
    <x v="0"/>
    <s v="Binders"/>
    <s v="Product_197"/>
    <n v="1977.61"/>
    <n v="-72.680000000000007"/>
    <n v="0.16"/>
    <x v="0"/>
    <n v="-3.6751432284424131E-2"/>
    <x v="11"/>
    <n v="2023"/>
  </r>
  <r>
    <s v="O01236"/>
    <d v="2022-08-13T00:00:00"/>
    <x v="482"/>
    <x v="0"/>
    <x v="2"/>
    <s v="Bookcases"/>
    <s v="Product_121"/>
    <n v="3603.11"/>
    <n v="381.77"/>
    <n v="0.16"/>
    <x v="1"/>
    <n v="0.10595568828040219"/>
    <x v="3"/>
    <n v="2022"/>
  </r>
  <r>
    <s v="O01237"/>
    <d v="2023-05-01T00:00:00"/>
    <x v="224"/>
    <x v="0"/>
    <x v="1"/>
    <s v="Phones"/>
    <s v="Product_31"/>
    <n v="1096.07"/>
    <n v="-265.86"/>
    <n v="0.26"/>
    <x v="0"/>
    <n v="-0.24255750088954176"/>
    <x v="11"/>
    <n v="2023"/>
  </r>
  <r>
    <s v="O01238"/>
    <d v="2022-10-29T00:00:00"/>
    <x v="632"/>
    <x v="1"/>
    <x v="1"/>
    <s v="Accessories"/>
    <s v="Product_428"/>
    <n v="4258.88"/>
    <n v="133.76"/>
    <n v="0.26"/>
    <x v="1"/>
    <n v="3.1407318355999699E-2"/>
    <x v="5"/>
    <n v="2022"/>
  </r>
  <r>
    <s v="O01239"/>
    <d v="2022-05-22T00:00:00"/>
    <x v="564"/>
    <x v="1"/>
    <x v="0"/>
    <s v="Paper"/>
    <s v="Product_194"/>
    <n v="1288.24"/>
    <n v="-536.53"/>
    <n v="0.25"/>
    <x v="0"/>
    <n v="-0.41648295348692788"/>
    <x v="11"/>
    <n v="2022"/>
  </r>
  <r>
    <s v="O01240"/>
    <d v="2022-04-19T00:00:00"/>
    <x v="597"/>
    <x v="0"/>
    <x v="0"/>
    <s v="Binders"/>
    <s v="Product_245"/>
    <n v="3511"/>
    <n v="-1044.7"/>
    <n v="0.13"/>
    <x v="0"/>
    <n v="-0.29755055539732272"/>
    <x v="0"/>
    <n v="2022"/>
  </r>
  <r>
    <s v="O01241"/>
    <d v="2022-03-20T00:00:00"/>
    <x v="633"/>
    <x v="2"/>
    <x v="0"/>
    <s v="Binders"/>
    <s v="Product_77"/>
    <n v="247.91"/>
    <n v="-65.099999999999994"/>
    <n v="0.11"/>
    <x v="0"/>
    <n v="-0.26259529668024684"/>
    <x v="6"/>
    <n v="2022"/>
  </r>
  <r>
    <s v="O01242"/>
    <d v="2022-11-03T00:00:00"/>
    <x v="95"/>
    <x v="2"/>
    <x v="2"/>
    <s v="Tables"/>
    <s v="Product_370"/>
    <n v="3743.43"/>
    <n v="-3.23"/>
    <n v="0.22"/>
    <x v="0"/>
    <n v="-8.6284503783962835E-4"/>
    <x v="9"/>
    <n v="2022"/>
  </r>
  <r>
    <s v="O01243"/>
    <d v="2022-06-09T00:00:00"/>
    <x v="86"/>
    <x v="0"/>
    <x v="1"/>
    <s v="Accessories"/>
    <s v="Product_310"/>
    <n v="3928.84"/>
    <n v="-934.82"/>
    <n v="0.21"/>
    <x v="0"/>
    <n v="-0.23793791551704829"/>
    <x v="8"/>
    <n v="2022"/>
  </r>
  <r>
    <s v="O01244"/>
    <d v="2023-04-11T00:00:00"/>
    <x v="21"/>
    <x v="3"/>
    <x v="2"/>
    <s v="Bookcases"/>
    <s v="Product_471"/>
    <n v="885.71"/>
    <n v="-58.3"/>
    <n v="0.12"/>
    <x v="0"/>
    <n v="-6.5822899143060359E-2"/>
    <x v="0"/>
    <n v="2023"/>
  </r>
  <r>
    <s v="O01245"/>
    <d v="2022-10-06T00:00:00"/>
    <x v="3"/>
    <x v="2"/>
    <x v="0"/>
    <s v="Storage"/>
    <s v="Product_487"/>
    <n v="1599.57"/>
    <n v="462.07"/>
    <n v="7.0000000000000007E-2"/>
    <x v="1"/>
    <n v="0.28887138418449959"/>
    <x v="5"/>
    <n v="2022"/>
  </r>
  <r>
    <s v="O01246"/>
    <d v="2022-07-08T00:00:00"/>
    <x v="152"/>
    <x v="0"/>
    <x v="2"/>
    <s v="Bookcases"/>
    <s v="Product_419"/>
    <n v="1138.1300000000001"/>
    <n v="-294.38"/>
    <n v="0.19"/>
    <x v="0"/>
    <n v="-0.25865235078593829"/>
    <x v="2"/>
    <n v="2022"/>
  </r>
  <r>
    <s v="O01247"/>
    <d v="2023-01-25T00:00:00"/>
    <x v="351"/>
    <x v="0"/>
    <x v="0"/>
    <s v="Paper"/>
    <s v="Product_412"/>
    <n v="2439.34"/>
    <n v="-382.83"/>
    <n v="0.2"/>
    <x v="0"/>
    <n v="-0.15693999196503972"/>
    <x v="1"/>
    <n v="2023"/>
  </r>
  <r>
    <s v="O01248"/>
    <d v="2023-01-07T00:00:00"/>
    <x v="160"/>
    <x v="3"/>
    <x v="1"/>
    <s v="Copiers"/>
    <s v="Product_15"/>
    <n v="2178.69"/>
    <n v="-473.56"/>
    <n v="0.08"/>
    <x v="0"/>
    <n v="-0.21735997319490152"/>
    <x v="1"/>
    <n v="2023"/>
  </r>
  <r>
    <s v="O01249"/>
    <d v="2022-01-12T00:00:00"/>
    <x v="232"/>
    <x v="3"/>
    <x v="2"/>
    <s v="Tables"/>
    <s v="Product_97"/>
    <n v="897.53"/>
    <n v="-92.31"/>
    <n v="0.03"/>
    <x v="0"/>
    <n v="-0.10284892984078527"/>
    <x v="1"/>
    <n v="2022"/>
  </r>
  <r>
    <s v="O01250"/>
    <d v="2023-08-07T00:00:00"/>
    <x v="634"/>
    <x v="0"/>
    <x v="0"/>
    <s v="Binders"/>
    <s v="Product_289"/>
    <n v="3228.11"/>
    <n v="-156.56"/>
    <n v="0.01"/>
    <x v="0"/>
    <n v="-4.8498966887745458E-2"/>
    <x v="3"/>
    <n v="2023"/>
  </r>
  <r>
    <s v="O01251"/>
    <d v="2023-01-01T00:00:00"/>
    <x v="582"/>
    <x v="3"/>
    <x v="1"/>
    <s v="Phones"/>
    <s v="Product_491"/>
    <n v="335.44"/>
    <n v="-15.04"/>
    <n v="0.03"/>
    <x v="0"/>
    <n v="-4.4836632482709277E-2"/>
    <x v="1"/>
    <n v="2023"/>
  </r>
  <r>
    <s v="O01252"/>
    <d v="2022-05-13T00:00:00"/>
    <x v="482"/>
    <x v="0"/>
    <x v="1"/>
    <s v="Copiers"/>
    <s v="Product_170"/>
    <n v="1054.93"/>
    <n v="5.71"/>
    <n v="0.23"/>
    <x v="1"/>
    <n v="5.4126814101409567E-3"/>
    <x v="11"/>
    <n v="2022"/>
  </r>
  <r>
    <s v="O01253"/>
    <d v="2022-01-25T00:00:00"/>
    <x v="93"/>
    <x v="2"/>
    <x v="1"/>
    <s v="Copiers"/>
    <s v="Product_245"/>
    <n v="2567.5300000000002"/>
    <n v="295.36"/>
    <n v="0.15"/>
    <x v="1"/>
    <n v="0.11503663053596258"/>
    <x v="1"/>
    <n v="2022"/>
  </r>
  <r>
    <s v="O01254"/>
    <d v="2023-10-03T00:00:00"/>
    <x v="635"/>
    <x v="1"/>
    <x v="0"/>
    <s v="Binders"/>
    <s v="Product_453"/>
    <n v="1521.58"/>
    <n v="42.4"/>
    <n v="0.05"/>
    <x v="1"/>
    <n v="2.7865771106349978E-2"/>
    <x v="5"/>
    <n v="2023"/>
  </r>
  <r>
    <s v="O01255"/>
    <d v="2023-05-29T00:00:00"/>
    <x v="636"/>
    <x v="3"/>
    <x v="2"/>
    <s v="Bookcases"/>
    <s v="Product_230"/>
    <n v="3305.68"/>
    <n v="-1102.02"/>
    <n v="0.23"/>
    <x v="0"/>
    <n v="-0.33337165121850876"/>
    <x v="11"/>
    <n v="2023"/>
  </r>
  <r>
    <s v="O01256"/>
    <d v="2022-02-10T00:00:00"/>
    <x v="456"/>
    <x v="2"/>
    <x v="2"/>
    <s v="Tables"/>
    <s v="Product_123"/>
    <n v="1525.12"/>
    <n v="265.5"/>
    <n v="0.19"/>
    <x v="1"/>
    <n v="0.17408466219051616"/>
    <x v="10"/>
    <n v="2022"/>
  </r>
  <r>
    <s v="O01257"/>
    <d v="2023-05-25T00:00:00"/>
    <x v="203"/>
    <x v="0"/>
    <x v="2"/>
    <s v="Bookcases"/>
    <s v="Product_74"/>
    <n v="3073.7"/>
    <n v="-460.62"/>
    <n v="0.28999999999999998"/>
    <x v="0"/>
    <n v="-0.14985847675440025"/>
    <x v="11"/>
    <n v="2023"/>
  </r>
  <r>
    <s v="O01258"/>
    <d v="2023-05-26T00:00:00"/>
    <x v="637"/>
    <x v="2"/>
    <x v="1"/>
    <s v="Copiers"/>
    <s v="Product_161"/>
    <n v="4350.92"/>
    <n v="422.39"/>
    <n v="0.24"/>
    <x v="1"/>
    <n v="9.7080617432634936E-2"/>
    <x v="11"/>
    <n v="2023"/>
  </r>
  <r>
    <s v="O01259"/>
    <d v="2022-04-02T00:00:00"/>
    <x v="477"/>
    <x v="1"/>
    <x v="2"/>
    <s v="Tables"/>
    <s v="Product_364"/>
    <n v="891.22"/>
    <n v="-55.26"/>
    <n v="0.08"/>
    <x v="0"/>
    <n v="-6.2004892170283425E-2"/>
    <x v="0"/>
    <n v="2022"/>
  </r>
  <r>
    <s v="O01260"/>
    <d v="2023-03-29T00:00:00"/>
    <x v="20"/>
    <x v="1"/>
    <x v="1"/>
    <s v="Accessories"/>
    <s v="Product_482"/>
    <n v="4932.1000000000004"/>
    <n v="-158.38"/>
    <n v="0.28999999999999998"/>
    <x v="0"/>
    <n v="-3.2112082074572695E-2"/>
    <x v="6"/>
    <n v="2023"/>
  </r>
  <r>
    <s v="O01261"/>
    <d v="2023-02-23T00:00:00"/>
    <x v="638"/>
    <x v="1"/>
    <x v="2"/>
    <s v="Bookcases"/>
    <s v="Product_226"/>
    <n v="2492.4699999999998"/>
    <n v="-344.02"/>
    <n v="0.11"/>
    <x v="0"/>
    <n v="-0.13802372746713101"/>
    <x v="10"/>
    <n v="2023"/>
  </r>
  <r>
    <s v="O01262"/>
    <d v="2023-11-30T00:00:00"/>
    <x v="213"/>
    <x v="2"/>
    <x v="1"/>
    <s v="Copiers"/>
    <s v="Product_135"/>
    <n v="4239.6899999999996"/>
    <n v="-1126.8699999999999"/>
    <n v="0.28999999999999998"/>
    <x v="0"/>
    <n v="-0.26579065922272621"/>
    <x v="9"/>
    <n v="2023"/>
  </r>
  <r>
    <s v="O01263"/>
    <d v="2022-09-08T00:00:00"/>
    <x v="472"/>
    <x v="0"/>
    <x v="0"/>
    <s v="Binders"/>
    <s v="Product_80"/>
    <n v="3141.01"/>
    <n v="171.58"/>
    <n v="0.19"/>
    <x v="1"/>
    <n v="5.4625741401651058E-2"/>
    <x v="7"/>
    <n v="2022"/>
  </r>
  <r>
    <s v="O01264"/>
    <d v="2022-08-17T00:00:00"/>
    <x v="639"/>
    <x v="2"/>
    <x v="2"/>
    <s v="Tables"/>
    <s v="Product_343"/>
    <n v="1941.53"/>
    <n v="276.27"/>
    <n v="0.17"/>
    <x v="1"/>
    <n v="0.14229499415409497"/>
    <x v="3"/>
    <n v="2022"/>
  </r>
  <r>
    <s v="O01265"/>
    <d v="2023-04-22T00:00:00"/>
    <x v="271"/>
    <x v="0"/>
    <x v="2"/>
    <s v="Tables"/>
    <s v="Product_93"/>
    <n v="2382.8000000000002"/>
    <n v="357.6"/>
    <n v="0.19"/>
    <x v="1"/>
    <n v="0.15007554137988921"/>
    <x v="0"/>
    <n v="2023"/>
  </r>
  <r>
    <s v="O01266"/>
    <d v="2022-07-24T00:00:00"/>
    <x v="204"/>
    <x v="3"/>
    <x v="0"/>
    <s v="Binders"/>
    <s v="Product_34"/>
    <n v="4595.5600000000004"/>
    <n v="-87.64"/>
    <n v="0.28000000000000003"/>
    <x v="0"/>
    <n v="-1.9070581169650706E-2"/>
    <x v="2"/>
    <n v="2022"/>
  </r>
  <r>
    <s v="O01267"/>
    <d v="2023-05-03T00:00:00"/>
    <x v="135"/>
    <x v="3"/>
    <x v="1"/>
    <s v="Accessories"/>
    <s v="Product_233"/>
    <n v="4982.55"/>
    <n v="355.63"/>
    <n v="0.15"/>
    <x v="1"/>
    <n v="7.1375099095844496E-2"/>
    <x v="11"/>
    <n v="2023"/>
  </r>
  <r>
    <s v="O01268"/>
    <d v="2022-11-24T00:00:00"/>
    <x v="532"/>
    <x v="0"/>
    <x v="2"/>
    <s v="Bookcases"/>
    <s v="Product_308"/>
    <n v="863.13"/>
    <n v="38.090000000000003"/>
    <n v="0.14000000000000001"/>
    <x v="1"/>
    <n v="4.4130084691761384E-2"/>
    <x v="9"/>
    <n v="2022"/>
  </r>
  <r>
    <s v="O01269"/>
    <d v="2023-04-30T00:00:00"/>
    <x v="373"/>
    <x v="0"/>
    <x v="1"/>
    <s v="Phones"/>
    <s v="Product_109"/>
    <n v="4688.6499999999996"/>
    <n v="-243.5"/>
    <n v="0.11"/>
    <x v="0"/>
    <n v="-5.1933925543599976E-2"/>
    <x v="0"/>
    <n v="2023"/>
  </r>
  <r>
    <s v="O01270"/>
    <d v="2022-05-26T00:00:00"/>
    <x v="69"/>
    <x v="3"/>
    <x v="2"/>
    <s v="Bookcases"/>
    <s v="Product_208"/>
    <n v="2172.31"/>
    <n v="-378.71"/>
    <n v="0.08"/>
    <x v="0"/>
    <n v="-0.17433515474310757"/>
    <x v="11"/>
    <n v="2022"/>
  </r>
  <r>
    <s v="O01271"/>
    <d v="2022-08-08T00:00:00"/>
    <x v="561"/>
    <x v="3"/>
    <x v="2"/>
    <s v="Tables"/>
    <s v="Product_95"/>
    <n v="4381.5"/>
    <n v="-386.3"/>
    <n v="0.14000000000000001"/>
    <x v="0"/>
    <n v="-8.81661531439005E-2"/>
    <x v="3"/>
    <n v="2022"/>
  </r>
  <r>
    <s v="O01272"/>
    <d v="2022-11-01T00:00:00"/>
    <x v="351"/>
    <x v="1"/>
    <x v="2"/>
    <s v="Chairs"/>
    <s v="Product_179"/>
    <n v="4485.29"/>
    <n v="1112.44"/>
    <n v="0.13"/>
    <x v="1"/>
    <n v="0.24801963752622463"/>
    <x v="9"/>
    <n v="2022"/>
  </r>
  <r>
    <s v="O01273"/>
    <d v="2023-12-15T00:00:00"/>
    <x v="483"/>
    <x v="3"/>
    <x v="1"/>
    <s v="Accessories"/>
    <s v="Product_468"/>
    <n v="2429.9499999999998"/>
    <n v="-762"/>
    <n v="0.21"/>
    <x v="0"/>
    <n v="-0.31358669931480077"/>
    <x v="4"/>
    <n v="2023"/>
  </r>
  <r>
    <s v="O01274"/>
    <d v="2023-09-04T00:00:00"/>
    <x v="424"/>
    <x v="0"/>
    <x v="0"/>
    <s v="Storage"/>
    <s v="Product_371"/>
    <n v="2006.78"/>
    <n v="541.52"/>
    <n v="0"/>
    <x v="1"/>
    <n v="0.26984522468830663"/>
    <x v="7"/>
    <n v="2023"/>
  </r>
  <r>
    <s v="O01275"/>
    <d v="2022-11-21T00:00:00"/>
    <x v="544"/>
    <x v="1"/>
    <x v="0"/>
    <s v="Storage"/>
    <s v="Product_460"/>
    <n v="3120.91"/>
    <n v="910.75"/>
    <n v="0.1"/>
    <x v="1"/>
    <n v="0.29182193655055738"/>
    <x v="9"/>
    <n v="2022"/>
  </r>
  <r>
    <s v="O01276"/>
    <d v="2023-11-22T00:00:00"/>
    <x v="214"/>
    <x v="3"/>
    <x v="1"/>
    <s v="Phones"/>
    <s v="Product_267"/>
    <n v="2547.2800000000002"/>
    <n v="471.78"/>
    <n v="0.09"/>
    <x v="1"/>
    <n v="0.18520932131528531"/>
    <x v="9"/>
    <n v="2023"/>
  </r>
  <r>
    <s v="O01277"/>
    <d v="2023-10-12T00:00:00"/>
    <x v="555"/>
    <x v="0"/>
    <x v="0"/>
    <s v="Binders"/>
    <s v="Product_19"/>
    <n v="4942.37"/>
    <n v="169.82"/>
    <n v="0.28000000000000003"/>
    <x v="1"/>
    <n v="3.4360033748990867E-2"/>
    <x v="5"/>
    <n v="2023"/>
  </r>
  <r>
    <s v="O01278"/>
    <d v="2022-06-20T00:00:00"/>
    <x v="640"/>
    <x v="2"/>
    <x v="2"/>
    <s v="Bookcases"/>
    <s v="Product_111"/>
    <n v="4897.26"/>
    <n v="-11.5"/>
    <n v="0.13"/>
    <x v="0"/>
    <n v="-2.3482518796224825E-3"/>
    <x v="8"/>
    <n v="2022"/>
  </r>
  <r>
    <s v="O01279"/>
    <d v="2022-01-15T00:00:00"/>
    <x v="641"/>
    <x v="3"/>
    <x v="1"/>
    <s v="Phones"/>
    <s v="Product_9"/>
    <n v="4766.6499999999996"/>
    <n v="-685.91"/>
    <n v="0.28999999999999998"/>
    <x v="0"/>
    <n v="-0.14389770593603474"/>
    <x v="1"/>
    <n v="2022"/>
  </r>
  <r>
    <s v="O01280"/>
    <d v="2023-10-27T00:00:00"/>
    <x v="56"/>
    <x v="2"/>
    <x v="1"/>
    <s v="Accessories"/>
    <s v="Product_211"/>
    <n v="2560.2199999999998"/>
    <n v="-103.46"/>
    <n v="0.26"/>
    <x v="0"/>
    <n v="-4.041058971494637E-2"/>
    <x v="5"/>
    <n v="2023"/>
  </r>
  <r>
    <s v="O01281"/>
    <d v="2022-12-10T00:00:00"/>
    <x v="495"/>
    <x v="1"/>
    <x v="1"/>
    <s v="Accessories"/>
    <s v="Product_235"/>
    <n v="4158.1099999999997"/>
    <n v="1058"/>
    <n v="0.13"/>
    <x v="1"/>
    <n v="0.25444252316557286"/>
    <x v="4"/>
    <n v="2022"/>
  </r>
  <r>
    <s v="O01282"/>
    <d v="2023-01-26T00:00:00"/>
    <x v="36"/>
    <x v="2"/>
    <x v="1"/>
    <s v="Accessories"/>
    <s v="Product_325"/>
    <n v="966.79"/>
    <n v="-52.54"/>
    <n v="0.18"/>
    <x v="0"/>
    <n v="-5.4344790492247545E-2"/>
    <x v="1"/>
    <n v="2023"/>
  </r>
  <r>
    <s v="O01283"/>
    <d v="2022-03-31T00:00:00"/>
    <x v="376"/>
    <x v="0"/>
    <x v="1"/>
    <s v="Copiers"/>
    <s v="Product_333"/>
    <n v="3139.84"/>
    <n v="107.38"/>
    <n v="0.28000000000000003"/>
    <x v="1"/>
    <n v="3.4199194863432529E-2"/>
    <x v="6"/>
    <n v="2022"/>
  </r>
  <r>
    <s v="O01284"/>
    <d v="2023-10-01T00:00:00"/>
    <x v="642"/>
    <x v="0"/>
    <x v="2"/>
    <s v="Bookcases"/>
    <s v="Product_325"/>
    <n v="4669.2299999999996"/>
    <n v="1027.07"/>
    <n v="0.03"/>
    <x v="1"/>
    <n v="0.21996560460718365"/>
    <x v="5"/>
    <n v="2023"/>
  </r>
  <r>
    <s v="O01285"/>
    <d v="2023-03-07T00:00:00"/>
    <x v="449"/>
    <x v="1"/>
    <x v="1"/>
    <s v="Copiers"/>
    <s v="Product_398"/>
    <n v="2948.04"/>
    <n v="-106.3"/>
    <n v="0.01"/>
    <x v="0"/>
    <n v="-3.605785538866501E-2"/>
    <x v="6"/>
    <n v="2023"/>
  </r>
  <r>
    <s v="O01286"/>
    <d v="2022-05-08T00:00:00"/>
    <x v="48"/>
    <x v="2"/>
    <x v="1"/>
    <s v="Copiers"/>
    <s v="Product_212"/>
    <n v="1967.29"/>
    <n v="42.78"/>
    <n v="0.06"/>
    <x v="1"/>
    <n v="2.1745650107508299E-2"/>
    <x v="11"/>
    <n v="2022"/>
  </r>
  <r>
    <s v="O01287"/>
    <d v="2022-08-18T00:00:00"/>
    <x v="508"/>
    <x v="3"/>
    <x v="0"/>
    <s v="Storage"/>
    <s v="Product_138"/>
    <n v="3944.71"/>
    <n v="961.6"/>
    <n v="0.12"/>
    <x v="1"/>
    <n v="0.24376950396860605"/>
    <x v="3"/>
    <n v="2022"/>
  </r>
  <r>
    <s v="O01288"/>
    <d v="2023-11-21T00:00:00"/>
    <x v="198"/>
    <x v="0"/>
    <x v="0"/>
    <s v="Paper"/>
    <s v="Product_461"/>
    <n v="1606.24"/>
    <n v="121.44"/>
    <n v="0.27"/>
    <x v="1"/>
    <n v="7.5605139954178696E-2"/>
    <x v="9"/>
    <n v="2023"/>
  </r>
  <r>
    <s v="O01289"/>
    <d v="2023-06-16T00:00:00"/>
    <x v="593"/>
    <x v="3"/>
    <x v="1"/>
    <s v="Phones"/>
    <s v="Product_172"/>
    <n v="176.1"/>
    <n v="-4.47"/>
    <n v="0.05"/>
    <x v="0"/>
    <n v="-2.5383304940374787E-2"/>
    <x v="8"/>
    <n v="2023"/>
  </r>
  <r>
    <s v="O01290"/>
    <d v="2022-07-17T00:00:00"/>
    <x v="530"/>
    <x v="2"/>
    <x v="2"/>
    <s v="Bookcases"/>
    <s v="Product_425"/>
    <n v="4964.8599999999997"/>
    <n v="1559.43"/>
    <n v="7.0000000000000007E-2"/>
    <x v="1"/>
    <n v="0.31409344875787032"/>
    <x v="2"/>
    <n v="2022"/>
  </r>
  <r>
    <s v="O01291"/>
    <d v="2022-06-27T00:00:00"/>
    <x v="643"/>
    <x v="3"/>
    <x v="2"/>
    <s v="Bookcases"/>
    <s v="Product_265"/>
    <n v="2202.6"/>
    <n v="-541.29999999999995"/>
    <n v="0.28000000000000003"/>
    <x v="0"/>
    <n v="-0.24575501679832923"/>
    <x v="8"/>
    <n v="2022"/>
  </r>
  <r>
    <s v="O01292"/>
    <d v="2022-05-02T00:00:00"/>
    <x v="159"/>
    <x v="2"/>
    <x v="2"/>
    <s v="Tables"/>
    <s v="Product_432"/>
    <n v="1231.75"/>
    <n v="-411.65"/>
    <n v="0.21"/>
    <x v="0"/>
    <n v="-0.3341993099249036"/>
    <x v="11"/>
    <n v="2022"/>
  </r>
  <r>
    <s v="O01293"/>
    <d v="2022-04-06T00:00:00"/>
    <x v="635"/>
    <x v="0"/>
    <x v="0"/>
    <s v="Paper"/>
    <s v="Product_224"/>
    <n v="4202.96"/>
    <n v="-237.71"/>
    <n v="0.05"/>
    <x v="0"/>
    <n v="-5.6557759293450333E-2"/>
    <x v="0"/>
    <n v="2022"/>
  </r>
  <r>
    <s v="O01294"/>
    <d v="2023-07-11T00:00:00"/>
    <x v="473"/>
    <x v="2"/>
    <x v="2"/>
    <s v="Bookcases"/>
    <s v="Product_13"/>
    <n v="3873.16"/>
    <n v="468.11"/>
    <n v="0.05"/>
    <x v="1"/>
    <n v="0.12085996963719547"/>
    <x v="2"/>
    <n v="2023"/>
  </r>
  <r>
    <s v="O01295"/>
    <d v="2023-01-02T00:00:00"/>
    <x v="644"/>
    <x v="1"/>
    <x v="0"/>
    <s v="Storage"/>
    <s v="Product_335"/>
    <n v="739.69"/>
    <n v="28.77"/>
    <n v="0.14000000000000001"/>
    <x v="1"/>
    <n v="3.8894672092363011E-2"/>
    <x v="1"/>
    <n v="2023"/>
  </r>
  <r>
    <s v="O01296"/>
    <d v="2023-01-23T00:00:00"/>
    <x v="223"/>
    <x v="3"/>
    <x v="2"/>
    <s v="Tables"/>
    <s v="Product_338"/>
    <n v="1049.76"/>
    <n v="-14.92"/>
    <n v="0.25"/>
    <x v="0"/>
    <n v="-1.4212772443225118E-2"/>
    <x v="1"/>
    <n v="2023"/>
  </r>
  <r>
    <s v="O01297"/>
    <d v="2023-08-17T00:00:00"/>
    <x v="82"/>
    <x v="0"/>
    <x v="2"/>
    <s v="Tables"/>
    <s v="Product_236"/>
    <n v="506.52"/>
    <n v="-114.53"/>
    <n v="0.04"/>
    <x v="0"/>
    <n v="-0.22611150596225224"/>
    <x v="3"/>
    <n v="2023"/>
  </r>
  <r>
    <s v="O01298"/>
    <d v="2022-04-06T00:00:00"/>
    <x v="485"/>
    <x v="2"/>
    <x v="0"/>
    <s v="Binders"/>
    <s v="Product_433"/>
    <n v="624.67999999999995"/>
    <n v="160.38999999999999"/>
    <n v="0.08"/>
    <x v="1"/>
    <n v="0.25675545879490297"/>
    <x v="0"/>
    <n v="2022"/>
  </r>
  <r>
    <s v="O01299"/>
    <d v="2022-03-17T00:00:00"/>
    <x v="645"/>
    <x v="0"/>
    <x v="1"/>
    <s v="Phones"/>
    <s v="Product_108"/>
    <n v="2014.92"/>
    <n v="-678.68"/>
    <n v="0.15"/>
    <x v="0"/>
    <n v="-0.33682726857641987"/>
    <x v="6"/>
    <n v="2022"/>
  </r>
  <r>
    <s v="O01300"/>
    <d v="2022-06-14T00:00:00"/>
    <x v="535"/>
    <x v="3"/>
    <x v="0"/>
    <s v="Paper"/>
    <s v="Product_6"/>
    <n v="1938.75"/>
    <n v="494.35"/>
    <n v="0.09"/>
    <x v="1"/>
    <n v="0.25498388136686012"/>
    <x v="8"/>
    <n v="2022"/>
  </r>
  <r>
    <s v="O01301"/>
    <d v="2022-12-18T00:00:00"/>
    <x v="72"/>
    <x v="2"/>
    <x v="2"/>
    <s v="Bookcases"/>
    <s v="Product_315"/>
    <n v="2879.74"/>
    <n v="-1039.96"/>
    <n v="0.18"/>
    <x v="0"/>
    <n v="-0.36112982422024215"/>
    <x v="4"/>
    <n v="2022"/>
  </r>
  <r>
    <s v="O01302"/>
    <d v="2022-05-05T00:00:00"/>
    <x v="646"/>
    <x v="0"/>
    <x v="0"/>
    <s v="Storage"/>
    <s v="Product_275"/>
    <n v="124.57"/>
    <n v="-25.82"/>
    <n v="0.16"/>
    <x v="0"/>
    <n v="-0.20727301918599986"/>
    <x v="11"/>
    <n v="2022"/>
  </r>
  <r>
    <s v="O01303"/>
    <d v="2022-04-28T00:00:00"/>
    <x v="295"/>
    <x v="0"/>
    <x v="2"/>
    <s v="Bookcases"/>
    <s v="Product_168"/>
    <n v="2607.5500000000002"/>
    <n v="704.36"/>
    <n v="0.05"/>
    <x v="1"/>
    <n v="0.27012329581407835"/>
    <x v="0"/>
    <n v="2022"/>
  </r>
  <r>
    <s v="O01304"/>
    <d v="2022-10-08T00:00:00"/>
    <x v="478"/>
    <x v="1"/>
    <x v="2"/>
    <s v="Chairs"/>
    <s v="Product_489"/>
    <n v="508.87"/>
    <n v="-169.99"/>
    <n v="0.21"/>
    <x v="0"/>
    <n v="-0.33405388409613457"/>
    <x v="5"/>
    <n v="2022"/>
  </r>
  <r>
    <s v="O01305"/>
    <d v="2023-05-23T00:00:00"/>
    <x v="149"/>
    <x v="2"/>
    <x v="2"/>
    <s v="Tables"/>
    <s v="Product_473"/>
    <n v="3569.61"/>
    <n v="-427.55"/>
    <n v="0.2"/>
    <x v="0"/>
    <n v="-0.11977498942461501"/>
    <x v="11"/>
    <n v="2023"/>
  </r>
  <r>
    <s v="O01306"/>
    <d v="2022-10-15T00:00:00"/>
    <x v="452"/>
    <x v="0"/>
    <x v="2"/>
    <s v="Tables"/>
    <s v="Product_299"/>
    <n v="947.5"/>
    <n v="115.96"/>
    <n v="0.21"/>
    <x v="1"/>
    <n v="0.12238522427440633"/>
    <x v="5"/>
    <n v="2022"/>
  </r>
  <r>
    <s v="O01307"/>
    <d v="2023-03-20T00:00:00"/>
    <x v="60"/>
    <x v="2"/>
    <x v="0"/>
    <s v="Paper"/>
    <s v="Product_306"/>
    <n v="911.7"/>
    <n v="157.94"/>
    <n v="0.06"/>
    <x v="1"/>
    <n v="0.1732368103542832"/>
    <x v="6"/>
    <n v="2023"/>
  </r>
  <r>
    <s v="O01308"/>
    <d v="2023-03-16T00:00:00"/>
    <x v="647"/>
    <x v="3"/>
    <x v="0"/>
    <s v="Paper"/>
    <s v="Product_192"/>
    <n v="4097.87"/>
    <n v="-105"/>
    <n v="0.19"/>
    <x v="0"/>
    <n v="-2.5623067593652314E-2"/>
    <x v="6"/>
    <n v="2023"/>
  </r>
  <r>
    <s v="O01309"/>
    <d v="2022-09-17T00:00:00"/>
    <x v="138"/>
    <x v="2"/>
    <x v="0"/>
    <s v="Binders"/>
    <s v="Product_151"/>
    <n v="2302.08"/>
    <n v="241.39"/>
    <n v="0.27"/>
    <x v="1"/>
    <n v="0.10485734639977759"/>
    <x v="7"/>
    <n v="2022"/>
  </r>
  <r>
    <s v="O01310"/>
    <d v="2022-04-28T00:00:00"/>
    <x v="535"/>
    <x v="3"/>
    <x v="0"/>
    <s v="Storage"/>
    <s v="Product_220"/>
    <n v="4756.8500000000004"/>
    <n v="-575.65"/>
    <n v="0.16"/>
    <x v="0"/>
    <n v="-0.12101495737725594"/>
    <x v="0"/>
    <n v="2022"/>
  </r>
  <r>
    <s v="O01311"/>
    <d v="2022-05-29T00:00:00"/>
    <x v="191"/>
    <x v="3"/>
    <x v="2"/>
    <s v="Tables"/>
    <s v="Product_63"/>
    <n v="1302.06"/>
    <n v="-48.18"/>
    <n v="0.06"/>
    <x v="0"/>
    <n v="-3.7002903092023413E-2"/>
    <x v="11"/>
    <n v="2022"/>
  </r>
  <r>
    <s v="O01312"/>
    <d v="2023-08-05T00:00:00"/>
    <x v="244"/>
    <x v="1"/>
    <x v="2"/>
    <s v="Tables"/>
    <s v="Product_288"/>
    <n v="3472.63"/>
    <n v="-1013.09"/>
    <n v="0.22"/>
    <x v="0"/>
    <n v="-0.2917356585642582"/>
    <x v="3"/>
    <n v="2023"/>
  </r>
  <r>
    <s v="O01313"/>
    <d v="2023-07-29T00:00:00"/>
    <x v="648"/>
    <x v="0"/>
    <x v="2"/>
    <s v="Tables"/>
    <s v="Product_294"/>
    <n v="1489.71"/>
    <n v="-192.95"/>
    <n v="0.06"/>
    <x v="0"/>
    <n v="-0.12952185324660503"/>
    <x v="2"/>
    <n v="2023"/>
  </r>
  <r>
    <s v="O01314"/>
    <d v="2022-07-22T00:00:00"/>
    <x v="649"/>
    <x v="0"/>
    <x v="0"/>
    <s v="Paper"/>
    <s v="Product_411"/>
    <n v="3442.45"/>
    <n v="544.03"/>
    <n v="0.13"/>
    <x v="1"/>
    <n v="0.15803570131737571"/>
    <x v="2"/>
    <n v="2022"/>
  </r>
  <r>
    <s v="O01315"/>
    <d v="2023-04-09T00:00:00"/>
    <x v="253"/>
    <x v="3"/>
    <x v="1"/>
    <s v="Accessories"/>
    <s v="Product_303"/>
    <n v="329.28"/>
    <n v="-68.64"/>
    <n v="0.08"/>
    <x v="0"/>
    <n v="-0.20845481049562684"/>
    <x v="0"/>
    <n v="2023"/>
  </r>
  <r>
    <s v="O01316"/>
    <d v="2023-08-13T00:00:00"/>
    <x v="348"/>
    <x v="2"/>
    <x v="1"/>
    <s v="Phones"/>
    <s v="Product_146"/>
    <n v="2924.43"/>
    <n v="281.33"/>
    <n v="0.09"/>
    <x v="1"/>
    <n v="9.6199943236801699E-2"/>
    <x v="3"/>
    <n v="2023"/>
  </r>
  <r>
    <s v="O01317"/>
    <d v="2022-12-12T00:00:00"/>
    <x v="583"/>
    <x v="0"/>
    <x v="2"/>
    <s v="Tables"/>
    <s v="Product_36"/>
    <n v="281.33999999999997"/>
    <n v="-12.24"/>
    <n v="0.16"/>
    <x v="0"/>
    <n v="-4.35060780550224E-2"/>
    <x v="4"/>
    <n v="2022"/>
  </r>
  <r>
    <s v="O01318"/>
    <d v="2022-11-21T00:00:00"/>
    <x v="650"/>
    <x v="3"/>
    <x v="1"/>
    <s v="Phones"/>
    <s v="Product_205"/>
    <n v="4166.2700000000004"/>
    <n v="-580.78"/>
    <n v="0.12"/>
    <x v="0"/>
    <n v="-0.13940047092483202"/>
    <x v="9"/>
    <n v="2022"/>
  </r>
  <r>
    <s v="O01319"/>
    <d v="2022-11-02T00:00:00"/>
    <x v="29"/>
    <x v="2"/>
    <x v="2"/>
    <s v="Bookcases"/>
    <s v="Product_253"/>
    <n v="3895.61"/>
    <n v="-1253.44"/>
    <n v="0.15"/>
    <x v="0"/>
    <n v="-0.32175705473597205"/>
    <x v="9"/>
    <n v="2022"/>
  </r>
  <r>
    <s v="O01320"/>
    <d v="2022-08-18T00:00:00"/>
    <x v="575"/>
    <x v="0"/>
    <x v="0"/>
    <s v="Binders"/>
    <s v="Product_72"/>
    <n v="4231.07"/>
    <n v="-1770.08"/>
    <n v="0.28000000000000003"/>
    <x v="0"/>
    <n v="-0.41835280437336181"/>
    <x v="3"/>
    <n v="2022"/>
  </r>
  <r>
    <s v="O01321"/>
    <d v="2022-04-01T00:00:00"/>
    <x v="349"/>
    <x v="3"/>
    <x v="2"/>
    <s v="Tables"/>
    <s v="Product_418"/>
    <n v="4320.8"/>
    <n v="-1227.95"/>
    <n v="0.22"/>
    <x v="0"/>
    <n v="-0.28419505647102389"/>
    <x v="0"/>
    <n v="2022"/>
  </r>
  <r>
    <s v="O01322"/>
    <d v="2022-02-14T00:00:00"/>
    <x v="651"/>
    <x v="0"/>
    <x v="0"/>
    <s v="Binders"/>
    <s v="Product_485"/>
    <n v="4677.1400000000003"/>
    <n v="-1422.73"/>
    <n v="0.26"/>
    <x v="0"/>
    <n v="-0.30418802943679257"/>
    <x v="10"/>
    <n v="2022"/>
  </r>
  <r>
    <s v="O01323"/>
    <d v="2023-01-24T00:00:00"/>
    <x v="652"/>
    <x v="1"/>
    <x v="1"/>
    <s v="Phones"/>
    <s v="Product_474"/>
    <n v="1392.26"/>
    <n v="90.46"/>
    <n v="0.21"/>
    <x v="1"/>
    <n v="6.497349632970853E-2"/>
    <x v="1"/>
    <n v="2023"/>
  </r>
  <r>
    <s v="O01324"/>
    <d v="2023-08-22T00:00:00"/>
    <x v="213"/>
    <x v="2"/>
    <x v="2"/>
    <s v="Bookcases"/>
    <s v="Product_343"/>
    <n v="2357.4"/>
    <n v="653.32000000000005"/>
    <n v="0.04"/>
    <x v="1"/>
    <n v="0.27713582760668531"/>
    <x v="3"/>
    <n v="2023"/>
  </r>
  <r>
    <s v="O01325"/>
    <d v="2022-10-15T00:00:00"/>
    <x v="244"/>
    <x v="2"/>
    <x v="2"/>
    <s v="Bookcases"/>
    <s v="Product_116"/>
    <n v="2685.19"/>
    <n v="71.86"/>
    <n v="0.17"/>
    <x v="1"/>
    <n v="2.6761607186083666E-2"/>
    <x v="5"/>
    <n v="2022"/>
  </r>
  <r>
    <s v="O01326"/>
    <d v="2022-09-06T00:00:00"/>
    <x v="450"/>
    <x v="1"/>
    <x v="2"/>
    <s v="Tables"/>
    <s v="Product_356"/>
    <n v="3854.39"/>
    <n v="-763.92"/>
    <n v="0.21"/>
    <x v="0"/>
    <n v="-0.19819478568593213"/>
    <x v="7"/>
    <n v="2022"/>
  </r>
  <r>
    <s v="O01327"/>
    <d v="2022-08-10T00:00:00"/>
    <x v="91"/>
    <x v="2"/>
    <x v="2"/>
    <s v="Chairs"/>
    <s v="Product_97"/>
    <n v="4861.6499999999996"/>
    <n v="-1031.27"/>
    <n v="0.02"/>
    <x v="0"/>
    <n v="-0.21212345602830315"/>
    <x v="3"/>
    <n v="2022"/>
  </r>
  <r>
    <s v="O01328"/>
    <d v="2023-06-11T00:00:00"/>
    <x v="136"/>
    <x v="3"/>
    <x v="1"/>
    <s v="Phones"/>
    <s v="Product_363"/>
    <n v="1768.21"/>
    <n v="29.99"/>
    <n v="0.24"/>
    <x v="1"/>
    <n v="1.6960655125805191E-2"/>
    <x v="8"/>
    <n v="2023"/>
  </r>
  <r>
    <s v="O01329"/>
    <d v="2022-08-13T00:00:00"/>
    <x v="435"/>
    <x v="2"/>
    <x v="1"/>
    <s v="Copiers"/>
    <s v="Product_500"/>
    <n v="854.59"/>
    <n v="169.61"/>
    <n v="0.15"/>
    <x v="1"/>
    <n v="0.19846944148656082"/>
    <x v="3"/>
    <n v="2022"/>
  </r>
  <r>
    <s v="O01330"/>
    <d v="2022-10-12T00:00:00"/>
    <x v="19"/>
    <x v="1"/>
    <x v="1"/>
    <s v="Copiers"/>
    <s v="Product_352"/>
    <n v="2615.9699999999998"/>
    <n v="-829.86"/>
    <n v="0.23"/>
    <x v="0"/>
    <n v="-0.31722840858266727"/>
    <x v="5"/>
    <n v="2022"/>
  </r>
  <r>
    <s v="O01331"/>
    <d v="2022-04-23T00:00:00"/>
    <x v="175"/>
    <x v="0"/>
    <x v="1"/>
    <s v="Copiers"/>
    <s v="Product_458"/>
    <n v="3277.08"/>
    <n v="936.32"/>
    <n v="0.04"/>
    <x v="1"/>
    <n v="0.28571777313950225"/>
    <x v="0"/>
    <n v="2022"/>
  </r>
  <r>
    <s v="O01332"/>
    <d v="2022-12-27T00:00:00"/>
    <x v="109"/>
    <x v="0"/>
    <x v="1"/>
    <s v="Phones"/>
    <s v="Product_475"/>
    <n v="1407.11"/>
    <n v="-30.21"/>
    <n v="0.14000000000000001"/>
    <x v="0"/>
    <n v="-2.1469536852129545E-2"/>
    <x v="4"/>
    <n v="2022"/>
  </r>
  <r>
    <s v="O01333"/>
    <d v="2023-03-18T00:00:00"/>
    <x v="31"/>
    <x v="3"/>
    <x v="0"/>
    <s v="Binders"/>
    <s v="Product_28"/>
    <n v="1836.69"/>
    <n v="-40.119999999999997"/>
    <n v="0.06"/>
    <x v="0"/>
    <n v="-2.1843642639748678E-2"/>
    <x v="6"/>
    <n v="2023"/>
  </r>
  <r>
    <s v="O01334"/>
    <d v="2023-03-09T00:00:00"/>
    <x v="165"/>
    <x v="3"/>
    <x v="1"/>
    <s v="Accessories"/>
    <s v="Product_97"/>
    <n v="1911.93"/>
    <n v="37.31"/>
    <n v="0.01"/>
    <x v="1"/>
    <n v="1.9514312762496537E-2"/>
    <x v="6"/>
    <n v="2023"/>
  </r>
  <r>
    <s v="O01335"/>
    <d v="2023-03-20T00:00:00"/>
    <x v="271"/>
    <x v="0"/>
    <x v="1"/>
    <s v="Phones"/>
    <s v="Product_331"/>
    <n v="3010.84"/>
    <n v="-192.18"/>
    <n v="0.16"/>
    <x v="0"/>
    <n v="-6.3829363234180495E-2"/>
    <x v="6"/>
    <n v="2023"/>
  </r>
  <r>
    <s v="O01336"/>
    <d v="2022-09-30T00:00:00"/>
    <x v="106"/>
    <x v="0"/>
    <x v="2"/>
    <s v="Chairs"/>
    <s v="Product_273"/>
    <n v="1175.94"/>
    <n v="-233.53"/>
    <n v="0.02"/>
    <x v="0"/>
    <n v="-0.19859006411891764"/>
    <x v="7"/>
    <n v="2022"/>
  </r>
  <r>
    <s v="O01337"/>
    <d v="2023-02-06T00:00:00"/>
    <x v="452"/>
    <x v="0"/>
    <x v="2"/>
    <s v="Tables"/>
    <s v="Product_113"/>
    <n v="1209.68"/>
    <n v="47.78"/>
    <n v="0.19"/>
    <x v="1"/>
    <n v="3.9498049070828649E-2"/>
    <x v="10"/>
    <n v="2023"/>
  </r>
  <r>
    <s v="O01338"/>
    <d v="2022-12-22T00:00:00"/>
    <x v="487"/>
    <x v="3"/>
    <x v="0"/>
    <s v="Storage"/>
    <s v="Product_362"/>
    <n v="1414.51"/>
    <n v="299.08"/>
    <n v="0.06"/>
    <x v="1"/>
    <n v="0.21143717612459437"/>
    <x v="4"/>
    <n v="2022"/>
  </r>
  <r>
    <s v="O01339"/>
    <d v="2023-12-19T00:00:00"/>
    <x v="653"/>
    <x v="2"/>
    <x v="0"/>
    <s v="Paper"/>
    <s v="Product_379"/>
    <n v="3696.02"/>
    <n v="265.91000000000003"/>
    <n v="0.03"/>
    <x v="1"/>
    <n v="7.1944957007808411E-2"/>
    <x v="4"/>
    <n v="2023"/>
  </r>
  <r>
    <s v="O01340"/>
    <d v="2022-07-11T00:00:00"/>
    <x v="654"/>
    <x v="2"/>
    <x v="1"/>
    <s v="Copiers"/>
    <s v="Product_73"/>
    <n v="1269.24"/>
    <n v="-315.19"/>
    <n v="0.09"/>
    <x v="0"/>
    <n v="-0.24832970911726701"/>
    <x v="2"/>
    <n v="2022"/>
  </r>
  <r>
    <s v="O01341"/>
    <d v="2022-09-28T00:00:00"/>
    <x v="655"/>
    <x v="1"/>
    <x v="2"/>
    <s v="Bookcases"/>
    <s v="Product_348"/>
    <n v="2425.54"/>
    <n v="-469.32"/>
    <n v="0.1"/>
    <x v="0"/>
    <n v="-0.19349093397758849"/>
    <x v="7"/>
    <n v="2022"/>
  </r>
  <r>
    <s v="O01342"/>
    <d v="2022-09-11T00:00:00"/>
    <x v="656"/>
    <x v="0"/>
    <x v="2"/>
    <s v="Bookcases"/>
    <s v="Product_24"/>
    <n v="1825.5"/>
    <n v="-619.57000000000005"/>
    <n v="0.14000000000000001"/>
    <x v="0"/>
    <n v="-0.33939742536291428"/>
    <x v="7"/>
    <n v="2022"/>
  </r>
  <r>
    <s v="O01343"/>
    <d v="2023-05-31T00:00:00"/>
    <x v="395"/>
    <x v="1"/>
    <x v="2"/>
    <s v="Bookcases"/>
    <s v="Product_397"/>
    <n v="3432.23"/>
    <n v="-525.23"/>
    <n v="0.09"/>
    <x v="0"/>
    <n v="-0.15302878886321722"/>
    <x v="11"/>
    <n v="2023"/>
  </r>
  <r>
    <s v="O01344"/>
    <d v="2022-12-26T00:00:00"/>
    <x v="195"/>
    <x v="3"/>
    <x v="2"/>
    <s v="Chairs"/>
    <s v="Product_340"/>
    <n v="1592.55"/>
    <n v="-236.38"/>
    <n v="0.22"/>
    <x v="0"/>
    <n v="-0.14842862076543908"/>
    <x v="4"/>
    <n v="2022"/>
  </r>
  <r>
    <s v="O01345"/>
    <d v="2023-12-29T00:00:00"/>
    <x v="493"/>
    <x v="2"/>
    <x v="1"/>
    <s v="Accessories"/>
    <s v="Product_58"/>
    <n v="1885.02"/>
    <n v="21.82"/>
    <n v="0"/>
    <x v="1"/>
    <n v="1.157547400027586E-2"/>
    <x v="4"/>
    <n v="2023"/>
  </r>
  <r>
    <s v="O01346"/>
    <d v="2023-02-25T00:00:00"/>
    <x v="625"/>
    <x v="1"/>
    <x v="1"/>
    <s v="Copiers"/>
    <s v="Product_183"/>
    <n v="2644.61"/>
    <n v="-796.71"/>
    <n v="0.19"/>
    <x v="0"/>
    <n v="-0.30125803048464611"/>
    <x v="10"/>
    <n v="2023"/>
  </r>
  <r>
    <s v="O01347"/>
    <d v="2023-01-04T00:00:00"/>
    <x v="287"/>
    <x v="0"/>
    <x v="1"/>
    <s v="Phones"/>
    <s v="Product_100"/>
    <n v="1297.4000000000001"/>
    <n v="212.74"/>
    <n v="0.22"/>
    <x v="1"/>
    <n v="0.16397410205025434"/>
    <x v="1"/>
    <n v="2023"/>
  </r>
  <r>
    <s v="O01348"/>
    <d v="2023-07-12T00:00:00"/>
    <x v="555"/>
    <x v="1"/>
    <x v="1"/>
    <s v="Copiers"/>
    <s v="Product_136"/>
    <n v="628.87"/>
    <n v="60.46"/>
    <n v="0.08"/>
    <x v="1"/>
    <n v="9.6140696805381079E-2"/>
    <x v="2"/>
    <n v="2023"/>
  </r>
  <r>
    <s v="O01349"/>
    <d v="2022-10-10T00:00:00"/>
    <x v="415"/>
    <x v="1"/>
    <x v="0"/>
    <s v="Paper"/>
    <s v="Product_22"/>
    <n v="4451.18"/>
    <n v="-309.91000000000003"/>
    <n v="0.12"/>
    <x v="0"/>
    <n v="-6.9624234472656685E-2"/>
    <x v="5"/>
    <n v="2022"/>
  </r>
  <r>
    <s v="O01350"/>
    <d v="2023-04-11T00:00:00"/>
    <x v="382"/>
    <x v="3"/>
    <x v="0"/>
    <s v="Storage"/>
    <s v="Product_148"/>
    <n v="3538.99"/>
    <n v="-1331.45"/>
    <n v="0.25"/>
    <x v="0"/>
    <n v="-0.37622315971505998"/>
    <x v="0"/>
    <n v="2023"/>
  </r>
  <r>
    <s v="O01351"/>
    <d v="2022-06-03T00:00:00"/>
    <x v="158"/>
    <x v="3"/>
    <x v="2"/>
    <s v="Chairs"/>
    <s v="Product_320"/>
    <n v="2544.7399999999998"/>
    <n v="-331.35"/>
    <n v="0.21"/>
    <x v="0"/>
    <n v="-0.13020976602717765"/>
    <x v="8"/>
    <n v="2022"/>
  </r>
  <r>
    <s v="O01352"/>
    <d v="2022-10-29T00:00:00"/>
    <x v="657"/>
    <x v="2"/>
    <x v="0"/>
    <s v="Storage"/>
    <s v="Product_21"/>
    <n v="896.77"/>
    <n v="-279.10000000000002"/>
    <n v="0.15"/>
    <x v="0"/>
    <n v="-0.31122807408811626"/>
    <x v="5"/>
    <n v="2022"/>
  </r>
  <r>
    <s v="O01353"/>
    <d v="2022-01-06T00:00:00"/>
    <x v="42"/>
    <x v="3"/>
    <x v="2"/>
    <s v="Tables"/>
    <s v="Product_339"/>
    <n v="4144.8100000000004"/>
    <n v="219.76"/>
    <n v="0.04"/>
    <x v="1"/>
    <n v="5.3020524463123754E-2"/>
    <x v="1"/>
    <n v="2022"/>
  </r>
  <r>
    <s v="O01354"/>
    <d v="2023-05-30T00:00:00"/>
    <x v="658"/>
    <x v="1"/>
    <x v="2"/>
    <s v="Chairs"/>
    <s v="Product_489"/>
    <n v="1332.02"/>
    <n v="-186.54"/>
    <n v="0.11"/>
    <x v="0"/>
    <n v="-0.14004294229816369"/>
    <x v="11"/>
    <n v="2023"/>
  </r>
  <r>
    <s v="O01355"/>
    <d v="2023-08-23T00:00:00"/>
    <x v="62"/>
    <x v="3"/>
    <x v="2"/>
    <s v="Bookcases"/>
    <s v="Product_113"/>
    <n v="1426.28"/>
    <n v="-544.79"/>
    <n v="0.3"/>
    <x v="0"/>
    <n v="-0.38196567293939476"/>
    <x v="3"/>
    <n v="2023"/>
  </r>
  <r>
    <s v="O01356"/>
    <d v="2023-01-31T00:00:00"/>
    <x v="659"/>
    <x v="2"/>
    <x v="2"/>
    <s v="Tables"/>
    <s v="Product_496"/>
    <n v="4671.38"/>
    <n v="640.45000000000005"/>
    <n v="7.0000000000000007E-2"/>
    <x v="1"/>
    <n v="0.13710081389225454"/>
    <x v="1"/>
    <n v="2023"/>
  </r>
  <r>
    <s v="O01357"/>
    <d v="2023-03-23T00:00:00"/>
    <x v="604"/>
    <x v="3"/>
    <x v="2"/>
    <s v="Tables"/>
    <s v="Product_412"/>
    <n v="4608.95"/>
    <n v="-1272.1600000000001"/>
    <n v="0.18"/>
    <x v="0"/>
    <n v="-0.27601948383037356"/>
    <x v="6"/>
    <n v="2023"/>
  </r>
  <r>
    <s v="O01358"/>
    <d v="2023-07-22T00:00:00"/>
    <x v="647"/>
    <x v="3"/>
    <x v="0"/>
    <s v="Binders"/>
    <s v="Product_157"/>
    <n v="3448.27"/>
    <n v="-615.80999999999995"/>
    <n v="0.06"/>
    <x v="0"/>
    <n v="-0.17858520359484609"/>
    <x v="2"/>
    <n v="2023"/>
  </r>
  <r>
    <s v="O01359"/>
    <d v="2023-01-20T00:00:00"/>
    <x v="483"/>
    <x v="0"/>
    <x v="2"/>
    <s v="Tables"/>
    <s v="Product_71"/>
    <n v="2876.66"/>
    <n v="-179.8"/>
    <n v="0.19"/>
    <x v="0"/>
    <n v="-6.2503041721997041E-2"/>
    <x v="1"/>
    <n v="2023"/>
  </r>
  <r>
    <s v="O01360"/>
    <d v="2023-01-02T00:00:00"/>
    <x v="91"/>
    <x v="3"/>
    <x v="0"/>
    <s v="Paper"/>
    <s v="Product_219"/>
    <n v="3501.25"/>
    <n v="213.92"/>
    <n v="0.15"/>
    <x v="1"/>
    <n v="6.1098179221706531E-2"/>
    <x v="1"/>
    <n v="2023"/>
  </r>
  <r>
    <s v="O01361"/>
    <d v="2022-01-28T00:00:00"/>
    <x v="591"/>
    <x v="2"/>
    <x v="1"/>
    <s v="Accessories"/>
    <s v="Product_46"/>
    <n v="4811.09"/>
    <n v="998.47"/>
    <n v="0.14000000000000001"/>
    <x v="1"/>
    <n v="0.20753509080062937"/>
    <x v="1"/>
    <n v="2022"/>
  </r>
  <r>
    <s v="O01362"/>
    <d v="2023-01-18T00:00:00"/>
    <x v="162"/>
    <x v="3"/>
    <x v="2"/>
    <s v="Bookcases"/>
    <s v="Product_28"/>
    <n v="4543.5600000000004"/>
    <n v="-417.13"/>
    <n v="0.24"/>
    <x v="0"/>
    <n v="-9.1806865101374244E-2"/>
    <x v="1"/>
    <n v="2023"/>
  </r>
  <r>
    <s v="O01363"/>
    <d v="2023-06-15T00:00:00"/>
    <x v="632"/>
    <x v="0"/>
    <x v="1"/>
    <s v="Phones"/>
    <s v="Product_44"/>
    <n v="2074.42"/>
    <n v="590.15"/>
    <n v="0"/>
    <x v="1"/>
    <n v="0.28448915841536426"/>
    <x v="8"/>
    <n v="2023"/>
  </r>
  <r>
    <s v="O01364"/>
    <d v="2022-04-10T00:00:00"/>
    <x v="210"/>
    <x v="2"/>
    <x v="2"/>
    <s v="Tables"/>
    <s v="Product_354"/>
    <n v="4166.4799999999996"/>
    <n v="-791.26"/>
    <n v="0.19"/>
    <x v="0"/>
    <n v="-0.1899109080086788"/>
    <x v="0"/>
    <n v="2022"/>
  </r>
  <r>
    <s v="O01365"/>
    <d v="2022-02-24T00:00:00"/>
    <x v="299"/>
    <x v="1"/>
    <x v="1"/>
    <s v="Phones"/>
    <s v="Product_265"/>
    <n v="695.07"/>
    <n v="-51.09"/>
    <n v="0.18"/>
    <x v="0"/>
    <n v="-7.3503388147956317E-2"/>
    <x v="10"/>
    <n v="2022"/>
  </r>
  <r>
    <s v="O01366"/>
    <d v="2023-11-23T00:00:00"/>
    <x v="8"/>
    <x v="1"/>
    <x v="2"/>
    <s v="Bookcases"/>
    <s v="Product_155"/>
    <n v="3728.08"/>
    <n v="-804.79"/>
    <n v="0.15"/>
    <x v="0"/>
    <n v="-0.21587251346537628"/>
    <x v="9"/>
    <n v="2023"/>
  </r>
  <r>
    <s v="O01367"/>
    <d v="2023-10-01T00:00:00"/>
    <x v="660"/>
    <x v="1"/>
    <x v="0"/>
    <s v="Paper"/>
    <s v="Product_59"/>
    <n v="3623.8"/>
    <n v="12.21"/>
    <n v="0.28000000000000003"/>
    <x v="1"/>
    <n v="3.3693912467575473E-3"/>
    <x v="5"/>
    <n v="2023"/>
  </r>
  <r>
    <s v="O01368"/>
    <d v="2022-09-11T00:00:00"/>
    <x v="661"/>
    <x v="0"/>
    <x v="2"/>
    <s v="Chairs"/>
    <s v="Product_243"/>
    <n v="849.81"/>
    <n v="-125.86"/>
    <n v="0.26"/>
    <x v="0"/>
    <n v="-0.14810369376684202"/>
    <x v="7"/>
    <n v="2022"/>
  </r>
  <r>
    <s v="O01369"/>
    <d v="2023-02-19T00:00:00"/>
    <x v="105"/>
    <x v="1"/>
    <x v="2"/>
    <s v="Bookcases"/>
    <s v="Product_420"/>
    <n v="2274.6999999999998"/>
    <n v="-334.18"/>
    <n v="0.02"/>
    <x v="0"/>
    <n v="-0.14691168066118609"/>
    <x v="10"/>
    <n v="2023"/>
  </r>
  <r>
    <s v="O01370"/>
    <d v="2023-11-05T00:00:00"/>
    <x v="530"/>
    <x v="0"/>
    <x v="2"/>
    <s v="Bookcases"/>
    <s v="Product_222"/>
    <n v="1375.33"/>
    <n v="-160.26"/>
    <n v="0.18"/>
    <x v="0"/>
    <n v="-0.11652476133000807"/>
    <x v="9"/>
    <n v="2023"/>
  </r>
  <r>
    <s v="O01371"/>
    <d v="2022-09-04T00:00:00"/>
    <x v="662"/>
    <x v="1"/>
    <x v="2"/>
    <s v="Bookcases"/>
    <s v="Product_244"/>
    <n v="206.12"/>
    <n v="42.62"/>
    <n v="0.04"/>
    <x v="1"/>
    <n v="0.20677275373568793"/>
    <x v="7"/>
    <n v="2022"/>
  </r>
  <r>
    <s v="O01372"/>
    <d v="2023-01-12T00:00:00"/>
    <x v="187"/>
    <x v="3"/>
    <x v="1"/>
    <s v="Accessories"/>
    <s v="Product_201"/>
    <n v="1518.3"/>
    <n v="187.14"/>
    <n v="0.03"/>
    <x v="1"/>
    <n v="0.12325627346374234"/>
    <x v="1"/>
    <n v="2023"/>
  </r>
  <r>
    <s v="O01373"/>
    <d v="2022-06-01T00:00:00"/>
    <x v="316"/>
    <x v="3"/>
    <x v="1"/>
    <s v="Copiers"/>
    <s v="Product_235"/>
    <n v="4019.29"/>
    <n v="595.24"/>
    <n v="0.14000000000000001"/>
    <x v="1"/>
    <n v="0.14809580796608357"/>
    <x v="8"/>
    <n v="2022"/>
  </r>
  <r>
    <s v="O01374"/>
    <d v="2023-10-29T00:00:00"/>
    <x v="663"/>
    <x v="2"/>
    <x v="2"/>
    <s v="Bookcases"/>
    <s v="Product_22"/>
    <n v="2008.2"/>
    <n v="-701.97"/>
    <n v="0.17"/>
    <x v="0"/>
    <n v="-0.34955183746638779"/>
    <x v="5"/>
    <n v="2023"/>
  </r>
  <r>
    <s v="O01375"/>
    <d v="2022-06-12T00:00:00"/>
    <x v="664"/>
    <x v="1"/>
    <x v="1"/>
    <s v="Phones"/>
    <s v="Product_179"/>
    <n v="2392.7399999999998"/>
    <n v="-607.41999999999996"/>
    <n v="0.22"/>
    <x v="0"/>
    <n v="-0.25385959193226176"/>
    <x v="8"/>
    <n v="2022"/>
  </r>
  <r>
    <s v="O01376"/>
    <d v="2022-12-27T00:00:00"/>
    <x v="665"/>
    <x v="3"/>
    <x v="0"/>
    <s v="Storage"/>
    <s v="Product_236"/>
    <n v="2014.06"/>
    <n v="349.54"/>
    <n v="0.02"/>
    <x v="1"/>
    <n v="0.17354994389442222"/>
    <x v="4"/>
    <n v="2022"/>
  </r>
  <r>
    <s v="O01377"/>
    <d v="2023-02-08T00:00:00"/>
    <x v="527"/>
    <x v="2"/>
    <x v="0"/>
    <s v="Binders"/>
    <s v="Product_193"/>
    <n v="1463.87"/>
    <n v="-363.39"/>
    <n v="0.23"/>
    <x v="0"/>
    <n v="-0.2482392562181068"/>
    <x v="10"/>
    <n v="2023"/>
  </r>
  <r>
    <s v="O01378"/>
    <d v="2023-11-06T00:00:00"/>
    <x v="666"/>
    <x v="3"/>
    <x v="1"/>
    <s v="Copiers"/>
    <s v="Product_67"/>
    <n v="3328.96"/>
    <n v="620.67999999999995"/>
    <n v="0.17"/>
    <x v="1"/>
    <n v="0.18644862059021433"/>
    <x v="9"/>
    <n v="2023"/>
  </r>
  <r>
    <s v="O01379"/>
    <d v="2023-02-18T00:00:00"/>
    <x v="527"/>
    <x v="0"/>
    <x v="0"/>
    <s v="Paper"/>
    <s v="Product_16"/>
    <n v="2985.38"/>
    <n v="-57.63"/>
    <n v="0.17"/>
    <x v="0"/>
    <n v="-1.9304075193107745E-2"/>
    <x v="10"/>
    <n v="2023"/>
  </r>
  <r>
    <s v="O01380"/>
    <d v="2023-11-27T00:00:00"/>
    <x v="132"/>
    <x v="3"/>
    <x v="0"/>
    <s v="Binders"/>
    <s v="Product_390"/>
    <n v="1235.3499999999999"/>
    <n v="-123.95"/>
    <n v="0.2"/>
    <x v="0"/>
    <n v="-0.10033593718379408"/>
    <x v="9"/>
    <n v="2023"/>
  </r>
  <r>
    <s v="O01381"/>
    <d v="2023-01-29T00:00:00"/>
    <x v="145"/>
    <x v="2"/>
    <x v="2"/>
    <s v="Bookcases"/>
    <s v="Product_473"/>
    <n v="3998.46"/>
    <n v="1193.3499999999999"/>
    <n v="0.03"/>
    <x v="1"/>
    <n v="0.29845240417560759"/>
    <x v="1"/>
    <n v="2023"/>
  </r>
  <r>
    <s v="O01382"/>
    <d v="2022-03-16T00:00:00"/>
    <x v="53"/>
    <x v="3"/>
    <x v="2"/>
    <s v="Chairs"/>
    <s v="Product_311"/>
    <n v="3098.33"/>
    <n v="861.59"/>
    <n v="0.03"/>
    <x v="1"/>
    <n v="0.27808206356327442"/>
    <x v="6"/>
    <n v="2022"/>
  </r>
  <r>
    <s v="O01383"/>
    <d v="2023-01-22T00:00:00"/>
    <x v="224"/>
    <x v="1"/>
    <x v="0"/>
    <s v="Binders"/>
    <s v="Product_101"/>
    <n v="4625.3999999999996"/>
    <n v="551.51"/>
    <n v="0.1"/>
    <x v="1"/>
    <n v="0.11923509318113029"/>
    <x v="1"/>
    <n v="2023"/>
  </r>
  <r>
    <s v="O01384"/>
    <d v="2022-06-15T00:00:00"/>
    <x v="427"/>
    <x v="1"/>
    <x v="1"/>
    <s v="Accessories"/>
    <s v="Product_45"/>
    <n v="2243.8200000000002"/>
    <n v="-379.84"/>
    <n v="0.09"/>
    <x v="0"/>
    <n v="-0.16928274103983385"/>
    <x v="8"/>
    <n v="2022"/>
  </r>
  <r>
    <s v="O01385"/>
    <d v="2022-05-24T00:00:00"/>
    <x v="549"/>
    <x v="3"/>
    <x v="0"/>
    <s v="Binders"/>
    <s v="Product_397"/>
    <n v="3182.67"/>
    <n v="-884.39"/>
    <n v="0.2"/>
    <x v="0"/>
    <n v="-0.27787675128115702"/>
    <x v="11"/>
    <n v="2022"/>
  </r>
  <r>
    <s v="O01386"/>
    <d v="2023-10-20T00:00:00"/>
    <x v="171"/>
    <x v="2"/>
    <x v="1"/>
    <s v="Copiers"/>
    <s v="Product_98"/>
    <n v="2778.25"/>
    <n v="-302.32"/>
    <n v="0.02"/>
    <x v="0"/>
    <n v="-0.10881670116080266"/>
    <x v="5"/>
    <n v="2023"/>
  </r>
  <r>
    <s v="O01387"/>
    <d v="2023-07-27T00:00:00"/>
    <x v="667"/>
    <x v="0"/>
    <x v="2"/>
    <s v="Bookcases"/>
    <s v="Product_225"/>
    <n v="4155.12"/>
    <n v="-565.54999999999995"/>
    <n v="0.15"/>
    <x v="0"/>
    <n v="-0.13610918577562139"/>
    <x v="2"/>
    <n v="2023"/>
  </r>
  <r>
    <s v="O01388"/>
    <d v="2023-06-14T00:00:00"/>
    <x v="463"/>
    <x v="0"/>
    <x v="1"/>
    <s v="Copiers"/>
    <s v="Product_61"/>
    <n v="1942.98"/>
    <n v="-336.36"/>
    <n v="0.02"/>
    <x v="0"/>
    <n v="-0.17311552357718557"/>
    <x v="8"/>
    <n v="2023"/>
  </r>
  <r>
    <s v="O01389"/>
    <d v="2022-10-24T00:00:00"/>
    <x v="264"/>
    <x v="2"/>
    <x v="1"/>
    <s v="Phones"/>
    <s v="Product_361"/>
    <n v="352.25"/>
    <n v="-122.05"/>
    <n v="0.16"/>
    <x v="0"/>
    <n v="-0.34648687012065293"/>
    <x v="5"/>
    <n v="2022"/>
  </r>
  <r>
    <s v="O01390"/>
    <d v="2023-07-02T00:00:00"/>
    <x v="400"/>
    <x v="1"/>
    <x v="1"/>
    <s v="Phones"/>
    <s v="Product_437"/>
    <n v="4374.97"/>
    <n v="-337.57"/>
    <n v="0.05"/>
    <x v="0"/>
    <n v="-7.7159386235791327E-2"/>
    <x v="2"/>
    <n v="2023"/>
  </r>
  <r>
    <s v="O01391"/>
    <d v="2023-12-16T00:00:00"/>
    <x v="651"/>
    <x v="2"/>
    <x v="0"/>
    <s v="Storage"/>
    <s v="Product_480"/>
    <n v="2550.23"/>
    <n v="-729.39"/>
    <n v="0.12"/>
    <x v="0"/>
    <n v="-0.28600949718260704"/>
    <x v="4"/>
    <n v="2023"/>
  </r>
  <r>
    <s v="O01392"/>
    <d v="2022-12-09T00:00:00"/>
    <x v="379"/>
    <x v="0"/>
    <x v="1"/>
    <s v="Copiers"/>
    <s v="Product_72"/>
    <n v="246.89"/>
    <n v="-35.42"/>
    <n v="0.1"/>
    <x v="0"/>
    <n v="-0.14346470087893395"/>
    <x v="4"/>
    <n v="2022"/>
  </r>
  <r>
    <s v="O01393"/>
    <d v="2022-03-05T00:00:00"/>
    <x v="538"/>
    <x v="2"/>
    <x v="2"/>
    <s v="Bookcases"/>
    <s v="Product_38"/>
    <n v="4102.1400000000003"/>
    <n v="633.4"/>
    <n v="0.1"/>
    <x v="1"/>
    <n v="0.1544072118455245"/>
    <x v="6"/>
    <n v="2022"/>
  </r>
  <r>
    <s v="O01394"/>
    <d v="2022-03-14T00:00:00"/>
    <x v="352"/>
    <x v="0"/>
    <x v="0"/>
    <s v="Storage"/>
    <s v="Product_455"/>
    <n v="3545.15"/>
    <n v="-1449.2"/>
    <n v="0.23"/>
    <x v="0"/>
    <n v="-0.40878383143167424"/>
    <x v="6"/>
    <n v="2022"/>
  </r>
  <r>
    <s v="O01395"/>
    <d v="2022-02-06T00:00:00"/>
    <x v="313"/>
    <x v="1"/>
    <x v="0"/>
    <s v="Paper"/>
    <s v="Product_333"/>
    <n v="4738.34"/>
    <n v="-1208.07"/>
    <n v="0.08"/>
    <x v="0"/>
    <n v="-0.25495637712785491"/>
    <x v="10"/>
    <n v="2022"/>
  </r>
  <r>
    <s v="O01396"/>
    <d v="2022-08-22T00:00:00"/>
    <x v="503"/>
    <x v="0"/>
    <x v="1"/>
    <s v="Accessories"/>
    <s v="Product_14"/>
    <n v="2440.1999999999998"/>
    <n v="233.94"/>
    <n v="0.23"/>
    <x v="1"/>
    <n v="9.5869191049913954E-2"/>
    <x v="3"/>
    <n v="2022"/>
  </r>
  <r>
    <s v="O01397"/>
    <d v="2022-01-19T00:00:00"/>
    <x v="87"/>
    <x v="2"/>
    <x v="2"/>
    <s v="Bookcases"/>
    <s v="Product_27"/>
    <n v="3079.88"/>
    <n v="308.47000000000003"/>
    <n v="0.11"/>
    <x v="1"/>
    <n v="0.10015649960388068"/>
    <x v="1"/>
    <n v="2022"/>
  </r>
  <r>
    <s v="O01398"/>
    <d v="2022-05-22T00:00:00"/>
    <x v="668"/>
    <x v="2"/>
    <x v="1"/>
    <s v="Accessories"/>
    <s v="Product_61"/>
    <n v="3507.66"/>
    <n v="-259.22000000000003"/>
    <n v="0.13"/>
    <x v="0"/>
    <n v="-7.3901119264694989E-2"/>
    <x v="11"/>
    <n v="2022"/>
  </r>
  <r>
    <s v="O01399"/>
    <d v="2022-09-01T00:00:00"/>
    <x v="626"/>
    <x v="0"/>
    <x v="0"/>
    <s v="Paper"/>
    <s v="Product_302"/>
    <n v="1823.77"/>
    <n v="457.48"/>
    <n v="0.1"/>
    <x v="1"/>
    <n v="0.25084303393520019"/>
    <x v="7"/>
    <n v="2022"/>
  </r>
  <r>
    <s v="O01400"/>
    <d v="2023-07-04T00:00:00"/>
    <x v="532"/>
    <x v="0"/>
    <x v="2"/>
    <s v="Chairs"/>
    <s v="Product_411"/>
    <n v="2124.02"/>
    <n v="116.06"/>
    <n v="0.23"/>
    <x v="1"/>
    <n v="5.4641670040771743E-2"/>
    <x v="2"/>
    <n v="2023"/>
  </r>
  <r>
    <s v="O01401"/>
    <d v="2023-03-26T00:00:00"/>
    <x v="535"/>
    <x v="3"/>
    <x v="2"/>
    <s v="Bookcases"/>
    <s v="Product_23"/>
    <n v="1324.62"/>
    <n v="-246.39"/>
    <n v="0.02"/>
    <x v="0"/>
    <n v="-0.18600806268967704"/>
    <x v="6"/>
    <n v="2023"/>
  </r>
  <r>
    <s v="O01402"/>
    <d v="2022-05-13T00:00:00"/>
    <x v="118"/>
    <x v="2"/>
    <x v="1"/>
    <s v="Accessories"/>
    <s v="Product_246"/>
    <n v="3051.84"/>
    <n v="393.24"/>
    <n v="0.27"/>
    <x v="1"/>
    <n v="0.12885341302296319"/>
    <x v="11"/>
    <n v="2022"/>
  </r>
  <r>
    <s v="O01403"/>
    <d v="2022-07-30T00:00:00"/>
    <x v="480"/>
    <x v="3"/>
    <x v="0"/>
    <s v="Binders"/>
    <s v="Product_460"/>
    <n v="3317.29"/>
    <n v="1137.9000000000001"/>
    <n v="0.02"/>
    <x v="1"/>
    <n v="0.343020959879902"/>
    <x v="2"/>
    <n v="2022"/>
  </r>
  <r>
    <s v="O01404"/>
    <d v="2022-10-27T00:00:00"/>
    <x v="231"/>
    <x v="1"/>
    <x v="2"/>
    <s v="Tables"/>
    <s v="Product_270"/>
    <n v="3594.36"/>
    <n v="-42.68"/>
    <n v="0.28000000000000003"/>
    <x v="0"/>
    <n v="-1.1874158403721385E-2"/>
    <x v="5"/>
    <n v="2022"/>
  </r>
  <r>
    <s v="O01405"/>
    <d v="2023-02-25T00:00:00"/>
    <x v="209"/>
    <x v="2"/>
    <x v="1"/>
    <s v="Accessories"/>
    <s v="Product_144"/>
    <n v="3519.08"/>
    <n v="-1117.67"/>
    <n v="0.15"/>
    <x v="0"/>
    <n v="-0.31760289621150983"/>
    <x v="10"/>
    <n v="2023"/>
  </r>
  <r>
    <s v="O01406"/>
    <d v="2022-11-09T00:00:00"/>
    <x v="593"/>
    <x v="1"/>
    <x v="2"/>
    <s v="Chairs"/>
    <s v="Product_63"/>
    <n v="4569.04"/>
    <n v="-627.79999999999995"/>
    <n v="0.25"/>
    <x v="0"/>
    <n v="-0.13740304309001453"/>
    <x v="9"/>
    <n v="2022"/>
  </r>
  <r>
    <s v="O01407"/>
    <d v="2023-12-17T00:00:00"/>
    <x v="294"/>
    <x v="2"/>
    <x v="1"/>
    <s v="Copiers"/>
    <s v="Product_488"/>
    <n v="4100.26"/>
    <n v="1421.75"/>
    <n v="0.04"/>
    <x v="1"/>
    <n v="0.34674630389292382"/>
    <x v="4"/>
    <n v="2023"/>
  </r>
  <r>
    <s v="O01408"/>
    <d v="2023-01-29T00:00:00"/>
    <x v="34"/>
    <x v="0"/>
    <x v="2"/>
    <s v="Chairs"/>
    <s v="Product_31"/>
    <n v="2544.65"/>
    <n v="-109.98"/>
    <n v="0.01"/>
    <x v="0"/>
    <n v="-4.3220089206767141E-2"/>
    <x v="1"/>
    <n v="2023"/>
  </r>
  <r>
    <s v="O01409"/>
    <d v="2023-03-31T00:00:00"/>
    <x v="499"/>
    <x v="1"/>
    <x v="1"/>
    <s v="Copiers"/>
    <s v="Product_106"/>
    <n v="1981.29"/>
    <n v="38.74"/>
    <n v="0.01"/>
    <x v="1"/>
    <n v="1.9552917543620572E-2"/>
    <x v="6"/>
    <n v="2023"/>
  </r>
  <r>
    <s v="O01410"/>
    <d v="2022-02-02T00:00:00"/>
    <x v="434"/>
    <x v="3"/>
    <x v="1"/>
    <s v="Phones"/>
    <s v="Product_480"/>
    <n v="3333.64"/>
    <n v="120.82"/>
    <n v="0.16"/>
    <x v="1"/>
    <n v="3.6242665674757923E-2"/>
    <x v="10"/>
    <n v="2022"/>
  </r>
  <r>
    <s v="O01411"/>
    <d v="2022-09-26T00:00:00"/>
    <x v="650"/>
    <x v="1"/>
    <x v="2"/>
    <s v="Bookcases"/>
    <s v="Product_388"/>
    <n v="3796.94"/>
    <n v="747.6"/>
    <n v="0.1"/>
    <x v="1"/>
    <n v="0.19689539471258435"/>
    <x v="7"/>
    <n v="2022"/>
  </r>
  <r>
    <s v="O01412"/>
    <d v="2022-02-28T00:00:00"/>
    <x v="271"/>
    <x v="2"/>
    <x v="2"/>
    <s v="Tables"/>
    <s v="Product_488"/>
    <n v="3656.35"/>
    <n v="473.3"/>
    <n v="0.19"/>
    <x v="1"/>
    <n v="0.12944603224527193"/>
    <x v="10"/>
    <n v="2022"/>
  </r>
  <r>
    <s v="O01413"/>
    <d v="2023-03-11T00:00:00"/>
    <x v="329"/>
    <x v="3"/>
    <x v="0"/>
    <s v="Storage"/>
    <s v="Product_84"/>
    <n v="1508.35"/>
    <n v="-270.20999999999998"/>
    <n v="0.3"/>
    <x v="0"/>
    <n v="-0.1791427719030729"/>
    <x v="6"/>
    <n v="2023"/>
  </r>
  <r>
    <s v="O01414"/>
    <d v="2022-01-16T00:00:00"/>
    <x v="268"/>
    <x v="3"/>
    <x v="1"/>
    <s v="Accessories"/>
    <s v="Product_44"/>
    <n v="3753.61"/>
    <n v="-1504.73"/>
    <n v="0.28000000000000003"/>
    <x v="0"/>
    <n v="-0.40087542392523462"/>
    <x v="1"/>
    <n v="2022"/>
  </r>
  <r>
    <s v="O01415"/>
    <d v="2022-10-08T00:00:00"/>
    <x v="151"/>
    <x v="3"/>
    <x v="2"/>
    <s v="Bookcases"/>
    <s v="Product_338"/>
    <n v="1549.54"/>
    <n v="-537.44000000000005"/>
    <n v="0.17"/>
    <x v="0"/>
    <n v="-0.34683841656233466"/>
    <x v="5"/>
    <n v="2022"/>
  </r>
  <r>
    <s v="O01416"/>
    <d v="2023-08-06T00:00:00"/>
    <x v="234"/>
    <x v="3"/>
    <x v="1"/>
    <s v="Copiers"/>
    <s v="Product_429"/>
    <n v="4070.27"/>
    <n v="-1243.1300000000001"/>
    <n v="0.18"/>
    <x v="0"/>
    <n v="-0.30541708535306017"/>
    <x v="3"/>
    <n v="2023"/>
  </r>
  <r>
    <s v="O01417"/>
    <d v="2022-02-07T00:00:00"/>
    <x v="551"/>
    <x v="2"/>
    <x v="1"/>
    <s v="Phones"/>
    <s v="Product_327"/>
    <n v="2274.66"/>
    <n v="-465.57"/>
    <n v="0.01"/>
    <x v="0"/>
    <n v="-0.20467674289783969"/>
    <x v="10"/>
    <n v="2022"/>
  </r>
  <r>
    <s v="O01418"/>
    <d v="2023-09-17T00:00:00"/>
    <x v="669"/>
    <x v="3"/>
    <x v="0"/>
    <s v="Binders"/>
    <s v="Product_489"/>
    <n v="2102.19"/>
    <n v="-677.48"/>
    <n v="0.17"/>
    <x v="0"/>
    <n v="-0.32227343865207236"/>
    <x v="7"/>
    <n v="2023"/>
  </r>
  <r>
    <s v="O01419"/>
    <d v="2023-05-22T00:00:00"/>
    <x v="162"/>
    <x v="1"/>
    <x v="2"/>
    <s v="Tables"/>
    <s v="Product_323"/>
    <n v="981.04"/>
    <n v="-259.3"/>
    <n v="0.23"/>
    <x v="0"/>
    <n v="-0.26431134306450299"/>
    <x v="11"/>
    <n v="2023"/>
  </r>
  <r>
    <s v="O01420"/>
    <d v="2023-11-02T00:00:00"/>
    <x v="335"/>
    <x v="1"/>
    <x v="2"/>
    <s v="Chairs"/>
    <s v="Product_351"/>
    <n v="4369.07"/>
    <n v="-1137.69"/>
    <n v="0.2"/>
    <x v="0"/>
    <n v="-0.26039637726106474"/>
    <x v="9"/>
    <n v="2023"/>
  </r>
  <r>
    <s v="O01421"/>
    <d v="2022-03-04T00:00:00"/>
    <x v="157"/>
    <x v="3"/>
    <x v="0"/>
    <s v="Paper"/>
    <s v="Product_500"/>
    <n v="2941.46"/>
    <n v="648.34"/>
    <n v="0.01"/>
    <x v="1"/>
    <n v="0.22041435205646176"/>
    <x v="6"/>
    <n v="2022"/>
  </r>
  <r>
    <s v="O01422"/>
    <d v="2022-02-15T00:00:00"/>
    <x v="344"/>
    <x v="1"/>
    <x v="1"/>
    <s v="Phones"/>
    <s v="Product_180"/>
    <n v="3424.1"/>
    <n v="-849.17"/>
    <n v="0.26"/>
    <x v="0"/>
    <n v="-0.24799801407669167"/>
    <x v="10"/>
    <n v="2022"/>
  </r>
  <r>
    <s v="O01423"/>
    <d v="2022-07-28T00:00:00"/>
    <x v="670"/>
    <x v="3"/>
    <x v="2"/>
    <s v="Chairs"/>
    <s v="Product_425"/>
    <n v="2584"/>
    <n v="-474.24"/>
    <n v="0.03"/>
    <x v="0"/>
    <n v="-0.18352941176470589"/>
    <x v="2"/>
    <n v="2022"/>
  </r>
  <r>
    <s v="O01424"/>
    <d v="2022-01-26T00:00:00"/>
    <x v="590"/>
    <x v="3"/>
    <x v="0"/>
    <s v="Paper"/>
    <s v="Product_172"/>
    <n v="449.83"/>
    <n v="-72.040000000000006"/>
    <n v="0.13"/>
    <x v="0"/>
    <n v="-0.16014938976946849"/>
    <x v="1"/>
    <n v="2022"/>
  </r>
  <r>
    <s v="O01425"/>
    <d v="2022-02-01T00:00:00"/>
    <x v="504"/>
    <x v="3"/>
    <x v="1"/>
    <s v="Copiers"/>
    <s v="Product_23"/>
    <n v="1936.11"/>
    <n v="-587.73"/>
    <n v="0.28000000000000003"/>
    <x v="0"/>
    <n v="-0.30356229759672748"/>
    <x v="10"/>
    <n v="2022"/>
  </r>
  <r>
    <s v="O01426"/>
    <d v="2022-11-17T00:00:00"/>
    <x v="50"/>
    <x v="3"/>
    <x v="1"/>
    <s v="Phones"/>
    <s v="Product_482"/>
    <n v="4568.18"/>
    <n v="710"/>
    <n v="0.01"/>
    <x v="1"/>
    <n v="0.15542294743201887"/>
    <x v="9"/>
    <n v="2022"/>
  </r>
  <r>
    <s v="O01427"/>
    <d v="2023-01-26T00:00:00"/>
    <x v="446"/>
    <x v="0"/>
    <x v="2"/>
    <s v="Tables"/>
    <s v="Product_490"/>
    <n v="4170.5600000000004"/>
    <n v="941.53"/>
    <n v="0.01"/>
    <x v="1"/>
    <n v="0.22575625335686331"/>
    <x v="1"/>
    <n v="2023"/>
  </r>
  <r>
    <s v="O01428"/>
    <d v="2023-03-05T00:00:00"/>
    <x v="64"/>
    <x v="0"/>
    <x v="2"/>
    <s v="Chairs"/>
    <s v="Product_434"/>
    <n v="2870.47"/>
    <n v="-349.64"/>
    <n v="0.3"/>
    <x v="0"/>
    <n v="-0.12180583667483026"/>
    <x v="6"/>
    <n v="2023"/>
  </r>
  <r>
    <s v="O01429"/>
    <d v="2022-11-21T00:00:00"/>
    <x v="421"/>
    <x v="1"/>
    <x v="0"/>
    <s v="Binders"/>
    <s v="Product_429"/>
    <n v="3074.8"/>
    <n v="-269.95999999999998"/>
    <n v="0.2"/>
    <x v="0"/>
    <n v="-8.7797580330427977E-2"/>
    <x v="9"/>
    <n v="2022"/>
  </r>
  <r>
    <s v="O01430"/>
    <d v="2023-01-06T00:00:00"/>
    <x v="248"/>
    <x v="2"/>
    <x v="0"/>
    <s v="Paper"/>
    <s v="Product_162"/>
    <n v="4564.24"/>
    <n v="818.84"/>
    <n v="0.1"/>
    <x v="1"/>
    <n v="0.17940336178640914"/>
    <x v="1"/>
    <n v="2023"/>
  </r>
  <r>
    <s v="O01431"/>
    <d v="2023-02-24T00:00:00"/>
    <x v="151"/>
    <x v="0"/>
    <x v="0"/>
    <s v="Binders"/>
    <s v="Product_181"/>
    <n v="3496.06"/>
    <n v="855.01"/>
    <n v="0.13"/>
    <x v="1"/>
    <n v="0.24456388048260042"/>
    <x v="10"/>
    <n v="2023"/>
  </r>
  <r>
    <s v="O01432"/>
    <d v="2022-08-24T00:00:00"/>
    <x v="671"/>
    <x v="2"/>
    <x v="0"/>
    <s v="Storage"/>
    <s v="Product_118"/>
    <n v="474.57"/>
    <n v="-9.26"/>
    <n v="0.11"/>
    <x v="0"/>
    <n v="-1.9512400699580674E-2"/>
    <x v="3"/>
    <n v="2022"/>
  </r>
  <r>
    <s v="O01433"/>
    <d v="2023-11-22T00:00:00"/>
    <x v="672"/>
    <x v="1"/>
    <x v="0"/>
    <s v="Binders"/>
    <s v="Product_311"/>
    <n v="4636.01"/>
    <n v="1277.5"/>
    <n v="7.0000000000000007E-2"/>
    <x v="1"/>
    <n v="0.2755602339080373"/>
    <x v="9"/>
    <n v="2023"/>
  </r>
  <r>
    <s v="O01434"/>
    <d v="2023-06-02T00:00:00"/>
    <x v="57"/>
    <x v="2"/>
    <x v="1"/>
    <s v="Accessories"/>
    <s v="Product_324"/>
    <n v="1773.7"/>
    <n v="9.0500000000000007"/>
    <n v="0.04"/>
    <x v="1"/>
    <n v="5.1023284659187009E-3"/>
    <x v="8"/>
    <n v="2023"/>
  </r>
  <r>
    <s v="O01435"/>
    <d v="2022-09-27T00:00:00"/>
    <x v="379"/>
    <x v="2"/>
    <x v="2"/>
    <s v="Chairs"/>
    <s v="Product_381"/>
    <n v="4394.3900000000003"/>
    <n v="-560.4"/>
    <n v="0"/>
    <x v="0"/>
    <n v="-0.12752623230983137"/>
    <x v="7"/>
    <n v="2022"/>
  </r>
  <r>
    <s v="O01436"/>
    <d v="2022-06-20T00:00:00"/>
    <x v="196"/>
    <x v="1"/>
    <x v="2"/>
    <s v="Chairs"/>
    <s v="Product_264"/>
    <n v="4360.3500000000004"/>
    <n v="-1899.55"/>
    <n v="0.25"/>
    <x v="0"/>
    <n v="-0.4356416342724781"/>
    <x v="8"/>
    <n v="2022"/>
  </r>
  <r>
    <s v="O01437"/>
    <d v="2023-07-25T00:00:00"/>
    <x v="198"/>
    <x v="3"/>
    <x v="0"/>
    <s v="Paper"/>
    <s v="Product_61"/>
    <n v="4530.88"/>
    <n v="-310.86"/>
    <n v="0.11"/>
    <x v="0"/>
    <n v="-6.8609188502012849E-2"/>
    <x v="2"/>
    <n v="2023"/>
  </r>
  <r>
    <s v="O01438"/>
    <d v="2022-02-16T00:00:00"/>
    <x v="190"/>
    <x v="3"/>
    <x v="1"/>
    <s v="Accessories"/>
    <s v="Product_487"/>
    <n v="2998.24"/>
    <n v="649.05999999999995"/>
    <n v="0.18"/>
    <x v="1"/>
    <n v="0.21648033512994289"/>
    <x v="10"/>
    <n v="2022"/>
  </r>
  <r>
    <s v="O01439"/>
    <d v="2023-05-04T00:00:00"/>
    <x v="472"/>
    <x v="1"/>
    <x v="1"/>
    <s v="Accessories"/>
    <s v="Product_376"/>
    <n v="3191.08"/>
    <n v="-506.06"/>
    <n v="0.22"/>
    <x v="0"/>
    <n v="-0.15858580793963173"/>
    <x v="11"/>
    <n v="2023"/>
  </r>
  <r>
    <s v="O01440"/>
    <d v="2022-03-27T00:00:00"/>
    <x v="673"/>
    <x v="0"/>
    <x v="2"/>
    <s v="Bookcases"/>
    <s v="Product_304"/>
    <n v="3853.18"/>
    <n v="354.39"/>
    <n v="0.27"/>
    <x v="1"/>
    <n v="9.197338302389195E-2"/>
    <x v="6"/>
    <n v="2022"/>
  </r>
  <r>
    <s v="O01441"/>
    <d v="2022-06-30T00:00:00"/>
    <x v="31"/>
    <x v="3"/>
    <x v="0"/>
    <s v="Paper"/>
    <s v="Product_484"/>
    <n v="3402.14"/>
    <n v="-502.62"/>
    <n v="0.14000000000000001"/>
    <x v="0"/>
    <n v="-0.14773642472091097"/>
    <x v="8"/>
    <n v="2022"/>
  </r>
  <r>
    <s v="O01442"/>
    <d v="2023-06-22T00:00:00"/>
    <x v="585"/>
    <x v="2"/>
    <x v="2"/>
    <s v="Chairs"/>
    <s v="Product_147"/>
    <n v="1557.01"/>
    <n v="59.91"/>
    <n v="0.1"/>
    <x v="1"/>
    <n v="3.8477594877361097E-2"/>
    <x v="8"/>
    <n v="2023"/>
  </r>
  <r>
    <s v="O01443"/>
    <d v="2022-08-04T00:00:00"/>
    <x v="42"/>
    <x v="3"/>
    <x v="1"/>
    <s v="Accessories"/>
    <s v="Product_295"/>
    <n v="1661.03"/>
    <n v="-272.55"/>
    <n v="0.05"/>
    <x v="0"/>
    <n v="-0.16408493525101894"/>
    <x v="3"/>
    <n v="2022"/>
  </r>
  <r>
    <s v="O01444"/>
    <d v="2022-10-08T00:00:00"/>
    <x v="645"/>
    <x v="2"/>
    <x v="0"/>
    <s v="Paper"/>
    <s v="Product_115"/>
    <n v="587.39"/>
    <n v="-128.56"/>
    <n v="0.09"/>
    <x v="0"/>
    <n v="-0.21886651117656072"/>
    <x v="5"/>
    <n v="2022"/>
  </r>
  <r>
    <s v="O01445"/>
    <d v="2022-04-19T00:00:00"/>
    <x v="626"/>
    <x v="3"/>
    <x v="2"/>
    <s v="Tables"/>
    <s v="Product_73"/>
    <n v="4702.1000000000004"/>
    <n v="393.58"/>
    <n v="0.08"/>
    <x v="1"/>
    <n v="8.3703026307394554E-2"/>
    <x v="0"/>
    <n v="2022"/>
  </r>
  <r>
    <s v="O01446"/>
    <d v="2023-09-05T00:00:00"/>
    <x v="608"/>
    <x v="1"/>
    <x v="2"/>
    <s v="Chairs"/>
    <s v="Product_4"/>
    <n v="2805.6"/>
    <n v="-697.72"/>
    <n v="0.15"/>
    <x v="0"/>
    <n v="-0.2486883376104933"/>
    <x v="7"/>
    <n v="2023"/>
  </r>
  <r>
    <s v="O01447"/>
    <d v="2023-03-13T00:00:00"/>
    <x v="318"/>
    <x v="2"/>
    <x v="1"/>
    <s v="Phones"/>
    <s v="Product_267"/>
    <n v="1910.75"/>
    <n v="551.69000000000005"/>
    <n v="0.08"/>
    <x v="1"/>
    <n v="0.28872955645688869"/>
    <x v="6"/>
    <n v="2023"/>
  </r>
  <r>
    <s v="O01448"/>
    <d v="2022-05-03T00:00:00"/>
    <x v="579"/>
    <x v="2"/>
    <x v="2"/>
    <s v="Tables"/>
    <s v="Product_253"/>
    <n v="1545.21"/>
    <n v="299.45"/>
    <n v="0.03"/>
    <x v="1"/>
    <n v="0.1937924295079633"/>
    <x v="11"/>
    <n v="2022"/>
  </r>
  <r>
    <s v="O01449"/>
    <d v="2022-04-30T00:00:00"/>
    <x v="261"/>
    <x v="0"/>
    <x v="1"/>
    <s v="Phones"/>
    <s v="Product_382"/>
    <n v="4336.0600000000004"/>
    <n v="-264.58999999999997"/>
    <n v="0.3"/>
    <x v="0"/>
    <n v="-6.1020834582547277E-2"/>
    <x v="0"/>
    <n v="2022"/>
  </r>
  <r>
    <s v="O01450"/>
    <d v="2023-04-10T00:00:00"/>
    <x v="353"/>
    <x v="0"/>
    <x v="2"/>
    <s v="Bookcases"/>
    <s v="Product_362"/>
    <n v="464.32"/>
    <n v="-22.66"/>
    <n v="0.05"/>
    <x v="0"/>
    <n v="-4.8802549965541009E-2"/>
    <x v="0"/>
    <n v="2023"/>
  </r>
  <r>
    <s v="O01451"/>
    <d v="2023-12-24T00:00:00"/>
    <x v="466"/>
    <x v="3"/>
    <x v="0"/>
    <s v="Paper"/>
    <s v="Product_98"/>
    <n v="4472.1400000000003"/>
    <n v="-669.64"/>
    <n v="0.01"/>
    <x v="0"/>
    <n v="-0.14973592061071431"/>
    <x v="4"/>
    <n v="2023"/>
  </r>
  <r>
    <s v="O01452"/>
    <d v="2023-10-05T00:00:00"/>
    <x v="37"/>
    <x v="1"/>
    <x v="0"/>
    <s v="Storage"/>
    <s v="Product_71"/>
    <n v="4204.41"/>
    <n v="754.73"/>
    <n v="0.19"/>
    <x v="1"/>
    <n v="0.17950913445643979"/>
    <x v="5"/>
    <n v="2023"/>
  </r>
  <r>
    <s v="O01453"/>
    <d v="2023-04-27T00:00:00"/>
    <x v="673"/>
    <x v="2"/>
    <x v="0"/>
    <s v="Paper"/>
    <s v="Product_417"/>
    <n v="4373.3599999999997"/>
    <n v="-667.34"/>
    <n v="7.0000000000000007E-2"/>
    <x v="0"/>
    <n v="-0.15259205736550388"/>
    <x v="0"/>
    <n v="2023"/>
  </r>
  <r>
    <s v="O01454"/>
    <d v="2022-04-01T00:00:00"/>
    <x v="636"/>
    <x v="1"/>
    <x v="2"/>
    <s v="Bookcases"/>
    <s v="Product_2"/>
    <n v="2533.96"/>
    <n v="356.94"/>
    <n v="0.04"/>
    <x v="1"/>
    <n v="0.14086252348103365"/>
    <x v="0"/>
    <n v="2022"/>
  </r>
  <r>
    <s v="O01455"/>
    <d v="2022-02-09T00:00:00"/>
    <x v="166"/>
    <x v="3"/>
    <x v="1"/>
    <s v="Phones"/>
    <s v="Product_315"/>
    <n v="2504.39"/>
    <n v="115.19"/>
    <n v="0.18"/>
    <x v="1"/>
    <n v="4.5995232371954846E-2"/>
    <x v="10"/>
    <n v="2022"/>
  </r>
  <r>
    <s v="O01456"/>
    <d v="2023-11-04T00:00:00"/>
    <x v="535"/>
    <x v="3"/>
    <x v="1"/>
    <s v="Copiers"/>
    <s v="Product_431"/>
    <n v="2961.1"/>
    <n v="-294.51"/>
    <n v="0.19"/>
    <x v="0"/>
    <n v="-9.9459660261389346E-2"/>
    <x v="9"/>
    <n v="2023"/>
  </r>
  <r>
    <s v="O01457"/>
    <d v="2023-09-05T00:00:00"/>
    <x v="509"/>
    <x v="2"/>
    <x v="2"/>
    <s v="Tables"/>
    <s v="Product_152"/>
    <n v="3373.08"/>
    <n v="94.5"/>
    <n v="0.15"/>
    <x v="1"/>
    <n v="2.8015937955814862E-2"/>
    <x v="7"/>
    <n v="2023"/>
  </r>
  <r>
    <s v="O01458"/>
    <d v="2022-10-22T00:00:00"/>
    <x v="674"/>
    <x v="2"/>
    <x v="2"/>
    <s v="Chairs"/>
    <s v="Product_167"/>
    <n v="650.6"/>
    <n v="-4.57"/>
    <n v="0.26"/>
    <x v="0"/>
    <n v="-7.0242852751306491E-3"/>
    <x v="5"/>
    <n v="2022"/>
  </r>
  <r>
    <s v="O01459"/>
    <d v="2023-11-08T00:00:00"/>
    <x v="495"/>
    <x v="3"/>
    <x v="2"/>
    <s v="Bookcases"/>
    <s v="Product_357"/>
    <n v="2181.84"/>
    <n v="706.46"/>
    <n v="0.05"/>
    <x v="1"/>
    <n v="0.32379092875737908"/>
    <x v="9"/>
    <n v="2023"/>
  </r>
  <r>
    <s v="O01460"/>
    <d v="2023-05-16T00:00:00"/>
    <x v="640"/>
    <x v="2"/>
    <x v="1"/>
    <s v="Copiers"/>
    <s v="Product_352"/>
    <n v="727.48"/>
    <n v="32.06"/>
    <n v="0.26"/>
    <x v="1"/>
    <n v="4.4069940067080884E-2"/>
    <x v="11"/>
    <n v="2023"/>
  </r>
  <r>
    <s v="O01461"/>
    <d v="2023-02-23T00:00:00"/>
    <x v="437"/>
    <x v="3"/>
    <x v="2"/>
    <s v="Chairs"/>
    <s v="Product_134"/>
    <n v="1525.56"/>
    <n v="280.52999999999997"/>
    <n v="0.15"/>
    <x v="1"/>
    <n v="0.18388657279949658"/>
    <x v="10"/>
    <n v="2023"/>
  </r>
  <r>
    <s v="O01462"/>
    <d v="2022-09-24T00:00:00"/>
    <x v="325"/>
    <x v="3"/>
    <x v="0"/>
    <s v="Paper"/>
    <s v="Product_249"/>
    <n v="2115.02"/>
    <n v="-391.03"/>
    <n v="0.24"/>
    <x v="0"/>
    <n v="-0.18488241245945664"/>
    <x v="7"/>
    <n v="2022"/>
  </r>
  <r>
    <s v="O01463"/>
    <d v="2023-02-24T00:00:00"/>
    <x v="79"/>
    <x v="1"/>
    <x v="0"/>
    <s v="Binders"/>
    <s v="Product_275"/>
    <n v="1765.22"/>
    <n v="-467.6"/>
    <n v="0.25"/>
    <x v="0"/>
    <n v="-0.26489616025197993"/>
    <x v="10"/>
    <n v="2023"/>
  </r>
  <r>
    <s v="O01464"/>
    <d v="2022-05-13T00:00:00"/>
    <x v="631"/>
    <x v="0"/>
    <x v="2"/>
    <s v="Bookcases"/>
    <s v="Product_487"/>
    <n v="640.54999999999995"/>
    <n v="-79.14"/>
    <n v="0.28999999999999998"/>
    <x v="0"/>
    <n v="-0.12355007415502303"/>
    <x v="11"/>
    <n v="2022"/>
  </r>
  <r>
    <s v="O01465"/>
    <d v="2022-12-28T00:00:00"/>
    <x v="591"/>
    <x v="0"/>
    <x v="0"/>
    <s v="Binders"/>
    <s v="Product_336"/>
    <n v="4031.82"/>
    <n v="777.49"/>
    <n v="0.03"/>
    <x v="1"/>
    <n v="0.19283846997137769"/>
    <x v="4"/>
    <n v="2022"/>
  </r>
  <r>
    <s v="O01466"/>
    <d v="2023-07-03T00:00:00"/>
    <x v="675"/>
    <x v="1"/>
    <x v="2"/>
    <s v="Bookcases"/>
    <s v="Product_149"/>
    <n v="1131.27"/>
    <n v="261.47000000000003"/>
    <n v="0.16"/>
    <x v="1"/>
    <n v="0.23112961538801527"/>
    <x v="2"/>
    <n v="2023"/>
  </r>
  <r>
    <s v="O01467"/>
    <d v="2022-01-14T00:00:00"/>
    <x v="303"/>
    <x v="0"/>
    <x v="2"/>
    <s v="Tables"/>
    <s v="Product_387"/>
    <n v="1724.36"/>
    <n v="310.39"/>
    <n v="0.06"/>
    <x v="1"/>
    <n v="0.18000301561158924"/>
    <x v="1"/>
    <n v="2022"/>
  </r>
  <r>
    <s v="O01468"/>
    <d v="2022-10-17T00:00:00"/>
    <x v="371"/>
    <x v="0"/>
    <x v="0"/>
    <s v="Binders"/>
    <s v="Product_118"/>
    <n v="2557.35"/>
    <n v="-1060.3499999999999"/>
    <n v="0.24"/>
    <x v="0"/>
    <n v="-0.41462842395448413"/>
    <x v="5"/>
    <n v="2022"/>
  </r>
  <r>
    <s v="O01469"/>
    <d v="2023-01-22T00:00:00"/>
    <x v="665"/>
    <x v="2"/>
    <x v="0"/>
    <s v="Storage"/>
    <s v="Product_68"/>
    <n v="1311.81"/>
    <n v="-269.99"/>
    <n v="0.08"/>
    <x v="0"/>
    <n v="-0.20581486648218875"/>
    <x v="1"/>
    <n v="2023"/>
  </r>
  <r>
    <s v="O01470"/>
    <d v="2023-12-22T00:00:00"/>
    <x v="446"/>
    <x v="2"/>
    <x v="0"/>
    <s v="Paper"/>
    <s v="Product_11"/>
    <n v="4323.72"/>
    <n v="357.6"/>
    <n v="0.02"/>
    <x v="1"/>
    <n v="8.2706558241514253E-2"/>
    <x v="4"/>
    <n v="2023"/>
  </r>
  <r>
    <s v="O01471"/>
    <d v="2023-08-26T00:00:00"/>
    <x v="587"/>
    <x v="1"/>
    <x v="2"/>
    <s v="Bookcases"/>
    <s v="Product_426"/>
    <n v="4168.2299999999996"/>
    <n v="-1204.17"/>
    <n v="0.18"/>
    <x v="0"/>
    <n v="-0.28889240756868029"/>
    <x v="3"/>
    <n v="2023"/>
  </r>
  <r>
    <s v="O01472"/>
    <d v="2022-11-06T00:00:00"/>
    <x v="574"/>
    <x v="2"/>
    <x v="0"/>
    <s v="Paper"/>
    <s v="Product_104"/>
    <n v="3945.38"/>
    <n v="458.02"/>
    <n v="0.13"/>
    <x v="1"/>
    <n v="0.11609021184271223"/>
    <x v="9"/>
    <n v="2022"/>
  </r>
  <r>
    <s v="O01473"/>
    <d v="2023-03-16T00:00:00"/>
    <x v="635"/>
    <x v="1"/>
    <x v="2"/>
    <s v="Tables"/>
    <s v="Product_496"/>
    <n v="4849.3900000000003"/>
    <n v="-698.56"/>
    <n v="0.17"/>
    <x v="0"/>
    <n v="-0.14405110745887625"/>
    <x v="6"/>
    <n v="2023"/>
  </r>
  <r>
    <s v="O01474"/>
    <d v="2023-06-03T00:00:00"/>
    <x v="581"/>
    <x v="2"/>
    <x v="1"/>
    <s v="Copiers"/>
    <s v="Product_9"/>
    <n v="1464.93"/>
    <n v="192.97"/>
    <n v="0.09"/>
    <x v="1"/>
    <n v="0.13172643061443209"/>
    <x v="8"/>
    <n v="2023"/>
  </r>
  <r>
    <s v="O01475"/>
    <d v="2022-04-21T00:00:00"/>
    <x v="276"/>
    <x v="1"/>
    <x v="1"/>
    <s v="Copiers"/>
    <s v="Product_296"/>
    <n v="2028.86"/>
    <n v="36.42"/>
    <n v="0.11"/>
    <x v="1"/>
    <n v="1.7950967538420591E-2"/>
    <x v="0"/>
    <n v="2022"/>
  </r>
  <r>
    <s v="O01476"/>
    <d v="2022-04-22T00:00:00"/>
    <x v="176"/>
    <x v="3"/>
    <x v="2"/>
    <s v="Tables"/>
    <s v="Product_171"/>
    <n v="3878.91"/>
    <n v="-170.35"/>
    <n v="0.13"/>
    <x v="0"/>
    <n v="-4.3916976676437451E-2"/>
    <x v="0"/>
    <n v="2022"/>
  </r>
  <r>
    <s v="O01477"/>
    <d v="2023-05-17T00:00:00"/>
    <x v="205"/>
    <x v="1"/>
    <x v="2"/>
    <s v="Bookcases"/>
    <s v="Product_43"/>
    <n v="4881.51"/>
    <n v="-627.01"/>
    <n v="0.03"/>
    <x v="0"/>
    <n v="-0.12844591120370541"/>
    <x v="11"/>
    <n v="2023"/>
  </r>
  <r>
    <s v="O01478"/>
    <d v="2023-08-04T00:00:00"/>
    <x v="18"/>
    <x v="1"/>
    <x v="2"/>
    <s v="Tables"/>
    <s v="Product_31"/>
    <n v="3120.79"/>
    <n v="292.79000000000002"/>
    <n v="0.14000000000000001"/>
    <x v="1"/>
    <n v="9.3819193217102081E-2"/>
    <x v="3"/>
    <n v="2023"/>
  </r>
  <r>
    <s v="O01479"/>
    <d v="2022-02-07T00:00:00"/>
    <x v="244"/>
    <x v="2"/>
    <x v="1"/>
    <s v="Accessories"/>
    <s v="Product_447"/>
    <n v="2118.11"/>
    <n v="170.71"/>
    <n v="0.22"/>
    <x v="1"/>
    <n v="8.0595436497632317E-2"/>
    <x v="10"/>
    <n v="2022"/>
  </r>
  <r>
    <s v="O01480"/>
    <d v="2023-07-13T00:00:00"/>
    <x v="302"/>
    <x v="3"/>
    <x v="2"/>
    <s v="Tables"/>
    <s v="Product_492"/>
    <n v="3482.95"/>
    <n v="163.06"/>
    <n v="0.23"/>
    <x v="1"/>
    <n v="4.6816635323504503E-2"/>
    <x v="2"/>
    <n v="2023"/>
  </r>
  <r>
    <s v="O01481"/>
    <d v="2022-03-25T00:00:00"/>
    <x v="676"/>
    <x v="2"/>
    <x v="0"/>
    <s v="Binders"/>
    <s v="Product_359"/>
    <n v="1677.01"/>
    <n v="-169.95"/>
    <n v="0.21"/>
    <x v="0"/>
    <n v="-0.10134107727443485"/>
    <x v="6"/>
    <n v="2022"/>
  </r>
  <r>
    <s v="O01482"/>
    <d v="2022-05-05T00:00:00"/>
    <x v="677"/>
    <x v="1"/>
    <x v="2"/>
    <s v="Tables"/>
    <s v="Product_225"/>
    <n v="723.68"/>
    <n v="81.03"/>
    <n v="0"/>
    <x v="1"/>
    <n v="0.11196937873093081"/>
    <x v="11"/>
    <n v="2022"/>
  </r>
  <r>
    <s v="O01483"/>
    <d v="2023-06-22T00:00:00"/>
    <x v="645"/>
    <x v="1"/>
    <x v="2"/>
    <s v="Chairs"/>
    <s v="Product_384"/>
    <n v="4438.96"/>
    <n v="114.08"/>
    <n v="0.15"/>
    <x v="1"/>
    <n v="2.5699713446392849E-2"/>
    <x v="8"/>
    <n v="2023"/>
  </r>
  <r>
    <s v="O01484"/>
    <d v="2022-10-29T00:00:00"/>
    <x v="194"/>
    <x v="3"/>
    <x v="0"/>
    <s v="Paper"/>
    <s v="Product_268"/>
    <n v="2057.09"/>
    <n v="-59.06"/>
    <n v="0.09"/>
    <x v="0"/>
    <n v="-2.8710459921539651E-2"/>
    <x v="5"/>
    <n v="2022"/>
  </r>
  <r>
    <s v="O01485"/>
    <d v="2022-10-25T00:00:00"/>
    <x v="158"/>
    <x v="1"/>
    <x v="1"/>
    <s v="Copiers"/>
    <s v="Product_412"/>
    <n v="4458.7700000000004"/>
    <n v="-1205.8"/>
    <n v="0.17"/>
    <x v="0"/>
    <n v="-0.27043332578267099"/>
    <x v="5"/>
    <n v="2022"/>
  </r>
  <r>
    <s v="O01486"/>
    <d v="2022-08-04T00:00:00"/>
    <x v="22"/>
    <x v="1"/>
    <x v="0"/>
    <s v="Storage"/>
    <s v="Product_85"/>
    <n v="1919.14"/>
    <n v="-185.65"/>
    <n v="0.18"/>
    <x v="0"/>
    <n v="-9.6736038017028458E-2"/>
    <x v="3"/>
    <n v="2022"/>
  </r>
  <r>
    <s v="O01487"/>
    <d v="2022-06-03T00:00:00"/>
    <x v="95"/>
    <x v="0"/>
    <x v="0"/>
    <s v="Storage"/>
    <s v="Product_3"/>
    <n v="4164.1000000000004"/>
    <n v="207.3"/>
    <n v="0"/>
    <x v="1"/>
    <n v="4.9782666122331357E-2"/>
    <x v="8"/>
    <n v="2022"/>
  </r>
  <r>
    <s v="O01488"/>
    <d v="2022-12-05T00:00:00"/>
    <x v="637"/>
    <x v="0"/>
    <x v="1"/>
    <s v="Copiers"/>
    <s v="Product_320"/>
    <n v="1019.6"/>
    <n v="-89.07"/>
    <n v="0.21"/>
    <x v="0"/>
    <n v="-8.7357787367595127E-2"/>
    <x v="4"/>
    <n v="2022"/>
  </r>
  <r>
    <s v="O01489"/>
    <d v="2022-08-20T00:00:00"/>
    <x v="274"/>
    <x v="0"/>
    <x v="1"/>
    <s v="Copiers"/>
    <s v="Product_476"/>
    <n v="866.62"/>
    <n v="22.09"/>
    <n v="0.11"/>
    <x v="1"/>
    <n v="2.5489834067988278E-2"/>
    <x v="3"/>
    <n v="2022"/>
  </r>
  <r>
    <s v="O01490"/>
    <d v="2022-11-10T00:00:00"/>
    <x v="524"/>
    <x v="2"/>
    <x v="2"/>
    <s v="Tables"/>
    <s v="Product_479"/>
    <n v="1492.52"/>
    <n v="-319.85000000000002"/>
    <n v="0.27"/>
    <x v="0"/>
    <n v="-0.21430198590303648"/>
    <x v="9"/>
    <n v="2022"/>
  </r>
  <r>
    <s v="O01491"/>
    <d v="2022-06-06T00:00:00"/>
    <x v="82"/>
    <x v="1"/>
    <x v="1"/>
    <s v="Copiers"/>
    <s v="Product_144"/>
    <n v="2750.98"/>
    <n v="-972.51"/>
    <n v="0.2"/>
    <x v="0"/>
    <n v="-0.35351402045816399"/>
    <x v="8"/>
    <n v="2022"/>
  </r>
  <r>
    <s v="O01492"/>
    <d v="2023-10-23T00:00:00"/>
    <x v="601"/>
    <x v="2"/>
    <x v="2"/>
    <s v="Tables"/>
    <s v="Product_170"/>
    <n v="2861.93"/>
    <n v="210.04"/>
    <n v="0.04"/>
    <x v="1"/>
    <n v="7.3391033323666199E-2"/>
    <x v="5"/>
    <n v="2023"/>
  </r>
  <r>
    <s v="O01493"/>
    <d v="2023-09-23T00:00:00"/>
    <x v="678"/>
    <x v="2"/>
    <x v="0"/>
    <s v="Storage"/>
    <s v="Product_108"/>
    <n v="3063.4"/>
    <n v="-145.94"/>
    <n v="0.28999999999999998"/>
    <x v="0"/>
    <n v="-4.7639877260560161E-2"/>
    <x v="7"/>
    <n v="2023"/>
  </r>
  <r>
    <s v="O01494"/>
    <d v="2023-09-22T00:00:00"/>
    <x v="167"/>
    <x v="1"/>
    <x v="2"/>
    <s v="Chairs"/>
    <s v="Product_85"/>
    <n v="3938.49"/>
    <n v="-1753.4"/>
    <n v="0.3"/>
    <x v="0"/>
    <n v="-0.44519600151327038"/>
    <x v="7"/>
    <n v="2023"/>
  </r>
  <r>
    <s v="O01495"/>
    <d v="2023-06-08T00:00:00"/>
    <x v="294"/>
    <x v="2"/>
    <x v="1"/>
    <s v="Phones"/>
    <s v="Product_341"/>
    <n v="1684.36"/>
    <n v="-738.91"/>
    <n v="0.27"/>
    <x v="0"/>
    <n v="-0.43868887886200103"/>
    <x v="8"/>
    <n v="2023"/>
  </r>
  <r>
    <s v="O01496"/>
    <d v="2023-02-07T00:00:00"/>
    <x v="242"/>
    <x v="2"/>
    <x v="1"/>
    <s v="Accessories"/>
    <s v="Product_362"/>
    <n v="1582.54"/>
    <n v="-451.87"/>
    <n v="0.23"/>
    <x v="0"/>
    <n v="-0.28553464683357138"/>
    <x v="10"/>
    <n v="2023"/>
  </r>
  <r>
    <s v="O01497"/>
    <d v="2023-09-12T00:00:00"/>
    <x v="211"/>
    <x v="1"/>
    <x v="1"/>
    <s v="Accessories"/>
    <s v="Product_485"/>
    <n v="1627.63"/>
    <n v="-67.69"/>
    <n v="0.16"/>
    <x v="0"/>
    <n v="-4.1588075914059087E-2"/>
    <x v="7"/>
    <n v="2023"/>
  </r>
  <r>
    <s v="O01498"/>
    <d v="2023-05-17T00:00:00"/>
    <x v="679"/>
    <x v="3"/>
    <x v="0"/>
    <s v="Paper"/>
    <s v="Product_351"/>
    <n v="3585.6"/>
    <n v="-407.71"/>
    <n v="0.25"/>
    <x v="0"/>
    <n v="-0.11370760821062026"/>
    <x v="11"/>
    <n v="2023"/>
  </r>
  <r>
    <s v="O01499"/>
    <d v="2023-01-10T00:00:00"/>
    <x v="245"/>
    <x v="3"/>
    <x v="2"/>
    <s v="Bookcases"/>
    <s v="Product_373"/>
    <n v="4508.83"/>
    <n v="-1321.96"/>
    <n v="0.2"/>
    <x v="0"/>
    <n v="-0.29319357793485229"/>
    <x v="1"/>
    <n v="2023"/>
  </r>
  <r>
    <s v="O01500"/>
    <d v="2022-07-15T00:00:00"/>
    <x v="568"/>
    <x v="3"/>
    <x v="1"/>
    <s v="Phones"/>
    <s v="Product_92"/>
    <n v="3123.17"/>
    <n v="288.47000000000003"/>
    <n v="0.26"/>
    <x v="1"/>
    <n v="9.2364488644550255E-2"/>
    <x v="2"/>
    <n v="2022"/>
  </r>
  <r>
    <s v="O01501"/>
    <d v="2023-08-24T00:00:00"/>
    <x v="468"/>
    <x v="3"/>
    <x v="0"/>
    <s v="Binders"/>
    <s v="Product_49"/>
    <n v="1059.5999999999999"/>
    <n v="-204.57"/>
    <n v="0.11"/>
    <x v="0"/>
    <n v="-0.19306342015855041"/>
    <x v="3"/>
    <n v="2023"/>
  </r>
  <r>
    <s v="O01502"/>
    <d v="2023-10-25T00:00:00"/>
    <x v="134"/>
    <x v="2"/>
    <x v="1"/>
    <s v="Accessories"/>
    <s v="Product_204"/>
    <n v="2563.69"/>
    <n v="-92.76"/>
    <n v="0"/>
    <x v="0"/>
    <n v="-3.6182221719474668E-2"/>
    <x v="5"/>
    <n v="2023"/>
  </r>
  <r>
    <s v="O01503"/>
    <d v="2023-08-09T00:00:00"/>
    <x v="142"/>
    <x v="2"/>
    <x v="2"/>
    <s v="Bookcases"/>
    <s v="Product_312"/>
    <n v="3550.9"/>
    <n v="-872.33"/>
    <n v="0.08"/>
    <x v="0"/>
    <n v="-0.24566447942775071"/>
    <x v="3"/>
    <n v="2023"/>
  </r>
  <r>
    <s v="O01504"/>
    <d v="2023-07-13T00:00:00"/>
    <x v="376"/>
    <x v="0"/>
    <x v="0"/>
    <s v="Paper"/>
    <s v="Product_190"/>
    <n v="2502.4699999999998"/>
    <n v="462.86"/>
    <n v="0.14000000000000001"/>
    <x v="1"/>
    <n v="0.18496125827682253"/>
    <x v="2"/>
    <n v="2023"/>
  </r>
  <r>
    <s v="O01505"/>
    <d v="2022-05-15T00:00:00"/>
    <x v="297"/>
    <x v="2"/>
    <x v="2"/>
    <s v="Bookcases"/>
    <s v="Product_428"/>
    <n v="4481.8999999999996"/>
    <n v="859.26"/>
    <n v="0.05"/>
    <x v="1"/>
    <n v="0.19171779825520427"/>
    <x v="11"/>
    <n v="2022"/>
  </r>
  <r>
    <s v="O01506"/>
    <d v="2023-07-12T00:00:00"/>
    <x v="648"/>
    <x v="1"/>
    <x v="2"/>
    <s v="Chairs"/>
    <s v="Product_336"/>
    <n v="2272.5500000000002"/>
    <n v="-503.27"/>
    <n v="0.21"/>
    <x v="0"/>
    <n v="-0.22145607357373873"/>
    <x v="2"/>
    <n v="2023"/>
  </r>
  <r>
    <s v="O01507"/>
    <d v="2022-11-21T00:00:00"/>
    <x v="100"/>
    <x v="1"/>
    <x v="0"/>
    <s v="Storage"/>
    <s v="Product_464"/>
    <n v="181.7"/>
    <n v="10.71"/>
    <n v="0.25"/>
    <x v="1"/>
    <n v="5.8943313153549816E-2"/>
    <x v="9"/>
    <n v="2022"/>
  </r>
  <r>
    <s v="O01508"/>
    <d v="2023-02-17T00:00:00"/>
    <x v="352"/>
    <x v="0"/>
    <x v="0"/>
    <s v="Storage"/>
    <s v="Product_34"/>
    <n v="4727.07"/>
    <n v="1013.14"/>
    <n v="0.15"/>
    <x v="1"/>
    <n v="0.21432726826554294"/>
    <x v="10"/>
    <n v="2023"/>
  </r>
  <r>
    <s v="O01509"/>
    <d v="2022-02-15T00:00:00"/>
    <x v="442"/>
    <x v="1"/>
    <x v="2"/>
    <s v="Bookcases"/>
    <s v="Product_353"/>
    <n v="822.82"/>
    <n v="-145.19"/>
    <n v="0.08"/>
    <x v="0"/>
    <n v="-0.17645414549962324"/>
    <x v="10"/>
    <n v="2022"/>
  </r>
  <r>
    <s v="O01510"/>
    <d v="2022-01-04T00:00:00"/>
    <x v="603"/>
    <x v="3"/>
    <x v="0"/>
    <s v="Paper"/>
    <s v="Product_288"/>
    <n v="947.54"/>
    <n v="78.38"/>
    <n v="0.22"/>
    <x v="1"/>
    <n v="8.2719463030584459E-2"/>
    <x v="1"/>
    <n v="2022"/>
  </r>
  <r>
    <s v="O01511"/>
    <d v="2023-08-03T00:00:00"/>
    <x v="680"/>
    <x v="0"/>
    <x v="1"/>
    <s v="Phones"/>
    <s v="Product_60"/>
    <n v="1773.12"/>
    <n v="84.71"/>
    <n v="0.17"/>
    <x v="1"/>
    <n v="4.7774544306081933E-2"/>
    <x v="3"/>
    <n v="2023"/>
  </r>
  <r>
    <s v="O01512"/>
    <d v="2022-01-21T00:00:00"/>
    <x v="591"/>
    <x v="1"/>
    <x v="2"/>
    <s v="Chairs"/>
    <s v="Product_404"/>
    <n v="3674.8"/>
    <n v="347.96"/>
    <n v="0.06"/>
    <x v="1"/>
    <n v="9.4688146293675834E-2"/>
    <x v="1"/>
    <n v="2022"/>
  </r>
  <r>
    <s v="O01513"/>
    <d v="2022-09-10T00:00:00"/>
    <x v="146"/>
    <x v="1"/>
    <x v="2"/>
    <s v="Chairs"/>
    <s v="Product_383"/>
    <n v="3225.93"/>
    <n v="601.04999999999995"/>
    <n v="0.14000000000000001"/>
    <x v="1"/>
    <n v="0.18631836400665855"/>
    <x v="7"/>
    <n v="2022"/>
  </r>
  <r>
    <s v="O01514"/>
    <d v="2022-10-13T00:00:00"/>
    <x v="235"/>
    <x v="3"/>
    <x v="0"/>
    <s v="Binders"/>
    <s v="Product_212"/>
    <n v="1621.39"/>
    <n v="-223.35"/>
    <n v="0.11"/>
    <x v="0"/>
    <n v="-0.13775217560241521"/>
    <x v="5"/>
    <n v="2022"/>
  </r>
  <r>
    <s v="O01515"/>
    <d v="2022-09-23T00:00:00"/>
    <x v="445"/>
    <x v="2"/>
    <x v="2"/>
    <s v="Chairs"/>
    <s v="Product_136"/>
    <n v="1436.72"/>
    <n v="470.62"/>
    <n v="0.06"/>
    <x v="1"/>
    <n v="0.32756556601147058"/>
    <x v="7"/>
    <n v="2022"/>
  </r>
  <r>
    <s v="O01516"/>
    <d v="2023-06-20T00:00:00"/>
    <x v="555"/>
    <x v="1"/>
    <x v="2"/>
    <s v="Tables"/>
    <s v="Product_19"/>
    <n v="1840.25"/>
    <n v="282.33999999999997"/>
    <n v="0.11"/>
    <x v="1"/>
    <n v="0.15342480641217224"/>
    <x v="8"/>
    <n v="2023"/>
  </r>
  <r>
    <s v="O01517"/>
    <d v="2023-03-21T00:00:00"/>
    <x v="72"/>
    <x v="3"/>
    <x v="0"/>
    <s v="Paper"/>
    <s v="Product_107"/>
    <n v="862.95"/>
    <n v="195.25"/>
    <n v="0.17"/>
    <x v="1"/>
    <n v="0.22625876354365837"/>
    <x v="6"/>
    <n v="2023"/>
  </r>
  <r>
    <s v="O01518"/>
    <d v="2022-10-03T00:00:00"/>
    <x v="156"/>
    <x v="1"/>
    <x v="1"/>
    <s v="Copiers"/>
    <s v="Product_133"/>
    <n v="4845.6000000000004"/>
    <n v="367.68"/>
    <n v="0.17"/>
    <x v="1"/>
    <n v="7.5879148093115398E-2"/>
    <x v="5"/>
    <n v="2022"/>
  </r>
  <r>
    <s v="O01519"/>
    <d v="2023-10-09T00:00:00"/>
    <x v="681"/>
    <x v="2"/>
    <x v="2"/>
    <s v="Tables"/>
    <s v="Product_72"/>
    <n v="1378.14"/>
    <n v="-233.98"/>
    <n v="0.28000000000000003"/>
    <x v="0"/>
    <n v="-0.16977955795492472"/>
    <x v="5"/>
    <n v="2023"/>
  </r>
  <r>
    <s v="O01520"/>
    <d v="2022-02-04T00:00:00"/>
    <x v="425"/>
    <x v="0"/>
    <x v="1"/>
    <s v="Copiers"/>
    <s v="Product_323"/>
    <n v="1682.66"/>
    <n v="42.04"/>
    <n v="0.17"/>
    <x v="1"/>
    <n v="2.4984251126193048E-2"/>
    <x v="10"/>
    <n v="2022"/>
  </r>
  <r>
    <s v="O01521"/>
    <d v="2022-04-13T00:00:00"/>
    <x v="644"/>
    <x v="3"/>
    <x v="1"/>
    <s v="Phones"/>
    <s v="Product_157"/>
    <n v="877.88"/>
    <n v="-121.14"/>
    <n v="0.14000000000000001"/>
    <x v="0"/>
    <n v="-0.13799152503759057"/>
    <x v="0"/>
    <n v="2022"/>
  </r>
  <r>
    <s v="O01522"/>
    <d v="2023-09-24T00:00:00"/>
    <x v="682"/>
    <x v="2"/>
    <x v="2"/>
    <s v="Tables"/>
    <s v="Product_375"/>
    <n v="2779.21"/>
    <n v="-463"/>
    <n v="0.23"/>
    <x v="0"/>
    <n v="-0.16659410407993638"/>
    <x v="7"/>
    <n v="2023"/>
  </r>
  <r>
    <s v="O01523"/>
    <d v="2022-12-12T00:00:00"/>
    <x v="102"/>
    <x v="2"/>
    <x v="1"/>
    <s v="Accessories"/>
    <s v="Product_154"/>
    <n v="4187.07"/>
    <n v="-234.77"/>
    <n v="0.08"/>
    <x v="0"/>
    <n v="-5.6070235271920468E-2"/>
    <x v="4"/>
    <n v="2022"/>
  </r>
  <r>
    <s v="O01524"/>
    <d v="2023-03-08T00:00:00"/>
    <x v="402"/>
    <x v="3"/>
    <x v="2"/>
    <s v="Chairs"/>
    <s v="Product_489"/>
    <n v="3839.55"/>
    <n v="-636.69000000000005"/>
    <n v="0.27"/>
    <x v="0"/>
    <n v="-0.16582412001406416"/>
    <x v="6"/>
    <n v="2023"/>
  </r>
  <r>
    <s v="O01525"/>
    <d v="2022-11-04T00:00:00"/>
    <x v="683"/>
    <x v="1"/>
    <x v="0"/>
    <s v="Paper"/>
    <s v="Product_488"/>
    <n v="3006.07"/>
    <n v="-451.42"/>
    <n v="0.05"/>
    <x v="0"/>
    <n v="-0.15016949039776187"/>
    <x v="9"/>
    <n v="2022"/>
  </r>
  <r>
    <s v="O01526"/>
    <d v="2022-04-03T00:00:00"/>
    <x v="415"/>
    <x v="1"/>
    <x v="0"/>
    <s v="Binders"/>
    <s v="Product_411"/>
    <n v="736.47"/>
    <n v="203.23"/>
    <n v="0.1"/>
    <x v="1"/>
    <n v="0.27595149836381655"/>
    <x v="0"/>
    <n v="2022"/>
  </r>
  <r>
    <s v="O01527"/>
    <d v="2022-07-25T00:00:00"/>
    <x v="684"/>
    <x v="3"/>
    <x v="1"/>
    <s v="Accessories"/>
    <s v="Product_158"/>
    <n v="2040.37"/>
    <n v="112.56"/>
    <n v="0.14000000000000001"/>
    <x v="1"/>
    <n v="5.5166464905874922E-2"/>
    <x v="2"/>
    <n v="2022"/>
  </r>
  <r>
    <s v="O01528"/>
    <d v="2022-09-08T00:00:00"/>
    <x v="377"/>
    <x v="3"/>
    <x v="2"/>
    <s v="Chairs"/>
    <s v="Product_3"/>
    <n v="1257.3"/>
    <n v="-258.88"/>
    <n v="0.06"/>
    <x v="0"/>
    <n v="-0.2059015350353933"/>
    <x v="7"/>
    <n v="2022"/>
  </r>
  <r>
    <s v="O01529"/>
    <d v="2023-12-17T00:00:00"/>
    <x v="685"/>
    <x v="2"/>
    <x v="1"/>
    <s v="Phones"/>
    <s v="Product_343"/>
    <n v="1789.09"/>
    <n v="128.94"/>
    <n v="0.14000000000000001"/>
    <x v="1"/>
    <n v="7.2070158572235046E-2"/>
    <x v="4"/>
    <n v="2023"/>
  </r>
  <r>
    <s v="O01530"/>
    <d v="2022-05-12T00:00:00"/>
    <x v="611"/>
    <x v="1"/>
    <x v="1"/>
    <s v="Accessories"/>
    <s v="Product_205"/>
    <n v="3560.5"/>
    <n v="-1326.3"/>
    <n v="0.23"/>
    <x v="0"/>
    <n v="-0.3725038618171605"/>
    <x v="11"/>
    <n v="2022"/>
  </r>
  <r>
    <s v="O01531"/>
    <d v="2023-02-08T00:00:00"/>
    <x v="193"/>
    <x v="0"/>
    <x v="1"/>
    <s v="Accessories"/>
    <s v="Product_178"/>
    <n v="4116.9799999999996"/>
    <n v="-680.31"/>
    <n v="0.22"/>
    <x v="0"/>
    <n v="-0.16524491253297321"/>
    <x v="10"/>
    <n v="2023"/>
  </r>
  <r>
    <s v="O01532"/>
    <d v="2023-09-16T00:00:00"/>
    <x v="492"/>
    <x v="1"/>
    <x v="1"/>
    <s v="Copiers"/>
    <s v="Product_189"/>
    <n v="3728.1"/>
    <n v="-920.78"/>
    <n v="0.18"/>
    <x v="0"/>
    <n v="-0.24698371824790108"/>
    <x v="7"/>
    <n v="2023"/>
  </r>
  <r>
    <s v="O01533"/>
    <d v="2023-02-12T00:00:00"/>
    <x v="485"/>
    <x v="1"/>
    <x v="1"/>
    <s v="Accessories"/>
    <s v="Product_71"/>
    <n v="2557.13"/>
    <n v="407.87"/>
    <n v="0"/>
    <x v="1"/>
    <n v="0.15950303660744664"/>
    <x v="10"/>
    <n v="2023"/>
  </r>
  <r>
    <s v="O01534"/>
    <d v="2023-01-29T00:00:00"/>
    <x v="231"/>
    <x v="1"/>
    <x v="1"/>
    <s v="Phones"/>
    <s v="Product_218"/>
    <n v="316.81"/>
    <n v="-74.23"/>
    <n v="0.09"/>
    <x v="0"/>
    <n v="-0.23430447271235127"/>
    <x v="1"/>
    <n v="2023"/>
  </r>
  <r>
    <s v="O01535"/>
    <d v="2022-09-25T00:00:00"/>
    <x v="359"/>
    <x v="1"/>
    <x v="2"/>
    <s v="Tables"/>
    <s v="Product_84"/>
    <n v="1624.35"/>
    <n v="-181.29"/>
    <n v="0.2"/>
    <x v="0"/>
    <n v="-0.11160772001108135"/>
    <x v="7"/>
    <n v="2022"/>
  </r>
  <r>
    <s v="O01536"/>
    <d v="2022-12-21T00:00:00"/>
    <x v="429"/>
    <x v="0"/>
    <x v="1"/>
    <s v="Copiers"/>
    <s v="Product_336"/>
    <n v="2635.01"/>
    <n v="668.6"/>
    <n v="0.03"/>
    <x v="1"/>
    <n v="0.25373717746801716"/>
    <x v="4"/>
    <n v="2022"/>
  </r>
  <r>
    <s v="O01537"/>
    <d v="2023-12-04T00:00:00"/>
    <x v="124"/>
    <x v="0"/>
    <x v="1"/>
    <s v="Phones"/>
    <s v="Product_249"/>
    <n v="888.33"/>
    <n v="57.02"/>
    <n v="0.04"/>
    <x v="1"/>
    <n v="6.4187858115790308E-2"/>
    <x v="4"/>
    <n v="2023"/>
  </r>
  <r>
    <s v="O01538"/>
    <d v="2022-09-22T00:00:00"/>
    <x v="593"/>
    <x v="0"/>
    <x v="0"/>
    <s v="Storage"/>
    <s v="Product_310"/>
    <n v="2068.35"/>
    <n v="-513.41999999999996"/>
    <n v="0.23"/>
    <x v="0"/>
    <n v="-0.24822684748712742"/>
    <x v="7"/>
    <n v="2022"/>
  </r>
  <r>
    <s v="O01539"/>
    <d v="2023-07-02T00:00:00"/>
    <x v="120"/>
    <x v="0"/>
    <x v="1"/>
    <s v="Copiers"/>
    <s v="Product_403"/>
    <n v="1926.84"/>
    <n v="-267.76"/>
    <n v="0.14000000000000001"/>
    <x v="0"/>
    <n v="-0.13896327666023126"/>
    <x v="2"/>
    <n v="2023"/>
  </r>
  <r>
    <s v="O01540"/>
    <d v="2022-06-03T00:00:00"/>
    <x v="572"/>
    <x v="3"/>
    <x v="2"/>
    <s v="Tables"/>
    <s v="Product_486"/>
    <n v="2705.39"/>
    <n v="229.5"/>
    <n v="0.12"/>
    <x v="1"/>
    <n v="8.4830652881839594E-2"/>
    <x v="8"/>
    <n v="2022"/>
  </r>
  <r>
    <s v="O01541"/>
    <d v="2023-04-11T00:00:00"/>
    <x v="403"/>
    <x v="0"/>
    <x v="0"/>
    <s v="Storage"/>
    <s v="Product_238"/>
    <n v="1363.4"/>
    <n v="25.51"/>
    <n v="0.15"/>
    <x v="1"/>
    <n v="1.8710576499926655E-2"/>
    <x v="0"/>
    <n v="2023"/>
  </r>
  <r>
    <s v="O01542"/>
    <d v="2023-09-06T00:00:00"/>
    <x v="429"/>
    <x v="3"/>
    <x v="1"/>
    <s v="Phones"/>
    <s v="Product_130"/>
    <n v="695.6"/>
    <n v="-90.25"/>
    <n v="0.15"/>
    <x v="0"/>
    <n v="-0.12974410580793558"/>
    <x v="7"/>
    <n v="2023"/>
  </r>
  <r>
    <s v="O01543"/>
    <d v="2022-10-01T00:00:00"/>
    <x v="45"/>
    <x v="3"/>
    <x v="1"/>
    <s v="Accessories"/>
    <s v="Product_183"/>
    <n v="3407.48"/>
    <n v="-1417.11"/>
    <n v="0.23"/>
    <x v="0"/>
    <n v="-0.41588211816356951"/>
    <x v="5"/>
    <n v="2022"/>
  </r>
  <r>
    <s v="O01544"/>
    <d v="2022-04-25T00:00:00"/>
    <x v="509"/>
    <x v="0"/>
    <x v="1"/>
    <s v="Phones"/>
    <s v="Product_273"/>
    <n v="2289.17"/>
    <n v="-614.94000000000005"/>
    <n v="0.09"/>
    <x v="0"/>
    <n v="-0.26863011484511856"/>
    <x v="0"/>
    <n v="2022"/>
  </r>
  <r>
    <s v="O01545"/>
    <d v="2022-05-29T00:00:00"/>
    <x v="288"/>
    <x v="2"/>
    <x v="0"/>
    <s v="Paper"/>
    <s v="Product_221"/>
    <n v="1318.27"/>
    <n v="-228.4"/>
    <n v="0.03"/>
    <x v="0"/>
    <n v="-0.17325737519627998"/>
    <x v="11"/>
    <n v="2022"/>
  </r>
  <r>
    <s v="O01546"/>
    <d v="2023-06-21T00:00:00"/>
    <x v="337"/>
    <x v="2"/>
    <x v="1"/>
    <s v="Accessories"/>
    <s v="Product_21"/>
    <n v="4862.08"/>
    <n v="-1281.3499999999999"/>
    <n v="0.21"/>
    <x v="0"/>
    <n v="-0.26353947281821771"/>
    <x v="8"/>
    <n v="2023"/>
  </r>
  <r>
    <s v="O01547"/>
    <d v="2023-10-16T00:00:00"/>
    <x v="615"/>
    <x v="2"/>
    <x v="2"/>
    <s v="Tables"/>
    <s v="Product_263"/>
    <n v="1926.7"/>
    <n v="666.84"/>
    <n v="0.04"/>
    <x v="1"/>
    <n v="0.34610473867234132"/>
    <x v="5"/>
    <n v="2023"/>
  </r>
  <r>
    <s v="O01548"/>
    <d v="2023-02-15T00:00:00"/>
    <x v="393"/>
    <x v="1"/>
    <x v="0"/>
    <s v="Binders"/>
    <s v="Product_487"/>
    <n v="1755.09"/>
    <n v="-366.48"/>
    <n v="0.19"/>
    <x v="0"/>
    <n v="-0.20880980462540386"/>
    <x v="10"/>
    <n v="2023"/>
  </r>
  <r>
    <s v="O01549"/>
    <d v="2023-03-20T00:00:00"/>
    <x v="505"/>
    <x v="1"/>
    <x v="0"/>
    <s v="Paper"/>
    <s v="Product_293"/>
    <n v="3635.81"/>
    <n v="-1354.08"/>
    <n v="0.22"/>
    <x v="0"/>
    <n v="-0.37242870226992059"/>
    <x v="6"/>
    <n v="2023"/>
  </r>
  <r>
    <s v="O01550"/>
    <d v="2023-12-12T00:00:00"/>
    <x v="144"/>
    <x v="3"/>
    <x v="1"/>
    <s v="Accessories"/>
    <s v="Product_294"/>
    <n v="3116.35"/>
    <n v="362.23"/>
    <n v="0.16"/>
    <x v="1"/>
    <n v="0.11623533941951322"/>
    <x v="4"/>
    <n v="2023"/>
  </r>
  <r>
    <s v="O01551"/>
    <d v="2022-07-10T00:00:00"/>
    <x v="343"/>
    <x v="0"/>
    <x v="1"/>
    <s v="Phones"/>
    <s v="Product_310"/>
    <n v="3827.52"/>
    <n v="452.11"/>
    <n v="0.13"/>
    <x v="1"/>
    <n v="0.11812087200066884"/>
    <x v="2"/>
    <n v="2022"/>
  </r>
  <r>
    <s v="O01552"/>
    <d v="2022-01-20T00:00:00"/>
    <x v="686"/>
    <x v="1"/>
    <x v="1"/>
    <s v="Phones"/>
    <s v="Product_141"/>
    <n v="3423.22"/>
    <n v="-122.18"/>
    <n v="0.08"/>
    <x v="0"/>
    <n v="-3.5691541881620235E-2"/>
    <x v="1"/>
    <n v="2022"/>
  </r>
  <r>
    <s v="O01553"/>
    <d v="2022-08-15T00:00:00"/>
    <x v="322"/>
    <x v="0"/>
    <x v="1"/>
    <s v="Accessories"/>
    <s v="Product_364"/>
    <n v="3035.49"/>
    <n v="-907.93"/>
    <n v="0.28999999999999998"/>
    <x v="0"/>
    <n v="-0.29910492210483314"/>
    <x v="3"/>
    <n v="2022"/>
  </r>
  <r>
    <s v="O01554"/>
    <d v="2023-04-17T00:00:00"/>
    <x v="131"/>
    <x v="2"/>
    <x v="1"/>
    <s v="Phones"/>
    <s v="Product_326"/>
    <n v="412.24"/>
    <n v="56.57"/>
    <n v="0.09"/>
    <x v="1"/>
    <n v="0.13722588783233067"/>
    <x v="0"/>
    <n v="2023"/>
  </r>
  <r>
    <s v="O01555"/>
    <d v="2022-12-18T00:00:00"/>
    <x v="586"/>
    <x v="3"/>
    <x v="0"/>
    <s v="Paper"/>
    <s v="Product_178"/>
    <n v="2753.14"/>
    <n v="-14.88"/>
    <n v="0.14000000000000001"/>
    <x v="0"/>
    <n v="-5.4047378629492153E-3"/>
    <x v="4"/>
    <n v="2022"/>
  </r>
  <r>
    <s v="O01556"/>
    <d v="2023-12-16T00:00:00"/>
    <x v="662"/>
    <x v="2"/>
    <x v="1"/>
    <s v="Phones"/>
    <s v="Product_131"/>
    <n v="2363.54"/>
    <n v="-693.98"/>
    <n v="0.22"/>
    <x v="0"/>
    <n v="-0.29361889369335831"/>
    <x v="4"/>
    <n v="2023"/>
  </r>
  <r>
    <s v="O01557"/>
    <d v="2023-05-14T00:00:00"/>
    <x v="1"/>
    <x v="3"/>
    <x v="1"/>
    <s v="Phones"/>
    <s v="Product_43"/>
    <n v="3337.42"/>
    <n v="-1077.44"/>
    <n v="0.17"/>
    <x v="0"/>
    <n v="-0.32283620281534842"/>
    <x v="11"/>
    <n v="2023"/>
  </r>
  <r>
    <s v="O01558"/>
    <d v="2022-11-19T00:00:00"/>
    <x v="186"/>
    <x v="2"/>
    <x v="2"/>
    <s v="Bookcases"/>
    <s v="Product_16"/>
    <n v="4925.8599999999997"/>
    <n v="-664.53"/>
    <n v="0.11"/>
    <x v="0"/>
    <n v="-0.13490639198028365"/>
    <x v="9"/>
    <n v="2022"/>
  </r>
  <r>
    <s v="O01559"/>
    <d v="2023-03-02T00:00:00"/>
    <x v="379"/>
    <x v="0"/>
    <x v="2"/>
    <s v="Bookcases"/>
    <s v="Product_385"/>
    <n v="2966.19"/>
    <n v="-151.47"/>
    <n v="0.19"/>
    <x v="0"/>
    <n v="-5.1065508278296402E-2"/>
    <x v="6"/>
    <n v="2023"/>
  </r>
  <r>
    <s v="O01560"/>
    <d v="2023-07-05T00:00:00"/>
    <x v="455"/>
    <x v="2"/>
    <x v="1"/>
    <s v="Copiers"/>
    <s v="Product_311"/>
    <n v="3745.85"/>
    <n v="-1029.47"/>
    <n v="0.3"/>
    <x v="0"/>
    <n v="-0.2748294779556042"/>
    <x v="2"/>
    <n v="2023"/>
  </r>
  <r>
    <s v="O01561"/>
    <d v="2022-10-24T00:00:00"/>
    <x v="492"/>
    <x v="1"/>
    <x v="2"/>
    <s v="Chairs"/>
    <s v="Product_393"/>
    <n v="2039.17"/>
    <n v="-394.82"/>
    <n v="0.06"/>
    <x v="0"/>
    <n v="-0.19361799163385102"/>
    <x v="5"/>
    <n v="2022"/>
  </r>
  <r>
    <s v="O01562"/>
    <d v="2023-09-06T00:00:00"/>
    <x v="26"/>
    <x v="3"/>
    <x v="0"/>
    <s v="Paper"/>
    <s v="Product_395"/>
    <n v="2795.34"/>
    <n v="-501.34"/>
    <n v="0.11"/>
    <x v="0"/>
    <n v="-0.17934848712500087"/>
    <x v="7"/>
    <n v="2023"/>
  </r>
  <r>
    <s v="O01563"/>
    <d v="2023-10-14T00:00:00"/>
    <x v="611"/>
    <x v="2"/>
    <x v="1"/>
    <s v="Copiers"/>
    <s v="Product_116"/>
    <n v="617.63"/>
    <n v="65.56"/>
    <n v="0.27"/>
    <x v="1"/>
    <n v="0.10614769360296618"/>
    <x v="5"/>
    <n v="2023"/>
  </r>
  <r>
    <s v="O01564"/>
    <d v="2022-06-10T00:00:00"/>
    <x v="570"/>
    <x v="2"/>
    <x v="1"/>
    <s v="Accessories"/>
    <s v="Product_148"/>
    <n v="3808.46"/>
    <n v="1008.21"/>
    <n v="0.09"/>
    <x v="1"/>
    <n v="0.26472905058737656"/>
    <x v="8"/>
    <n v="2022"/>
  </r>
  <r>
    <s v="O01565"/>
    <d v="2023-12-01T00:00:00"/>
    <x v="383"/>
    <x v="2"/>
    <x v="2"/>
    <s v="Bookcases"/>
    <s v="Product_298"/>
    <n v="4166.34"/>
    <n v="-151.18"/>
    <n v="0.23"/>
    <x v="0"/>
    <n v="-3.6286044825914354E-2"/>
    <x v="4"/>
    <n v="2023"/>
  </r>
  <r>
    <s v="O01566"/>
    <d v="2023-09-26T00:00:00"/>
    <x v="687"/>
    <x v="1"/>
    <x v="0"/>
    <s v="Paper"/>
    <s v="Product_313"/>
    <n v="4873.8100000000004"/>
    <n v="301.45"/>
    <n v="0.12"/>
    <x v="1"/>
    <n v="6.1850995422472348E-2"/>
    <x v="7"/>
    <n v="2023"/>
  </r>
  <r>
    <s v="O01567"/>
    <d v="2022-01-24T00:00:00"/>
    <x v="411"/>
    <x v="1"/>
    <x v="0"/>
    <s v="Storage"/>
    <s v="Product_86"/>
    <n v="4994.66"/>
    <n v="296.13"/>
    <n v="0.18"/>
    <x v="1"/>
    <n v="5.9289320994822474E-2"/>
    <x v="1"/>
    <n v="2022"/>
  </r>
  <r>
    <s v="O01568"/>
    <d v="2023-09-08T00:00:00"/>
    <x v="231"/>
    <x v="2"/>
    <x v="0"/>
    <s v="Storage"/>
    <s v="Product_283"/>
    <n v="2412.38"/>
    <n v="-18.87"/>
    <n v="0.03"/>
    <x v="0"/>
    <n v="-7.8221507391041216E-3"/>
    <x v="7"/>
    <n v="2023"/>
  </r>
  <r>
    <s v="O01569"/>
    <d v="2022-09-03T00:00:00"/>
    <x v="501"/>
    <x v="2"/>
    <x v="0"/>
    <s v="Binders"/>
    <s v="Product_480"/>
    <n v="4266.51"/>
    <n v="-121.86"/>
    <n v="0.05"/>
    <x v="0"/>
    <n v="-2.8561986260432999E-2"/>
    <x v="7"/>
    <n v="2022"/>
  </r>
  <r>
    <s v="O01570"/>
    <d v="2022-07-31T00:00:00"/>
    <x v="289"/>
    <x v="2"/>
    <x v="0"/>
    <s v="Binders"/>
    <s v="Product_236"/>
    <n v="1681.35"/>
    <n v="414.73"/>
    <n v="0.09"/>
    <x v="1"/>
    <n v="0.24666488238617779"/>
    <x v="2"/>
    <n v="2022"/>
  </r>
  <r>
    <s v="O01571"/>
    <d v="2023-04-18T00:00:00"/>
    <x v="15"/>
    <x v="0"/>
    <x v="2"/>
    <s v="Bookcases"/>
    <s v="Product_412"/>
    <n v="3055.92"/>
    <n v="-67.069999999999993"/>
    <n v="0.3"/>
    <x v="0"/>
    <n v="-2.1947564072357914E-2"/>
    <x v="0"/>
    <n v="2023"/>
  </r>
  <r>
    <s v="O01572"/>
    <d v="2022-03-13T00:00:00"/>
    <x v="572"/>
    <x v="0"/>
    <x v="0"/>
    <s v="Paper"/>
    <s v="Product_350"/>
    <n v="4373.22"/>
    <n v="-1412.91"/>
    <n v="0.27"/>
    <x v="0"/>
    <n v="-0.32308230548657513"/>
    <x v="6"/>
    <n v="2022"/>
  </r>
  <r>
    <s v="O01573"/>
    <d v="2022-03-14T00:00:00"/>
    <x v="215"/>
    <x v="3"/>
    <x v="0"/>
    <s v="Paper"/>
    <s v="Product_453"/>
    <n v="4348.6099999999997"/>
    <n v="75.239999999999995"/>
    <n v="0.3"/>
    <x v="1"/>
    <n v="1.7302080434897588E-2"/>
    <x v="6"/>
    <n v="2022"/>
  </r>
  <r>
    <s v="O01574"/>
    <d v="2023-07-01T00:00:00"/>
    <x v="157"/>
    <x v="0"/>
    <x v="0"/>
    <s v="Storage"/>
    <s v="Product_225"/>
    <n v="692.81"/>
    <n v="-28.92"/>
    <n v="0.23"/>
    <x v="0"/>
    <n v="-4.1743046434087272E-2"/>
    <x v="2"/>
    <n v="2023"/>
  </r>
  <r>
    <s v="O01575"/>
    <d v="2022-02-10T00:00:00"/>
    <x v="435"/>
    <x v="2"/>
    <x v="1"/>
    <s v="Copiers"/>
    <s v="Product_367"/>
    <n v="392.95"/>
    <n v="22.39"/>
    <n v="0.24"/>
    <x v="1"/>
    <n v="5.6979259447766897E-2"/>
    <x v="10"/>
    <n v="2022"/>
  </r>
  <r>
    <s v="O01576"/>
    <d v="2022-05-30T00:00:00"/>
    <x v="688"/>
    <x v="0"/>
    <x v="0"/>
    <s v="Storage"/>
    <s v="Product_370"/>
    <n v="3283.19"/>
    <n v="-839.07"/>
    <n v="0.13"/>
    <x v="0"/>
    <n v="-0.25556547138606051"/>
    <x v="11"/>
    <n v="2022"/>
  </r>
  <r>
    <s v="O01577"/>
    <d v="2023-05-10T00:00:00"/>
    <x v="43"/>
    <x v="3"/>
    <x v="2"/>
    <s v="Tables"/>
    <s v="Product_50"/>
    <n v="2123.1799999999998"/>
    <n v="526.09"/>
    <n v="0.1"/>
    <x v="1"/>
    <n v="0.24778398440075738"/>
    <x v="11"/>
    <n v="2023"/>
  </r>
  <r>
    <s v="O01578"/>
    <d v="2022-09-08T00:00:00"/>
    <x v="225"/>
    <x v="3"/>
    <x v="1"/>
    <s v="Copiers"/>
    <s v="Product_176"/>
    <n v="3499.21"/>
    <n v="299.01"/>
    <n v="0.14000000000000001"/>
    <x v="1"/>
    <n v="8.5450716018758519E-2"/>
    <x v="7"/>
    <n v="2022"/>
  </r>
  <r>
    <s v="O01579"/>
    <d v="2023-08-05T00:00:00"/>
    <x v="134"/>
    <x v="0"/>
    <x v="1"/>
    <s v="Copiers"/>
    <s v="Product_390"/>
    <n v="2278.89"/>
    <n v="-46.18"/>
    <n v="0.24"/>
    <x v="0"/>
    <n v="-2.0264251455752582E-2"/>
    <x v="3"/>
    <n v="2023"/>
  </r>
  <r>
    <s v="O01580"/>
    <d v="2023-08-01T00:00:00"/>
    <x v="128"/>
    <x v="3"/>
    <x v="2"/>
    <s v="Chairs"/>
    <s v="Product_158"/>
    <n v="2656.72"/>
    <n v="845.11"/>
    <n v="0.01"/>
    <x v="1"/>
    <n v="0.31810277334457532"/>
    <x v="3"/>
    <n v="2023"/>
  </r>
  <r>
    <s v="O01581"/>
    <d v="2023-11-21T00:00:00"/>
    <x v="369"/>
    <x v="1"/>
    <x v="0"/>
    <s v="Binders"/>
    <s v="Product_381"/>
    <n v="2881.44"/>
    <n v="397.2"/>
    <n v="0.09"/>
    <x v="1"/>
    <n v="0.13784774279526901"/>
    <x v="9"/>
    <n v="2023"/>
  </r>
  <r>
    <s v="O01582"/>
    <d v="2023-10-15T00:00:00"/>
    <x v="47"/>
    <x v="0"/>
    <x v="0"/>
    <s v="Binders"/>
    <s v="Product_436"/>
    <n v="817.98"/>
    <n v="-48.64"/>
    <n v="0.09"/>
    <x v="0"/>
    <n v="-5.9463556566175212E-2"/>
    <x v="5"/>
    <n v="2023"/>
  </r>
  <r>
    <s v="O01583"/>
    <d v="2023-06-05T00:00:00"/>
    <x v="152"/>
    <x v="2"/>
    <x v="2"/>
    <s v="Bookcases"/>
    <s v="Product_245"/>
    <n v="1584.49"/>
    <n v="-355.48"/>
    <n v="0.18"/>
    <x v="0"/>
    <n v="-0.22434979078441644"/>
    <x v="8"/>
    <n v="2023"/>
  </r>
  <r>
    <s v="O01584"/>
    <d v="2023-05-29T00:00:00"/>
    <x v="360"/>
    <x v="3"/>
    <x v="0"/>
    <s v="Binders"/>
    <s v="Product_194"/>
    <n v="4864.78"/>
    <n v="-183.49"/>
    <n v="0.19"/>
    <x v="0"/>
    <n v="-3.7718046859261882E-2"/>
    <x v="11"/>
    <n v="2023"/>
  </r>
  <r>
    <s v="O01585"/>
    <d v="2023-01-24T00:00:00"/>
    <x v="544"/>
    <x v="0"/>
    <x v="1"/>
    <s v="Copiers"/>
    <s v="Product_176"/>
    <n v="928.69"/>
    <n v="-236.6"/>
    <n v="0.16"/>
    <x v="0"/>
    <n v="-0.25476746815406648"/>
    <x v="1"/>
    <n v="2023"/>
  </r>
  <r>
    <s v="O01586"/>
    <d v="2022-05-03T00:00:00"/>
    <x v="20"/>
    <x v="1"/>
    <x v="2"/>
    <s v="Tables"/>
    <s v="Product_183"/>
    <n v="1111.5"/>
    <n v="128.03"/>
    <n v="0.05"/>
    <x v="1"/>
    <n v="0.11518668466036887"/>
    <x v="11"/>
    <n v="2022"/>
  </r>
  <r>
    <s v="O01587"/>
    <d v="2023-06-21T00:00:00"/>
    <x v="47"/>
    <x v="1"/>
    <x v="1"/>
    <s v="Accessories"/>
    <s v="Product_187"/>
    <n v="2890.1"/>
    <n v="-1105.98"/>
    <n v="0.19"/>
    <x v="0"/>
    <n v="-0.38267880004152105"/>
    <x v="8"/>
    <n v="2023"/>
  </r>
  <r>
    <s v="O01588"/>
    <d v="2022-03-10T00:00:00"/>
    <x v="518"/>
    <x v="0"/>
    <x v="0"/>
    <s v="Binders"/>
    <s v="Product_497"/>
    <n v="2052.61"/>
    <n v="-66.28"/>
    <n v="0.03"/>
    <x v="0"/>
    <n v="-3.2290595875495098E-2"/>
    <x v="6"/>
    <n v="2022"/>
  </r>
  <r>
    <s v="O01589"/>
    <d v="2022-07-07T00:00:00"/>
    <x v="183"/>
    <x v="1"/>
    <x v="2"/>
    <s v="Tables"/>
    <s v="Product_117"/>
    <n v="2876.84"/>
    <n v="-334.74"/>
    <n v="7.0000000000000007E-2"/>
    <x v="0"/>
    <n v="-0.1163568359728035"/>
    <x v="2"/>
    <n v="2022"/>
  </r>
  <r>
    <s v="O01590"/>
    <d v="2023-07-20T00:00:00"/>
    <x v="648"/>
    <x v="0"/>
    <x v="0"/>
    <s v="Storage"/>
    <s v="Product_381"/>
    <n v="2334.7199999999998"/>
    <n v="363.01"/>
    <n v="0.01"/>
    <x v="1"/>
    <n v="0.15548331277412281"/>
    <x v="2"/>
    <n v="2023"/>
  </r>
  <r>
    <s v="O01591"/>
    <d v="2023-06-20T00:00:00"/>
    <x v="689"/>
    <x v="0"/>
    <x v="2"/>
    <s v="Bookcases"/>
    <s v="Product_107"/>
    <n v="4170.3900000000003"/>
    <n v="1342.37"/>
    <n v="0.02"/>
    <x v="1"/>
    <n v="0.3218811669891784"/>
    <x v="8"/>
    <n v="2023"/>
  </r>
  <r>
    <s v="O01592"/>
    <d v="2023-07-04T00:00:00"/>
    <x v="690"/>
    <x v="3"/>
    <x v="2"/>
    <s v="Chairs"/>
    <s v="Product_405"/>
    <n v="2969.82"/>
    <n v="-271.55"/>
    <n v="0.17"/>
    <x v="0"/>
    <n v="-9.1436518038130257E-2"/>
    <x v="2"/>
    <n v="2023"/>
  </r>
  <r>
    <s v="O01593"/>
    <d v="2022-07-22T00:00:00"/>
    <x v="108"/>
    <x v="1"/>
    <x v="0"/>
    <s v="Binders"/>
    <s v="Product_307"/>
    <n v="1062.49"/>
    <n v="-191.21"/>
    <n v="0.03"/>
    <x v="0"/>
    <n v="-0.17996404672043972"/>
    <x v="2"/>
    <n v="2022"/>
  </r>
  <r>
    <s v="O01594"/>
    <d v="2022-04-25T00:00:00"/>
    <x v="194"/>
    <x v="2"/>
    <x v="1"/>
    <s v="Accessories"/>
    <s v="Product_399"/>
    <n v="2889.71"/>
    <n v="423.87"/>
    <n v="0.17"/>
    <x v="1"/>
    <n v="0.14668253907831583"/>
    <x v="0"/>
    <n v="2022"/>
  </r>
  <r>
    <s v="O01595"/>
    <d v="2022-01-01T00:00:00"/>
    <x v="264"/>
    <x v="2"/>
    <x v="0"/>
    <s v="Binders"/>
    <s v="Product_308"/>
    <n v="2985.79"/>
    <n v="189.08"/>
    <n v="0.19"/>
    <x v="1"/>
    <n v="6.3326623774612414E-2"/>
    <x v="1"/>
    <n v="2022"/>
  </r>
  <r>
    <s v="O01596"/>
    <d v="2022-10-18T00:00:00"/>
    <x v="583"/>
    <x v="3"/>
    <x v="1"/>
    <s v="Accessories"/>
    <s v="Product_136"/>
    <n v="3192.53"/>
    <n v="-32.03"/>
    <n v="0.1"/>
    <x v="0"/>
    <n v="-1.0032795306543713E-2"/>
    <x v="5"/>
    <n v="2022"/>
  </r>
  <r>
    <s v="O01597"/>
    <d v="2023-10-03T00:00:00"/>
    <x v="294"/>
    <x v="0"/>
    <x v="0"/>
    <s v="Binders"/>
    <s v="Product_388"/>
    <n v="1771.6"/>
    <n v="-173.9"/>
    <n v="0.2"/>
    <x v="0"/>
    <n v="-9.8159855497855053E-2"/>
    <x v="5"/>
    <n v="2023"/>
  </r>
  <r>
    <s v="O01598"/>
    <d v="2023-05-23T00:00:00"/>
    <x v="629"/>
    <x v="1"/>
    <x v="2"/>
    <s v="Tables"/>
    <s v="Product_34"/>
    <n v="131.93"/>
    <n v="-21.67"/>
    <n v="0.27"/>
    <x v="0"/>
    <n v="-0.1642537709391344"/>
    <x v="11"/>
    <n v="2023"/>
  </r>
  <r>
    <s v="O01599"/>
    <d v="2023-10-16T00:00:00"/>
    <x v="51"/>
    <x v="1"/>
    <x v="1"/>
    <s v="Copiers"/>
    <s v="Product_100"/>
    <n v="1592.74"/>
    <n v="-340.98"/>
    <n v="0.28000000000000003"/>
    <x v="0"/>
    <n v="-0.21408390572221456"/>
    <x v="5"/>
    <n v="2023"/>
  </r>
  <r>
    <s v="O01600"/>
    <d v="2023-06-28T00:00:00"/>
    <x v="656"/>
    <x v="0"/>
    <x v="2"/>
    <s v="Chairs"/>
    <s v="Product_351"/>
    <n v="1144.76"/>
    <n v="-180.86"/>
    <n v="0.15"/>
    <x v="0"/>
    <n v="-0.1579894475697963"/>
    <x v="8"/>
    <n v="2023"/>
  </r>
  <r>
    <s v="O01601"/>
    <d v="2022-07-16T00:00:00"/>
    <x v="601"/>
    <x v="2"/>
    <x v="1"/>
    <s v="Copiers"/>
    <s v="Product_403"/>
    <n v="1130.43"/>
    <n v="-232.58"/>
    <n v="0.2"/>
    <x v="0"/>
    <n v="-0.2057447166122626"/>
    <x v="2"/>
    <n v="2022"/>
  </r>
  <r>
    <s v="O01602"/>
    <d v="2023-05-01T00:00:00"/>
    <x v="231"/>
    <x v="2"/>
    <x v="2"/>
    <s v="Chairs"/>
    <s v="Product_400"/>
    <n v="3089.6"/>
    <n v="1001.11"/>
    <n v="0.05"/>
    <x v="1"/>
    <n v="0.32402576385292597"/>
    <x v="11"/>
    <n v="2023"/>
  </r>
  <r>
    <s v="O01603"/>
    <d v="2022-11-07T00:00:00"/>
    <x v="641"/>
    <x v="1"/>
    <x v="0"/>
    <s v="Paper"/>
    <s v="Product_157"/>
    <n v="1220.75"/>
    <n v="342.54"/>
    <n v="0.08"/>
    <x v="1"/>
    <n v="0.28059799303706739"/>
    <x v="9"/>
    <n v="2022"/>
  </r>
  <r>
    <s v="O01604"/>
    <d v="2023-03-12T00:00:00"/>
    <x v="552"/>
    <x v="2"/>
    <x v="1"/>
    <s v="Copiers"/>
    <s v="Product_391"/>
    <n v="1834.27"/>
    <n v="-275.45999999999998"/>
    <n v="0.22"/>
    <x v="0"/>
    <n v="-0.1501741837352189"/>
    <x v="6"/>
    <n v="2023"/>
  </r>
  <r>
    <s v="O01605"/>
    <d v="2022-12-29T00:00:00"/>
    <x v="336"/>
    <x v="1"/>
    <x v="1"/>
    <s v="Phones"/>
    <s v="Product_500"/>
    <n v="3834.89"/>
    <n v="1001.7"/>
    <n v="0.12"/>
    <x v="1"/>
    <n v="0.26120697073449306"/>
    <x v="4"/>
    <n v="2022"/>
  </r>
  <r>
    <s v="O01606"/>
    <d v="2022-09-20T00:00:00"/>
    <x v="369"/>
    <x v="3"/>
    <x v="1"/>
    <s v="Accessories"/>
    <s v="Product_13"/>
    <n v="195.45"/>
    <n v="-55.67"/>
    <n v="0.21"/>
    <x v="0"/>
    <n v="-0.28482987976464569"/>
    <x v="7"/>
    <n v="2022"/>
  </r>
  <r>
    <s v="O01607"/>
    <d v="2022-07-24T00:00:00"/>
    <x v="200"/>
    <x v="2"/>
    <x v="1"/>
    <s v="Accessories"/>
    <s v="Product_439"/>
    <n v="3975.51"/>
    <n v="143.05000000000001"/>
    <n v="0.1"/>
    <x v="1"/>
    <n v="3.5982804721909893E-2"/>
    <x v="2"/>
    <n v="2022"/>
  </r>
  <r>
    <s v="O01608"/>
    <d v="2023-08-31T00:00:00"/>
    <x v="95"/>
    <x v="0"/>
    <x v="1"/>
    <s v="Phones"/>
    <s v="Product_400"/>
    <n v="464.69"/>
    <n v="85.37"/>
    <n v="0.05"/>
    <x v="1"/>
    <n v="0.1837138737653059"/>
    <x v="3"/>
    <n v="2023"/>
  </r>
  <r>
    <s v="O01609"/>
    <d v="2022-10-14T00:00:00"/>
    <x v="691"/>
    <x v="2"/>
    <x v="0"/>
    <s v="Paper"/>
    <s v="Product_31"/>
    <n v="3470.22"/>
    <n v="-616.91999999999996"/>
    <n v="0.27"/>
    <x v="0"/>
    <n v="-0.17777547244843267"/>
    <x v="5"/>
    <n v="2022"/>
  </r>
  <r>
    <s v="O01610"/>
    <d v="2022-10-19T00:00:00"/>
    <x v="651"/>
    <x v="2"/>
    <x v="2"/>
    <s v="Chairs"/>
    <s v="Product_69"/>
    <n v="3234.18"/>
    <n v="-188.65"/>
    <n v="0.08"/>
    <x v="0"/>
    <n v="-5.8330086760786354E-2"/>
    <x v="5"/>
    <n v="2022"/>
  </r>
  <r>
    <s v="O01611"/>
    <d v="2022-06-05T00:00:00"/>
    <x v="563"/>
    <x v="3"/>
    <x v="0"/>
    <s v="Binders"/>
    <s v="Product_294"/>
    <n v="1690.27"/>
    <n v="-307.18"/>
    <n v="0.23"/>
    <x v="0"/>
    <n v="-0.1817342791388358"/>
    <x v="8"/>
    <n v="2022"/>
  </r>
  <r>
    <s v="O01612"/>
    <d v="2023-11-08T00:00:00"/>
    <x v="387"/>
    <x v="3"/>
    <x v="2"/>
    <s v="Bookcases"/>
    <s v="Product_354"/>
    <n v="531.23"/>
    <n v="39.119999999999997"/>
    <n v="7.0000000000000007E-2"/>
    <x v="1"/>
    <n v="7.3640419404024618E-2"/>
    <x v="9"/>
    <n v="2023"/>
  </r>
  <r>
    <s v="O01613"/>
    <d v="2023-12-30T00:00:00"/>
    <x v="557"/>
    <x v="3"/>
    <x v="2"/>
    <s v="Chairs"/>
    <s v="Product_491"/>
    <n v="3883.29"/>
    <n v="976.8"/>
    <n v="0.02"/>
    <x v="1"/>
    <n v="0.25153928756286548"/>
    <x v="4"/>
    <n v="2023"/>
  </r>
  <r>
    <s v="O01614"/>
    <d v="2022-08-22T00:00:00"/>
    <x v="632"/>
    <x v="3"/>
    <x v="1"/>
    <s v="Accessories"/>
    <s v="Product_171"/>
    <n v="3761.64"/>
    <n v="-252.93"/>
    <n v="0.06"/>
    <x v="0"/>
    <n v="-6.7239289246179862E-2"/>
    <x v="3"/>
    <n v="2022"/>
  </r>
  <r>
    <s v="O01615"/>
    <d v="2022-01-24T00:00:00"/>
    <x v="235"/>
    <x v="0"/>
    <x v="2"/>
    <s v="Bookcases"/>
    <s v="Product_329"/>
    <n v="4860.05"/>
    <n v="399.35"/>
    <n v="0.08"/>
    <x v="1"/>
    <n v="8.2169936523286802E-2"/>
    <x v="1"/>
    <n v="2022"/>
  </r>
  <r>
    <s v="O01616"/>
    <d v="2023-06-26T00:00:00"/>
    <x v="86"/>
    <x v="3"/>
    <x v="1"/>
    <s v="Accessories"/>
    <s v="Product_9"/>
    <n v="2041.91"/>
    <n v="-655.82"/>
    <n v="0.15"/>
    <x v="0"/>
    <n v="-0.32117967980959006"/>
    <x v="8"/>
    <n v="2023"/>
  </r>
  <r>
    <s v="O01617"/>
    <d v="2022-12-01T00:00:00"/>
    <x v="64"/>
    <x v="2"/>
    <x v="0"/>
    <s v="Paper"/>
    <s v="Product_145"/>
    <n v="4978.71"/>
    <n v="168.52"/>
    <n v="0.28999999999999998"/>
    <x v="1"/>
    <n v="3.3848125317602354E-2"/>
    <x v="4"/>
    <n v="2022"/>
  </r>
  <r>
    <s v="O01618"/>
    <d v="2023-07-26T00:00:00"/>
    <x v="179"/>
    <x v="0"/>
    <x v="0"/>
    <s v="Paper"/>
    <s v="Product_273"/>
    <n v="3208.43"/>
    <n v="-259.29000000000002"/>
    <n v="0.22"/>
    <x v="0"/>
    <n v="-8.0815227385356708E-2"/>
    <x v="2"/>
    <n v="2023"/>
  </r>
  <r>
    <s v="O01619"/>
    <d v="2023-09-17T00:00:00"/>
    <x v="20"/>
    <x v="1"/>
    <x v="2"/>
    <s v="Bookcases"/>
    <s v="Product_385"/>
    <n v="4246.87"/>
    <n v="1373.85"/>
    <n v="0.03"/>
    <x v="1"/>
    <n v="0.32349706960655727"/>
    <x v="7"/>
    <n v="2023"/>
  </r>
  <r>
    <s v="O01620"/>
    <d v="2022-06-05T00:00:00"/>
    <x v="578"/>
    <x v="3"/>
    <x v="2"/>
    <s v="Bookcases"/>
    <s v="Product_38"/>
    <n v="2211.64"/>
    <n v="-20.41"/>
    <n v="0.08"/>
    <x v="0"/>
    <n v="-9.2284458591814222E-3"/>
    <x v="8"/>
    <n v="2022"/>
  </r>
  <r>
    <s v="O01621"/>
    <d v="2023-03-19T00:00:00"/>
    <x v="503"/>
    <x v="2"/>
    <x v="2"/>
    <s v="Bookcases"/>
    <s v="Product_295"/>
    <n v="2918.6"/>
    <n v="375.53"/>
    <n v="0.14000000000000001"/>
    <x v="1"/>
    <n v="0.12866785445076406"/>
    <x v="6"/>
    <n v="2023"/>
  </r>
  <r>
    <s v="O01622"/>
    <d v="2022-11-27T00:00:00"/>
    <x v="457"/>
    <x v="1"/>
    <x v="1"/>
    <s v="Phones"/>
    <s v="Product_133"/>
    <n v="3156.08"/>
    <n v="-993.78"/>
    <n v="0.12"/>
    <x v="0"/>
    <n v="-0.31487794986185397"/>
    <x v="9"/>
    <n v="2022"/>
  </r>
  <r>
    <s v="O01623"/>
    <d v="2023-11-13T00:00:00"/>
    <x v="692"/>
    <x v="3"/>
    <x v="2"/>
    <s v="Bookcases"/>
    <s v="Product_458"/>
    <n v="3405.24"/>
    <n v="-86.32"/>
    <n v="0.1"/>
    <x v="0"/>
    <n v="-2.5349167753227379E-2"/>
    <x v="9"/>
    <n v="2023"/>
  </r>
  <r>
    <s v="O01624"/>
    <d v="2022-07-05T00:00:00"/>
    <x v="615"/>
    <x v="0"/>
    <x v="0"/>
    <s v="Storage"/>
    <s v="Product_274"/>
    <n v="847.76"/>
    <n v="-259.68"/>
    <n v="0.23"/>
    <x v="0"/>
    <n v="-0.30631310748324997"/>
    <x v="2"/>
    <n v="2022"/>
  </r>
  <r>
    <s v="O01625"/>
    <d v="2022-12-02T00:00:00"/>
    <x v="296"/>
    <x v="1"/>
    <x v="0"/>
    <s v="Binders"/>
    <s v="Product_337"/>
    <n v="3919.37"/>
    <n v="834.03"/>
    <n v="0.16"/>
    <x v="1"/>
    <n v="0.21279695461260356"/>
    <x v="4"/>
    <n v="2022"/>
  </r>
  <r>
    <s v="O01626"/>
    <d v="2022-08-11T00:00:00"/>
    <x v="693"/>
    <x v="3"/>
    <x v="2"/>
    <s v="Chairs"/>
    <s v="Product_14"/>
    <n v="1584.35"/>
    <n v="-265.14999999999998"/>
    <n v="0.13"/>
    <x v="0"/>
    <n v="-0.16735569792028276"/>
    <x v="3"/>
    <n v="2022"/>
  </r>
  <r>
    <s v="O01627"/>
    <d v="2022-08-02T00:00:00"/>
    <x v="6"/>
    <x v="0"/>
    <x v="2"/>
    <s v="Tables"/>
    <s v="Product_229"/>
    <n v="703.24"/>
    <n v="-326.83"/>
    <n v="0.28000000000000003"/>
    <x v="0"/>
    <n v="-0.4647488766281781"/>
    <x v="3"/>
    <n v="2022"/>
  </r>
  <r>
    <s v="O01628"/>
    <d v="2022-05-08T00:00:00"/>
    <x v="635"/>
    <x v="1"/>
    <x v="1"/>
    <s v="Accessories"/>
    <s v="Product_260"/>
    <n v="1073.32"/>
    <n v="-81.430000000000007"/>
    <n v="0.23"/>
    <x v="0"/>
    <n v="-7.5867402079528953E-2"/>
    <x v="11"/>
    <n v="2022"/>
  </r>
  <r>
    <s v="O01629"/>
    <d v="2023-05-16T00:00:00"/>
    <x v="212"/>
    <x v="3"/>
    <x v="0"/>
    <s v="Storage"/>
    <s v="Product_384"/>
    <n v="2630.83"/>
    <n v="-326.79000000000002"/>
    <n v="0.05"/>
    <x v="0"/>
    <n v="-0.12421555174602693"/>
    <x v="11"/>
    <n v="2023"/>
  </r>
  <r>
    <s v="O01630"/>
    <d v="2023-01-04T00:00:00"/>
    <x v="83"/>
    <x v="3"/>
    <x v="1"/>
    <s v="Accessories"/>
    <s v="Product_261"/>
    <n v="1035.81"/>
    <n v="-20.85"/>
    <n v="0.3"/>
    <x v="0"/>
    <n v="-2.0129174269412346E-2"/>
    <x v="1"/>
    <n v="2023"/>
  </r>
  <r>
    <s v="O01631"/>
    <d v="2022-04-13T00:00:00"/>
    <x v="315"/>
    <x v="3"/>
    <x v="2"/>
    <s v="Tables"/>
    <s v="Product_485"/>
    <n v="179.11"/>
    <n v="-10.39"/>
    <n v="0.11"/>
    <x v="0"/>
    <n v="-5.8009044721121096E-2"/>
    <x v="0"/>
    <n v="2022"/>
  </r>
  <r>
    <s v="O01632"/>
    <d v="2023-12-20T00:00:00"/>
    <x v="562"/>
    <x v="2"/>
    <x v="1"/>
    <s v="Phones"/>
    <s v="Product_449"/>
    <n v="2227.33"/>
    <n v="-600.45000000000005"/>
    <n v="0.25"/>
    <x v="0"/>
    <n v="-0.26958286378758428"/>
    <x v="4"/>
    <n v="2023"/>
  </r>
  <r>
    <s v="O01633"/>
    <d v="2022-11-28T00:00:00"/>
    <x v="228"/>
    <x v="1"/>
    <x v="1"/>
    <s v="Phones"/>
    <s v="Product_434"/>
    <n v="4761.41"/>
    <n v="516.21"/>
    <n v="0.08"/>
    <x v="1"/>
    <n v="0.10841536435635664"/>
    <x v="9"/>
    <n v="2022"/>
  </r>
  <r>
    <s v="O01634"/>
    <d v="2023-12-13T00:00:00"/>
    <x v="95"/>
    <x v="0"/>
    <x v="2"/>
    <s v="Chairs"/>
    <s v="Product_32"/>
    <n v="2866.44"/>
    <n v="-420.06"/>
    <n v="0.04"/>
    <x v="0"/>
    <n v="-0.14654414535102775"/>
    <x v="4"/>
    <n v="2023"/>
  </r>
  <r>
    <s v="O01635"/>
    <d v="2023-03-01T00:00:00"/>
    <x v="115"/>
    <x v="2"/>
    <x v="0"/>
    <s v="Binders"/>
    <s v="Product_89"/>
    <n v="4345.09"/>
    <n v="-768.98"/>
    <n v="0.2"/>
    <x v="0"/>
    <n v="-0.17697677148229379"/>
    <x v="6"/>
    <n v="2023"/>
  </r>
  <r>
    <s v="O01636"/>
    <d v="2022-07-05T00:00:00"/>
    <x v="120"/>
    <x v="0"/>
    <x v="2"/>
    <s v="Bookcases"/>
    <s v="Product_403"/>
    <n v="4829.97"/>
    <n v="319.7"/>
    <n v="0.22"/>
    <x v="1"/>
    <n v="6.6190887313999872E-2"/>
    <x v="2"/>
    <n v="2022"/>
  </r>
  <r>
    <s v="O01637"/>
    <d v="2022-09-29T00:00:00"/>
    <x v="559"/>
    <x v="3"/>
    <x v="2"/>
    <s v="Chairs"/>
    <s v="Product_15"/>
    <n v="2538.02"/>
    <n v="216.21"/>
    <n v="0.09"/>
    <x v="1"/>
    <n v="8.5188453991694321E-2"/>
    <x v="7"/>
    <n v="2022"/>
  </r>
  <r>
    <s v="O01638"/>
    <d v="2022-05-28T00:00:00"/>
    <x v="618"/>
    <x v="0"/>
    <x v="2"/>
    <s v="Tables"/>
    <s v="Product_277"/>
    <n v="239.63"/>
    <n v="24.2"/>
    <n v="0.14000000000000001"/>
    <x v="1"/>
    <n v="0.10098902474648416"/>
    <x v="11"/>
    <n v="2022"/>
  </r>
  <r>
    <s v="O01639"/>
    <d v="2022-12-24T00:00:00"/>
    <x v="694"/>
    <x v="0"/>
    <x v="1"/>
    <s v="Copiers"/>
    <s v="Product_215"/>
    <n v="3640.36"/>
    <n v="-691.42"/>
    <n v="0.05"/>
    <x v="0"/>
    <n v="-0.18993176499027567"/>
    <x v="4"/>
    <n v="2022"/>
  </r>
  <r>
    <s v="O01640"/>
    <d v="2023-07-04T00:00:00"/>
    <x v="294"/>
    <x v="1"/>
    <x v="2"/>
    <s v="Chairs"/>
    <s v="Product_439"/>
    <n v="4846.78"/>
    <n v="-440.83"/>
    <n v="0.14000000000000001"/>
    <x v="0"/>
    <n v="-9.0953168908017287E-2"/>
    <x v="2"/>
    <n v="2023"/>
  </r>
  <r>
    <s v="O01641"/>
    <d v="2022-09-21T00:00:00"/>
    <x v="573"/>
    <x v="3"/>
    <x v="0"/>
    <s v="Storage"/>
    <s v="Product_337"/>
    <n v="103.54"/>
    <n v="20.68"/>
    <n v="0.14000000000000001"/>
    <x v="1"/>
    <n v="0.19972957311184081"/>
    <x v="7"/>
    <n v="2022"/>
  </r>
  <r>
    <s v="O01642"/>
    <d v="2023-05-20T00:00:00"/>
    <x v="695"/>
    <x v="1"/>
    <x v="0"/>
    <s v="Paper"/>
    <s v="Product_65"/>
    <n v="4788.84"/>
    <n v="-1638.55"/>
    <n v="0.2"/>
    <x v="0"/>
    <n v="-0.34216010557880405"/>
    <x v="11"/>
    <n v="2023"/>
  </r>
  <r>
    <s v="O01643"/>
    <d v="2022-03-26T00:00:00"/>
    <x v="180"/>
    <x v="0"/>
    <x v="2"/>
    <s v="Bookcases"/>
    <s v="Product_368"/>
    <n v="736.06"/>
    <n v="-253.7"/>
    <n v="0.28000000000000003"/>
    <x v="0"/>
    <n v="-0.34467298861505857"/>
    <x v="6"/>
    <n v="2022"/>
  </r>
  <r>
    <s v="O01644"/>
    <d v="2022-07-09T00:00:00"/>
    <x v="696"/>
    <x v="3"/>
    <x v="1"/>
    <s v="Accessories"/>
    <s v="Product_169"/>
    <n v="4445.8999999999996"/>
    <n v="-419.1"/>
    <n v="0.03"/>
    <x v="0"/>
    <n v="-9.4266627679435E-2"/>
    <x v="2"/>
    <n v="2022"/>
  </r>
  <r>
    <s v="O01645"/>
    <d v="2022-10-01T00:00:00"/>
    <x v="18"/>
    <x v="1"/>
    <x v="0"/>
    <s v="Paper"/>
    <s v="Product_168"/>
    <n v="3374.95"/>
    <n v="-46.24"/>
    <n v="0.16"/>
    <x v="0"/>
    <n v="-1.3700943717684707E-2"/>
    <x v="5"/>
    <n v="2022"/>
  </r>
  <r>
    <s v="O01646"/>
    <d v="2022-02-05T00:00:00"/>
    <x v="30"/>
    <x v="2"/>
    <x v="1"/>
    <s v="Accessories"/>
    <s v="Product_324"/>
    <n v="3339.89"/>
    <n v="637.16999999999996"/>
    <n v="0.17"/>
    <x v="1"/>
    <n v="0.190775744111333"/>
    <x v="10"/>
    <n v="2022"/>
  </r>
  <r>
    <s v="O01647"/>
    <d v="2022-09-01T00:00:00"/>
    <x v="491"/>
    <x v="2"/>
    <x v="2"/>
    <s v="Chairs"/>
    <s v="Product_166"/>
    <n v="4899.7"/>
    <n v="885.76"/>
    <n v="0"/>
    <x v="1"/>
    <n v="0.1807784150050003"/>
    <x v="7"/>
    <n v="2022"/>
  </r>
  <r>
    <s v="O01648"/>
    <d v="2023-08-15T00:00:00"/>
    <x v="697"/>
    <x v="2"/>
    <x v="2"/>
    <s v="Bookcases"/>
    <s v="Product_110"/>
    <n v="2455.8000000000002"/>
    <n v="-853.02"/>
    <n v="0.26"/>
    <x v="0"/>
    <n v="-0.34734913266552647"/>
    <x v="3"/>
    <n v="2023"/>
  </r>
  <r>
    <s v="O01649"/>
    <d v="2023-11-03T00:00:00"/>
    <x v="698"/>
    <x v="3"/>
    <x v="1"/>
    <s v="Copiers"/>
    <s v="Product_173"/>
    <n v="1387.74"/>
    <n v="162.33000000000001"/>
    <n v="0.13"/>
    <x v="1"/>
    <n v="0.11697436119157768"/>
    <x v="9"/>
    <n v="2023"/>
  </r>
  <r>
    <s v="O01650"/>
    <d v="2023-04-13T00:00:00"/>
    <x v="358"/>
    <x v="0"/>
    <x v="2"/>
    <s v="Tables"/>
    <s v="Product_343"/>
    <n v="1770.82"/>
    <n v="5.67"/>
    <n v="0.26"/>
    <x v="1"/>
    <n v="3.2019064614133568E-3"/>
    <x v="0"/>
    <n v="2023"/>
  </r>
  <r>
    <s v="O01651"/>
    <d v="2022-01-27T00:00:00"/>
    <x v="217"/>
    <x v="1"/>
    <x v="1"/>
    <s v="Copiers"/>
    <s v="Product_49"/>
    <n v="1388.03"/>
    <n v="-241.64"/>
    <n v="0.23"/>
    <x v="0"/>
    <n v="-0.17408845630137676"/>
    <x v="1"/>
    <n v="2022"/>
  </r>
  <r>
    <s v="O01652"/>
    <d v="2022-05-10T00:00:00"/>
    <x v="72"/>
    <x v="3"/>
    <x v="2"/>
    <s v="Tables"/>
    <s v="Product_232"/>
    <n v="4167.38"/>
    <n v="781.87"/>
    <n v="0.04"/>
    <x v="1"/>
    <n v="0.18761668002437981"/>
    <x v="11"/>
    <n v="2022"/>
  </r>
  <r>
    <s v="O01653"/>
    <d v="2023-06-01T00:00:00"/>
    <x v="419"/>
    <x v="2"/>
    <x v="1"/>
    <s v="Copiers"/>
    <s v="Product_420"/>
    <n v="4923.13"/>
    <n v="1477.83"/>
    <n v="0.02"/>
    <x v="1"/>
    <n v="0.30018098242378322"/>
    <x v="8"/>
    <n v="2023"/>
  </r>
  <r>
    <s v="O01654"/>
    <d v="2022-07-23T00:00:00"/>
    <x v="74"/>
    <x v="3"/>
    <x v="0"/>
    <s v="Binders"/>
    <s v="Product_270"/>
    <n v="794.37"/>
    <n v="52.07"/>
    <n v="0.2"/>
    <x v="1"/>
    <n v="6.5548799677732042E-2"/>
    <x v="2"/>
    <n v="2022"/>
  </r>
  <r>
    <s v="O01655"/>
    <d v="2023-06-30T00:00:00"/>
    <x v="128"/>
    <x v="1"/>
    <x v="0"/>
    <s v="Binders"/>
    <s v="Product_356"/>
    <n v="2858.13"/>
    <n v="-948.34"/>
    <n v="0.16"/>
    <x v="0"/>
    <n v="-0.33180436159306959"/>
    <x v="8"/>
    <n v="2023"/>
  </r>
  <r>
    <s v="O01656"/>
    <d v="2023-10-12T00:00:00"/>
    <x v="408"/>
    <x v="1"/>
    <x v="0"/>
    <s v="Binders"/>
    <s v="Product_432"/>
    <n v="1934.91"/>
    <n v="-252.74"/>
    <n v="0.03"/>
    <x v="0"/>
    <n v="-0.13062106247835817"/>
    <x v="5"/>
    <n v="2023"/>
  </r>
  <r>
    <s v="O01657"/>
    <d v="2022-07-27T00:00:00"/>
    <x v="26"/>
    <x v="0"/>
    <x v="0"/>
    <s v="Binders"/>
    <s v="Product_492"/>
    <n v="2750.03"/>
    <n v="-647.88"/>
    <n v="0.28999999999999998"/>
    <x v="0"/>
    <n v="-0.23559015719828508"/>
    <x v="2"/>
    <n v="2022"/>
  </r>
  <r>
    <s v="O01658"/>
    <d v="2023-05-03T00:00:00"/>
    <x v="91"/>
    <x v="3"/>
    <x v="1"/>
    <s v="Accessories"/>
    <s v="Product_70"/>
    <n v="2009.88"/>
    <n v="-215.54"/>
    <n v="0.16"/>
    <x v="0"/>
    <n v="-0.10724023324775607"/>
    <x v="11"/>
    <n v="2023"/>
  </r>
  <r>
    <s v="O01659"/>
    <d v="2022-11-16T00:00:00"/>
    <x v="699"/>
    <x v="0"/>
    <x v="0"/>
    <s v="Paper"/>
    <s v="Product_31"/>
    <n v="101.73"/>
    <n v="5.44"/>
    <n v="0.08"/>
    <x v="1"/>
    <n v="5.3474884498181462E-2"/>
    <x v="9"/>
    <n v="2022"/>
  </r>
  <r>
    <s v="O01660"/>
    <d v="2022-09-06T00:00:00"/>
    <x v="587"/>
    <x v="1"/>
    <x v="1"/>
    <s v="Phones"/>
    <s v="Product_331"/>
    <n v="804.58"/>
    <n v="7.04"/>
    <n v="0.25"/>
    <x v="1"/>
    <n v="8.7499067836635264E-3"/>
    <x v="7"/>
    <n v="2022"/>
  </r>
  <r>
    <s v="O01661"/>
    <d v="2022-08-20T00:00:00"/>
    <x v="442"/>
    <x v="1"/>
    <x v="1"/>
    <s v="Accessories"/>
    <s v="Product_458"/>
    <n v="2997.94"/>
    <n v="-179.14"/>
    <n v="7.0000000000000007E-2"/>
    <x v="0"/>
    <n v="-5.9754364663735758E-2"/>
    <x v="3"/>
    <n v="2022"/>
  </r>
  <r>
    <s v="O01662"/>
    <d v="2022-07-30T00:00:00"/>
    <x v="111"/>
    <x v="1"/>
    <x v="1"/>
    <s v="Phones"/>
    <s v="Product_345"/>
    <n v="3657.3"/>
    <n v="85.55"/>
    <n v="0.18"/>
    <x v="1"/>
    <n v="2.3391573018346865E-2"/>
    <x v="2"/>
    <n v="2022"/>
  </r>
  <r>
    <s v="O01663"/>
    <d v="2022-04-16T00:00:00"/>
    <x v="693"/>
    <x v="2"/>
    <x v="1"/>
    <s v="Accessories"/>
    <s v="Product_119"/>
    <n v="152.77000000000001"/>
    <n v="-8.14"/>
    <n v="0.04"/>
    <x v="0"/>
    <n v="-5.3282712574458338E-2"/>
    <x v="0"/>
    <n v="2022"/>
  </r>
  <r>
    <s v="O01664"/>
    <d v="2023-04-11T00:00:00"/>
    <x v="377"/>
    <x v="0"/>
    <x v="0"/>
    <s v="Paper"/>
    <s v="Product_451"/>
    <n v="1564.23"/>
    <n v="321.83999999999997"/>
    <n v="0.04"/>
    <x v="1"/>
    <n v="0.20574979382827333"/>
    <x v="0"/>
    <n v="2023"/>
  </r>
  <r>
    <s v="O01665"/>
    <d v="2022-09-19T00:00:00"/>
    <x v="448"/>
    <x v="2"/>
    <x v="0"/>
    <s v="Paper"/>
    <s v="Product_219"/>
    <n v="4388.6499999999996"/>
    <n v="-1998.67"/>
    <n v="0.28000000000000003"/>
    <x v="0"/>
    <n v="-0.45541795312909444"/>
    <x v="7"/>
    <n v="2022"/>
  </r>
  <r>
    <s v="O01666"/>
    <d v="2022-10-26T00:00:00"/>
    <x v="322"/>
    <x v="0"/>
    <x v="0"/>
    <s v="Binders"/>
    <s v="Product_46"/>
    <n v="4393.59"/>
    <n v="292.94"/>
    <n v="0.21"/>
    <x v="1"/>
    <n v="6.6674405213049001E-2"/>
    <x v="5"/>
    <n v="2022"/>
  </r>
  <r>
    <s v="O01667"/>
    <d v="2023-11-12T00:00:00"/>
    <x v="480"/>
    <x v="2"/>
    <x v="0"/>
    <s v="Storage"/>
    <s v="Product_216"/>
    <n v="4802.7"/>
    <n v="-1513.93"/>
    <n v="0.26"/>
    <x v="0"/>
    <n v="-0.31522476940054556"/>
    <x v="9"/>
    <n v="2023"/>
  </r>
  <r>
    <s v="O01668"/>
    <d v="2022-10-10T00:00:00"/>
    <x v="264"/>
    <x v="3"/>
    <x v="2"/>
    <s v="Bookcases"/>
    <s v="Product_215"/>
    <n v="615.42999999999995"/>
    <n v="46.4"/>
    <n v="0.23"/>
    <x v="1"/>
    <n v="7.5394439660075072E-2"/>
    <x v="5"/>
    <n v="2022"/>
  </r>
  <r>
    <s v="O01669"/>
    <d v="2023-05-13T00:00:00"/>
    <x v="700"/>
    <x v="2"/>
    <x v="0"/>
    <s v="Paper"/>
    <s v="Product_114"/>
    <n v="4917.12"/>
    <n v="-783.4"/>
    <n v="0.02"/>
    <x v="0"/>
    <n v="-0.15932090329298451"/>
    <x v="11"/>
    <n v="2023"/>
  </r>
  <r>
    <s v="O01670"/>
    <d v="2023-12-27T00:00:00"/>
    <x v="558"/>
    <x v="2"/>
    <x v="0"/>
    <s v="Paper"/>
    <s v="Product_311"/>
    <n v="3361.58"/>
    <n v="801.92"/>
    <n v="0.03"/>
    <x v="1"/>
    <n v="0.23855448925802747"/>
    <x v="4"/>
    <n v="2023"/>
  </r>
  <r>
    <s v="O01671"/>
    <d v="2023-10-21T00:00:00"/>
    <x v="383"/>
    <x v="0"/>
    <x v="0"/>
    <s v="Storage"/>
    <s v="Product_61"/>
    <n v="1974.68"/>
    <n v="-50.94"/>
    <n v="0.18"/>
    <x v="0"/>
    <n v="-2.5796584763100854E-2"/>
    <x v="5"/>
    <n v="2023"/>
  </r>
  <r>
    <s v="O01672"/>
    <d v="2023-02-08T00:00:00"/>
    <x v="197"/>
    <x v="0"/>
    <x v="2"/>
    <s v="Tables"/>
    <s v="Product_178"/>
    <n v="2942.6"/>
    <n v="-140.41"/>
    <n v="0.21"/>
    <x v="0"/>
    <n v="-4.7716305308230816E-2"/>
    <x v="10"/>
    <n v="2023"/>
  </r>
  <r>
    <s v="O01673"/>
    <d v="2023-02-13T00:00:00"/>
    <x v="701"/>
    <x v="2"/>
    <x v="0"/>
    <s v="Paper"/>
    <s v="Product_343"/>
    <n v="4275.9399999999996"/>
    <n v="-240.91"/>
    <n v="0.17"/>
    <x v="0"/>
    <n v="-5.6340827981683564E-2"/>
    <x v="10"/>
    <n v="2023"/>
  </r>
  <r>
    <s v="O01674"/>
    <d v="2022-04-12T00:00:00"/>
    <x v="283"/>
    <x v="2"/>
    <x v="2"/>
    <s v="Chairs"/>
    <s v="Product_411"/>
    <n v="2877.96"/>
    <n v="1029.07"/>
    <n v="0.01"/>
    <x v="1"/>
    <n v="0.35756925044128479"/>
    <x v="0"/>
    <n v="2022"/>
  </r>
  <r>
    <s v="O01675"/>
    <d v="2023-12-01T00:00:00"/>
    <x v="339"/>
    <x v="3"/>
    <x v="2"/>
    <s v="Bookcases"/>
    <s v="Product_499"/>
    <n v="2337.4499999999998"/>
    <n v="-595.69000000000005"/>
    <n v="0.27"/>
    <x v="0"/>
    <n v="-0.25484609296455546"/>
    <x v="4"/>
    <n v="2023"/>
  </r>
  <r>
    <s v="O01676"/>
    <d v="2023-10-13T00:00:00"/>
    <x v="417"/>
    <x v="1"/>
    <x v="2"/>
    <s v="Tables"/>
    <s v="Product_108"/>
    <n v="2285.4299999999998"/>
    <n v="148.38"/>
    <n v="0.01"/>
    <x v="1"/>
    <n v="6.4924324962917265E-2"/>
    <x v="5"/>
    <n v="2023"/>
  </r>
  <r>
    <s v="O01677"/>
    <d v="2022-06-26T00:00:00"/>
    <x v="302"/>
    <x v="0"/>
    <x v="0"/>
    <s v="Storage"/>
    <s v="Product_171"/>
    <n v="3276.61"/>
    <n v="104.82"/>
    <n v="0.22"/>
    <x v="1"/>
    <n v="3.1990380301592194E-2"/>
    <x v="8"/>
    <n v="2022"/>
  </r>
  <r>
    <s v="O01678"/>
    <d v="2022-11-21T00:00:00"/>
    <x v="702"/>
    <x v="0"/>
    <x v="1"/>
    <s v="Copiers"/>
    <s v="Product_469"/>
    <n v="2737.35"/>
    <n v="381.98"/>
    <n v="0.24"/>
    <x v="1"/>
    <n v="0.13954371929055476"/>
    <x v="9"/>
    <n v="2022"/>
  </r>
  <r>
    <s v="O01679"/>
    <d v="2022-07-10T00:00:00"/>
    <x v="232"/>
    <x v="2"/>
    <x v="0"/>
    <s v="Binders"/>
    <s v="Product_104"/>
    <n v="3233.31"/>
    <n v="26.89"/>
    <n v="0.09"/>
    <x v="1"/>
    <n v="8.3165548617361168E-3"/>
    <x v="2"/>
    <n v="2022"/>
  </r>
  <r>
    <s v="O01680"/>
    <d v="2023-01-06T00:00:00"/>
    <x v="239"/>
    <x v="1"/>
    <x v="1"/>
    <s v="Copiers"/>
    <s v="Product_492"/>
    <n v="2478.66"/>
    <n v="-92.55"/>
    <n v="0.1"/>
    <x v="0"/>
    <n v="-3.7338723342451162E-2"/>
    <x v="1"/>
    <n v="2023"/>
  </r>
  <r>
    <s v="O01681"/>
    <d v="2023-06-03T00:00:00"/>
    <x v="308"/>
    <x v="3"/>
    <x v="2"/>
    <s v="Tables"/>
    <s v="Product_388"/>
    <n v="178.04"/>
    <n v="-13.12"/>
    <n v="0.06"/>
    <x v="0"/>
    <n v="-7.3691305324646142E-2"/>
    <x v="8"/>
    <n v="2023"/>
  </r>
  <r>
    <s v="O01682"/>
    <d v="2022-04-06T00:00:00"/>
    <x v="156"/>
    <x v="2"/>
    <x v="0"/>
    <s v="Storage"/>
    <s v="Product_437"/>
    <n v="971.75"/>
    <n v="-334.71"/>
    <n v="0.19"/>
    <x v="0"/>
    <n v="-0.34444044250064315"/>
    <x v="0"/>
    <n v="2022"/>
  </r>
  <r>
    <s v="O01683"/>
    <d v="2023-01-30T00:00:00"/>
    <x v="376"/>
    <x v="3"/>
    <x v="1"/>
    <s v="Phones"/>
    <s v="Product_315"/>
    <n v="3607.85"/>
    <n v="-439.96"/>
    <n v="0.16"/>
    <x v="0"/>
    <n v="-0.12194520282162506"/>
    <x v="1"/>
    <n v="2023"/>
  </r>
  <r>
    <s v="O01684"/>
    <d v="2022-09-09T00:00:00"/>
    <x v="52"/>
    <x v="1"/>
    <x v="0"/>
    <s v="Binders"/>
    <s v="Product_342"/>
    <n v="1686.8"/>
    <n v="380.68"/>
    <n v="7.0000000000000007E-2"/>
    <x v="1"/>
    <n v="0.22568176428740813"/>
    <x v="7"/>
    <n v="2022"/>
  </r>
  <r>
    <s v="O01685"/>
    <d v="2022-09-09T00:00:00"/>
    <x v="85"/>
    <x v="2"/>
    <x v="1"/>
    <s v="Phones"/>
    <s v="Product_332"/>
    <n v="2523.02"/>
    <n v="353.12"/>
    <n v="0.25"/>
    <x v="1"/>
    <n v="0.13995925517831806"/>
    <x v="7"/>
    <n v="2022"/>
  </r>
  <r>
    <s v="O01686"/>
    <d v="2023-09-19T00:00:00"/>
    <x v="102"/>
    <x v="2"/>
    <x v="2"/>
    <s v="Chairs"/>
    <s v="Product_213"/>
    <n v="160.85"/>
    <n v="-41.42"/>
    <n v="7.0000000000000007E-2"/>
    <x v="0"/>
    <n v="-0.25750699409387628"/>
    <x v="7"/>
    <n v="2023"/>
  </r>
  <r>
    <s v="O01687"/>
    <d v="2023-06-16T00:00:00"/>
    <x v="49"/>
    <x v="2"/>
    <x v="0"/>
    <s v="Storage"/>
    <s v="Product_322"/>
    <n v="4992.03"/>
    <n v="-740.64"/>
    <n v="0.06"/>
    <x v="0"/>
    <n v="-0.14836449300184495"/>
    <x v="8"/>
    <n v="2023"/>
  </r>
  <r>
    <s v="O01688"/>
    <d v="2022-09-27T00:00:00"/>
    <x v="112"/>
    <x v="3"/>
    <x v="0"/>
    <s v="Paper"/>
    <s v="Product_187"/>
    <n v="3759.28"/>
    <n v="673.47"/>
    <n v="0.21"/>
    <x v="1"/>
    <n v="0.17914866676597646"/>
    <x v="7"/>
    <n v="2022"/>
  </r>
  <r>
    <s v="O01689"/>
    <d v="2022-11-26T00:00:00"/>
    <x v="482"/>
    <x v="1"/>
    <x v="2"/>
    <s v="Tables"/>
    <s v="Product_408"/>
    <n v="2747.81"/>
    <n v="538.35"/>
    <n v="0.02"/>
    <x v="1"/>
    <n v="0.19591965965623534"/>
    <x v="9"/>
    <n v="2022"/>
  </r>
  <r>
    <s v="O01690"/>
    <d v="2023-06-04T00:00:00"/>
    <x v="464"/>
    <x v="2"/>
    <x v="0"/>
    <s v="Storage"/>
    <s v="Product_275"/>
    <n v="730.95"/>
    <n v="-14.23"/>
    <n v="0.28999999999999998"/>
    <x v="0"/>
    <n v="-1.9467815856077708E-2"/>
    <x v="8"/>
    <n v="2023"/>
  </r>
  <r>
    <s v="O01691"/>
    <d v="2023-12-20T00:00:00"/>
    <x v="583"/>
    <x v="1"/>
    <x v="1"/>
    <s v="Phones"/>
    <s v="Product_239"/>
    <n v="4055.54"/>
    <n v="211.15"/>
    <n v="0.18"/>
    <x v="1"/>
    <n v="5.2064583261415248E-2"/>
    <x v="4"/>
    <n v="2023"/>
  </r>
  <r>
    <s v="O01692"/>
    <d v="2023-08-29T00:00:00"/>
    <x v="149"/>
    <x v="0"/>
    <x v="1"/>
    <s v="Copiers"/>
    <s v="Product_489"/>
    <n v="4199.41"/>
    <n v="-324.52"/>
    <n v="0.14000000000000001"/>
    <x v="0"/>
    <n v="-7.7277522318611416E-2"/>
    <x v="3"/>
    <n v="2023"/>
  </r>
  <r>
    <s v="O01693"/>
    <d v="2022-12-22T00:00:00"/>
    <x v="612"/>
    <x v="1"/>
    <x v="2"/>
    <s v="Chairs"/>
    <s v="Product_33"/>
    <n v="2843.8"/>
    <n v="-954.02"/>
    <n v="0.17"/>
    <x v="0"/>
    <n v="-0.33547366200154721"/>
    <x v="4"/>
    <n v="2022"/>
  </r>
  <r>
    <s v="O01694"/>
    <d v="2022-01-29T00:00:00"/>
    <x v="258"/>
    <x v="2"/>
    <x v="0"/>
    <s v="Paper"/>
    <s v="Product_221"/>
    <n v="420.52"/>
    <n v="-32.86"/>
    <n v="0.22"/>
    <x v="0"/>
    <n v="-7.8141348806239894E-2"/>
    <x v="1"/>
    <n v="2022"/>
  </r>
  <r>
    <s v="O01695"/>
    <d v="2023-07-06T00:00:00"/>
    <x v="29"/>
    <x v="3"/>
    <x v="0"/>
    <s v="Binders"/>
    <s v="Product_170"/>
    <n v="4932.41"/>
    <n v="55.57"/>
    <n v="0.06"/>
    <x v="1"/>
    <n v="1.1266297813847592E-2"/>
    <x v="2"/>
    <n v="2023"/>
  </r>
  <r>
    <s v="O01696"/>
    <d v="2023-07-07T00:00:00"/>
    <x v="406"/>
    <x v="3"/>
    <x v="2"/>
    <s v="Bookcases"/>
    <s v="Product_442"/>
    <n v="4012.24"/>
    <n v="-424.15"/>
    <n v="0.15"/>
    <x v="0"/>
    <n v="-0.10571401511375192"/>
    <x v="2"/>
    <n v="2023"/>
  </r>
  <r>
    <s v="O01697"/>
    <d v="2022-03-14T00:00:00"/>
    <x v="140"/>
    <x v="0"/>
    <x v="2"/>
    <s v="Bookcases"/>
    <s v="Product_272"/>
    <n v="359.56"/>
    <n v="-27.88"/>
    <n v="0.23"/>
    <x v="0"/>
    <n v="-7.7539214595616857E-2"/>
    <x v="6"/>
    <n v="2022"/>
  </r>
  <r>
    <s v="O01698"/>
    <d v="2022-07-03T00:00:00"/>
    <x v="703"/>
    <x v="0"/>
    <x v="1"/>
    <s v="Copiers"/>
    <s v="Product_333"/>
    <n v="889.92"/>
    <n v="291.77999999999997"/>
    <n v="0.06"/>
    <x v="1"/>
    <n v="0.32787216828478966"/>
    <x v="2"/>
    <n v="2022"/>
  </r>
  <r>
    <s v="O01699"/>
    <d v="2023-08-11T00:00:00"/>
    <x v="308"/>
    <x v="2"/>
    <x v="1"/>
    <s v="Copiers"/>
    <s v="Product_413"/>
    <n v="685.55"/>
    <n v="231.5"/>
    <n v="0.03"/>
    <x v="1"/>
    <n v="0.33768507038144557"/>
    <x v="3"/>
    <n v="2023"/>
  </r>
  <r>
    <s v="O01700"/>
    <d v="2022-04-09T00:00:00"/>
    <x v="603"/>
    <x v="3"/>
    <x v="1"/>
    <s v="Accessories"/>
    <s v="Product_91"/>
    <n v="3512.43"/>
    <n v="-119.5"/>
    <n v="0.04"/>
    <x v="0"/>
    <n v="-3.402203033227709E-2"/>
    <x v="0"/>
    <n v="2022"/>
  </r>
  <r>
    <s v="O01701"/>
    <d v="2023-02-16T00:00:00"/>
    <x v="692"/>
    <x v="1"/>
    <x v="0"/>
    <s v="Paper"/>
    <s v="Product_180"/>
    <n v="4407.42"/>
    <n v="-1054.52"/>
    <n v="0.15"/>
    <x v="0"/>
    <n v="-0.23926015673568662"/>
    <x v="10"/>
    <n v="2023"/>
  </r>
  <r>
    <s v="O01702"/>
    <d v="2022-09-21T00:00:00"/>
    <x v="63"/>
    <x v="0"/>
    <x v="0"/>
    <s v="Storage"/>
    <s v="Product_286"/>
    <n v="499.69"/>
    <n v="-141.69999999999999"/>
    <n v="0.14000000000000001"/>
    <x v="0"/>
    <n v="-0.28357581700654405"/>
    <x v="7"/>
    <n v="2022"/>
  </r>
  <r>
    <s v="O01703"/>
    <d v="2023-06-26T00:00:00"/>
    <x v="633"/>
    <x v="0"/>
    <x v="2"/>
    <s v="Bookcases"/>
    <s v="Product_168"/>
    <n v="1928.42"/>
    <n v="632.83000000000004"/>
    <n v="0.05"/>
    <x v="1"/>
    <n v="0.32815984069860299"/>
    <x v="8"/>
    <n v="2023"/>
  </r>
  <r>
    <s v="O01704"/>
    <d v="2022-03-13T00:00:00"/>
    <x v="684"/>
    <x v="1"/>
    <x v="1"/>
    <s v="Accessories"/>
    <s v="Product_326"/>
    <n v="235.5"/>
    <n v="-31.08"/>
    <n v="0.27"/>
    <x v="0"/>
    <n v="-0.13197452229299361"/>
    <x v="6"/>
    <n v="2022"/>
  </r>
  <r>
    <s v="O01705"/>
    <d v="2023-12-01T00:00:00"/>
    <x v="704"/>
    <x v="3"/>
    <x v="0"/>
    <s v="Paper"/>
    <s v="Product_294"/>
    <n v="990.75"/>
    <n v="-62.27"/>
    <n v="7.0000000000000007E-2"/>
    <x v="0"/>
    <n v="-6.285137522079233E-2"/>
    <x v="4"/>
    <n v="2023"/>
  </r>
  <r>
    <s v="O01706"/>
    <d v="2022-06-02T00:00:00"/>
    <x v="579"/>
    <x v="0"/>
    <x v="2"/>
    <s v="Tables"/>
    <s v="Product_319"/>
    <n v="3561.2"/>
    <n v="-1258.9000000000001"/>
    <n v="0.26"/>
    <x v="0"/>
    <n v="-0.3535044367067281"/>
    <x v="8"/>
    <n v="2022"/>
  </r>
  <r>
    <s v="O01707"/>
    <d v="2022-11-16T00:00:00"/>
    <x v="173"/>
    <x v="0"/>
    <x v="2"/>
    <s v="Bookcases"/>
    <s v="Product_179"/>
    <n v="4452.34"/>
    <n v="-1637.7"/>
    <n v="0.24"/>
    <x v="0"/>
    <n v="-0.36782905168967328"/>
    <x v="9"/>
    <n v="2022"/>
  </r>
  <r>
    <s v="O01708"/>
    <d v="2022-07-17T00:00:00"/>
    <x v="160"/>
    <x v="1"/>
    <x v="0"/>
    <s v="Binders"/>
    <s v="Product_314"/>
    <n v="2991.52"/>
    <n v="-568.89"/>
    <n v="0.05"/>
    <x v="0"/>
    <n v="-0.19016754024709845"/>
    <x v="2"/>
    <n v="2022"/>
  </r>
  <r>
    <s v="O01709"/>
    <d v="2023-04-04T00:00:00"/>
    <x v="505"/>
    <x v="0"/>
    <x v="1"/>
    <s v="Accessories"/>
    <s v="Product_174"/>
    <n v="4650.17"/>
    <n v="-589.14"/>
    <n v="0.16"/>
    <x v="0"/>
    <n v="-0.12669214243780336"/>
    <x v="0"/>
    <n v="2023"/>
  </r>
  <r>
    <s v="O01710"/>
    <d v="2023-02-18T00:00:00"/>
    <x v="705"/>
    <x v="3"/>
    <x v="2"/>
    <s v="Tables"/>
    <s v="Product_31"/>
    <n v="792.77"/>
    <n v="-155.02000000000001"/>
    <n v="0.28999999999999998"/>
    <x v="0"/>
    <n v="-0.19554221274770742"/>
    <x v="10"/>
    <n v="2023"/>
  </r>
  <r>
    <s v="O01711"/>
    <d v="2023-06-17T00:00:00"/>
    <x v="137"/>
    <x v="3"/>
    <x v="1"/>
    <s v="Copiers"/>
    <s v="Product_467"/>
    <n v="3567.42"/>
    <n v="-1393.9"/>
    <n v="0.25"/>
    <x v="0"/>
    <n v="-0.39073055597602752"/>
    <x v="8"/>
    <n v="2023"/>
  </r>
  <r>
    <s v="O01712"/>
    <d v="2023-07-14T00:00:00"/>
    <x v="176"/>
    <x v="1"/>
    <x v="0"/>
    <s v="Storage"/>
    <s v="Product_145"/>
    <n v="2917.93"/>
    <n v="-360.33"/>
    <n v="0.16"/>
    <x v="0"/>
    <n v="-0.12348822624257608"/>
    <x v="2"/>
    <n v="2023"/>
  </r>
  <r>
    <s v="O01713"/>
    <d v="2023-03-13T00:00:00"/>
    <x v="706"/>
    <x v="2"/>
    <x v="1"/>
    <s v="Phones"/>
    <s v="Product_194"/>
    <n v="2294.73"/>
    <n v="703.45"/>
    <n v="0.06"/>
    <x v="1"/>
    <n v="0.30655022595250858"/>
    <x v="6"/>
    <n v="2023"/>
  </r>
  <r>
    <s v="O01714"/>
    <d v="2023-09-17T00:00:00"/>
    <x v="255"/>
    <x v="3"/>
    <x v="2"/>
    <s v="Tables"/>
    <s v="Product_255"/>
    <n v="216.79"/>
    <n v="23.14"/>
    <n v="0.03"/>
    <x v="1"/>
    <n v="0.10673924073988653"/>
    <x v="7"/>
    <n v="2023"/>
  </r>
  <r>
    <s v="O01715"/>
    <d v="2022-04-02T00:00:00"/>
    <x v="17"/>
    <x v="1"/>
    <x v="1"/>
    <s v="Copiers"/>
    <s v="Product_329"/>
    <n v="3524.62"/>
    <n v="-1180.82"/>
    <n v="0.16"/>
    <x v="0"/>
    <n v="-0.33502051284961215"/>
    <x v="0"/>
    <n v="2022"/>
  </r>
  <r>
    <s v="O01716"/>
    <d v="2023-01-30T00:00:00"/>
    <x v="420"/>
    <x v="3"/>
    <x v="1"/>
    <s v="Copiers"/>
    <s v="Product_494"/>
    <n v="334.98"/>
    <n v="123.96"/>
    <n v="0.01"/>
    <x v="1"/>
    <n v="0.3700519433996059"/>
    <x v="1"/>
    <n v="2023"/>
  </r>
  <r>
    <s v="O01717"/>
    <d v="2023-06-05T00:00:00"/>
    <x v="174"/>
    <x v="1"/>
    <x v="0"/>
    <s v="Binders"/>
    <s v="Product_261"/>
    <n v="4136.3599999999997"/>
    <n v="-619.29"/>
    <n v="0.21"/>
    <x v="0"/>
    <n v="-0.14971859315920277"/>
    <x v="8"/>
    <n v="2023"/>
  </r>
  <r>
    <s v="O01718"/>
    <d v="2022-07-10T00:00:00"/>
    <x v="79"/>
    <x v="3"/>
    <x v="1"/>
    <s v="Copiers"/>
    <s v="Product_38"/>
    <n v="3526"/>
    <n v="-1448.51"/>
    <n v="0.27"/>
    <x v="0"/>
    <n v="-0.41080828133862735"/>
    <x v="2"/>
    <n v="2022"/>
  </r>
  <r>
    <s v="O01719"/>
    <d v="2022-02-16T00:00:00"/>
    <x v="423"/>
    <x v="1"/>
    <x v="0"/>
    <s v="Binders"/>
    <s v="Product_461"/>
    <n v="2526.85"/>
    <n v="-5.53"/>
    <n v="0.17"/>
    <x v="0"/>
    <n v="-2.1884955577101926E-3"/>
    <x v="10"/>
    <n v="2022"/>
  </r>
  <r>
    <s v="O01720"/>
    <d v="2022-12-05T00:00:00"/>
    <x v="570"/>
    <x v="2"/>
    <x v="0"/>
    <s v="Binders"/>
    <s v="Product_424"/>
    <n v="4629.13"/>
    <n v="-258.16000000000003"/>
    <n v="0"/>
    <x v="0"/>
    <n v="-5.5768578544996582E-2"/>
    <x v="4"/>
    <n v="2022"/>
  </r>
  <r>
    <s v="O01721"/>
    <d v="2023-09-06T00:00:00"/>
    <x v="385"/>
    <x v="3"/>
    <x v="2"/>
    <s v="Tables"/>
    <s v="Product_452"/>
    <n v="4596.16"/>
    <n v="-1040.77"/>
    <n v="0.12"/>
    <x v="0"/>
    <n v="-0.22644337882058066"/>
    <x v="7"/>
    <n v="2023"/>
  </r>
  <r>
    <s v="O01722"/>
    <d v="2022-07-29T00:00:00"/>
    <x v="231"/>
    <x v="3"/>
    <x v="1"/>
    <s v="Copiers"/>
    <s v="Product_210"/>
    <n v="2895.64"/>
    <n v="-244.06"/>
    <n v="0.26"/>
    <x v="0"/>
    <n v="-8.4285339337762985E-2"/>
    <x v="2"/>
    <n v="2022"/>
  </r>
  <r>
    <s v="O01723"/>
    <d v="2022-07-14T00:00:00"/>
    <x v="707"/>
    <x v="2"/>
    <x v="0"/>
    <s v="Binders"/>
    <s v="Product_130"/>
    <n v="2137.85"/>
    <n v="-327.41000000000003"/>
    <n v="0.12"/>
    <x v="0"/>
    <n v="-0.15314919194517859"/>
    <x v="2"/>
    <n v="2022"/>
  </r>
  <r>
    <s v="O01724"/>
    <d v="2023-04-05T00:00:00"/>
    <x v="573"/>
    <x v="1"/>
    <x v="0"/>
    <s v="Binders"/>
    <s v="Product_37"/>
    <n v="3170.03"/>
    <n v="309.39999999999998"/>
    <n v="0.12"/>
    <x v="1"/>
    <n v="9.7601599984858178E-2"/>
    <x v="0"/>
    <n v="2023"/>
  </r>
  <r>
    <s v="O01725"/>
    <d v="2022-07-07T00:00:00"/>
    <x v="226"/>
    <x v="3"/>
    <x v="0"/>
    <s v="Binders"/>
    <s v="Product_86"/>
    <n v="664.86"/>
    <n v="-117.6"/>
    <n v="0.27"/>
    <x v="0"/>
    <n v="-0.17687934301958305"/>
    <x v="2"/>
    <n v="2022"/>
  </r>
  <r>
    <s v="O01726"/>
    <d v="2022-10-19T00:00:00"/>
    <x v="226"/>
    <x v="3"/>
    <x v="0"/>
    <s v="Paper"/>
    <s v="Product_146"/>
    <n v="4781.05"/>
    <n v="33.520000000000003"/>
    <n v="0.21"/>
    <x v="1"/>
    <n v="7.011012225347989E-3"/>
    <x v="5"/>
    <n v="2022"/>
  </r>
  <r>
    <s v="O01727"/>
    <d v="2022-07-26T00:00:00"/>
    <x v="189"/>
    <x v="2"/>
    <x v="0"/>
    <s v="Paper"/>
    <s v="Product_103"/>
    <n v="631.61"/>
    <n v="160.26"/>
    <n v="0.04"/>
    <x v="1"/>
    <n v="0.25373252481752978"/>
    <x v="2"/>
    <n v="2022"/>
  </r>
  <r>
    <s v="O01728"/>
    <d v="2022-08-23T00:00:00"/>
    <x v="216"/>
    <x v="2"/>
    <x v="2"/>
    <s v="Bookcases"/>
    <s v="Product_95"/>
    <n v="4978.24"/>
    <n v="-1366"/>
    <n v="0.14000000000000001"/>
    <x v="0"/>
    <n v="-0.27439416339911293"/>
    <x v="3"/>
    <n v="2022"/>
  </r>
  <r>
    <s v="O01729"/>
    <d v="2023-03-25T00:00:00"/>
    <x v="557"/>
    <x v="1"/>
    <x v="2"/>
    <s v="Bookcases"/>
    <s v="Product_227"/>
    <n v="4051.4"/>
    <n v="401.87"/>
    <n v="7.0000000000000007E-2"/>
    <x v="1"/>
    <n v="9.9192871599940766E-2"/>
    <x v="6"/>
    <n v="2023"/>
  </r>
  <r>
    <s v="O01730"/>
    <d v="2022-08-04T00:00:00"/>
    <x v="262"/>
    <x v="3"/>
    <x v="0"/>
    <s v="Binders"/>
    <s v="Product_23"/>
    <n v="3348.1"/>
    <n v="785.81"/>
    <n v="0.15"/>
    <x v="1"/>
    <n v="0.23470326453809623"/>
    <x v="3"/>
    <n v="2022"/>
  </r>
  <r>
    <s v="O01731"/>
    <d v="2022-06-29T00:00:00"/>
    <x v="139"/>
    <x v="2"/>
    <x v="0"/>
    <s v="Binders"/>
    <s v="Product_103"/>
    <n v="4748.09"/>
    <n v="1283.1600000000001"/>
    <n v="0.1"/>
    <x v="1"/>
    <n v="0.27024761535691194"/>
    <x v="8"/>
    <n v="2022"/>
  </r>
  <r>
    <s v="O01732"/>
    <d v="2022-03-07T00:00:00"/>
    <x v="322"/>
    <x v="1"/>
    <x v="0"/>
    <s v="Binders"/>
    <s v="Product_322"/>
    <n v="2017.43"/>
    <n v="-151.13999999999999"/>
    <n v="0.05"/>
    <x v="0"/>
    <n v="-7.4917097495328211E-2"/>
    <x v="6"/>
    <n v="2022"/>
  </r>
  <r>
    <s v="O01733"/>
    <d v="2022-03-13T00:00:00"/>
    <x v="75"/>
    <x v="3"/>
    <x v="2"/>
    <s v="Tables"/>
    <s v="Product_286"/>
    <n v="3324.26"/>
    <n v="640.92999999999995"/>
    <n v="0.13"/>
    <x v="1"/>
    <n v="0.1928038119761992"/>
    <x v="6"/>
    <n v="2022"/>
  </r>
  <r>
    <s v="O01734"/>
    <d v="2022-03-08T00:00:00"/>
    <x v="305"/>
    <x v="0"/>
    <x v="2"/>
    <s v="Chairs"/>
    <s v="Product_317"/>
    <n v="2780.9"/>
    <n v="-648.45000000000005"/>
    <n v="0.1"/>
    <x v="0"/>
    <n v="-0.23317990578589667"/>
    <x v="6"/>
    <n v="2022"/>
  </r>
  <r>
    <s v="O01735"/>
    <d v="2022-04-17T00:00:00"/>
    <x v="110"/>
    <x v="1"/>
    <x v="0"/>
    <s v="Binders"/>
    <s v="Product_4"/>
    <n v="3647.99"/>
    <n v="-1010.28"/>
    <n v="0.1"/>
    <x v="0"/>
    <n v="-0.27694154863363113"/>
    <x v="0"/>
    <n v="2022"/>
  </r>
  <r>
    <s v="O01736"/>
    <d v="2022-05-03T00:00:00"/>
    <x v="687"/>
    <x v="0"/>
    <x v="1"/>
    <s v="Phones"/>
    <s v="Product_289"/>
    <n v="2857.29"/>
    <n v="60.62"/>
    <n v="0.24"/>
    <x v="1"/>
    <n v="2.121590738076989E-2"/>
    <x v="11"/>
    <n v="2022"/>
  </r>
  <r>
    <s v="O01737"/>
    <d v="2023-08-09T00:00:00"/>
    <x v="583"/>
    <x v="2"/>
    <x v="0"/>
    <s v="Binders"/>
    <s v="Product_145"/>
    <n v="196.99"/>
    <n v="-32.33"/>
    <n v="0.25"/>
    <x v="0"/>
    <n v="-0.16412000609167976"/>
    <x v="3"/>
    <n v="2023"/>
  </r>
  <r>
    <s v="O01738"/>
    <d v="2023-05-18T00:00:00"/>
    <x v="470"/>
    <x v="3"/>
    <x v="0"/>
    <s v="Storage"/>
    <s v="Product_177"/>
    <n v="1995.16"/>
    <n v="-653.21"/>
    <n v="0.27"/>
    <x v="0"/>
    <n v="-0.32739730146955631"/>
    <x v="11"/>
    <n v="2023"/>
  </r>
  <r>
    <s v="O01739"/>
    <d v="2023-01-04T00:00:00"/>
    <x v="687"/>
    <x v="1"/>
    <x v="0"/>
    <s v="Paper"/>
    <s v="Product_147"/>
    <n v="2447.73"/>
    <n v="-483.34"/>
    <n v="0.27"/>
    <x v="0"/>
    <n v="-0.19746458964019722"/>
    <x v="1"/>
    <n v="2023"/>
  </r>
  <r>
    <s v="O01740"/>
    <d v="2022-06-14T00:00:00"/>
    <x v="524"/>
    <x v="0"/>
    <x v="0"/>
    <s v="Storage"/>
    <s v="Product_222"/>
    <n v="954.33"/>
    <n v="104.48"/>
    <n v="0.28999999999999998"/>
    <x v="1"/>
    <n v="0.10947994928379072"/>
    <x v="8"/>
    <n v="2022"/>
  </r>
  <r>
    <s v="O01741"/>
    <d v="2022-08-21T00:00:00"/>
    <x v="204"/>
    <x v="1"/>
    <x v="1"/>
    <s v="Phones"/>
    <s v="Product_431"/>
    <n v="308.52"/>
    <n v="64.14"/>
    <n v="0.12"/>
    <x v="1"/>
    <n v="0.20789576040451188"/>
    <x v="3"/>
    <n v="2022"/>
  </r>
  <r>
    <s v="O01742"/>
    <d v="2023-04-17T00:00:00"/>
    <x v="74"/>
    <x v="2"/>
    <x v="0"/>
    <s v="Paper"/>
    <s v="Product_228"/>
    <n v="1119.69"/>
    <n v="235.33"/>
    <n v="0.12"/>
    <x v="1"/>
    <n v="0.21017424465700327"/>
    <x v="0"/>
    <n v="2023"/>
  </r>
  <r>
    <s v="O01743"/>
    <d v="2023-06-27T00:00:00"/>
    <x v="481"/>
    <x v="1"/>
    <x v="1"/>
    <s v="Accessories"/>
    <s v="Product_112"/>
    <n v="1881.45"/>
    <n v="-114.15"/>
    <n v="0.1"/>
    <x v="0"/>
    <n v="-6.0671290759786334E-2"/>
    <x v="8"/>
    <n v="2023"/>
  </r>
  <r>
    <s v="O01744"/>
    <d v="2023-09-26T00:00:00"/>
    <x v="435"/>
    <x v="2"/>
    <x v="0"/>
    <s v="Binders"/>
    <s v="Product_281"/>
    <n v="2885.09"/>
    <n v="-122.37"/>
    <n v="0.28000000000000003"/>
    <x v="0"/>
    <n v="-4.2414621380962116E-2"/>
    <x v="7"/>
    <n v="2023"/>
  </r>
  <r>
    <s v="O01745"/>
    <d v="2022-04-22T00:00:00"/>
    <x v="317"/>
    <x v="2"/>
    <x v="1"/>
    <s v="Accessories"/>
    <s v="Product_154"/>
    <n v="3255.6"/>
    <n v="-570.38"/>
    <n v="0.06"/>
    <x v="0"/>
    <n v="-0.17519965597739282"/>
    <x v="0"/>
    <n v="2022"/>
  </r>
  <r>
    <s v="O01746"/>
    <d v="2022-06-10T00:00:00"/>
    <x v="450"/>
    <x v="2"/>
    <x v="0"/>
    <s v="Paper"/>
    <s v="Product_480"/>
    <n v="349.34"/>
    <n v="21.32"/>
    <n v="7.0000000000000007E-2"/>
    <x v="1"/>
    <n v="6.1029369668517783E-2"/>
    <x v="8"/>
    <n v="2022"/>
  </r>
  <r>
    <s v="O01747"/>
    <d v="2023-01-31T00:00:00"/>
    <x v="532"/>
    <x v="1"/>
    <x v="0"/>
    <s v="Paper"/>
    <s v="Product_140"/>
    <n v="983.54"/>
    <n v="84.96"/>
    <n v="0.13"/>
    <x v="1"/>
    <n v="8.6381845171523267E-2"/>
    <x v="1"/>
    <n v="2023"/>
  </r>
  <r>
    <s v="O01748"/>
    <d v="2022-07-22T00:00:00"/>
    <x v="563"/>
    <x v="2"/>
    <x v="0"/>
    <s v="Storage"/>
    <s v="Product_163"/>
    <n v="2860.48"/>
    <n v="-25.38"/>
    <n v="0.05"/>
    <x v="0"/>
    <n v="-8.8726367602640112E-3"/>
    <x v="2"/>
    <n v="2022"/>
  </r>
  <r>
    <s v="O01749"/>
    <d v="2022-11-20T00:00:00"/>
    <x v="164"/>
    <x v="0"/>
    <x v="1"/>
    <s v="Phones"/>
    <s v="Product_347"/>
    <n v="4353.3500000000004"/>
    <n v="1387.64"/>
    <n v="0.04"/>
    <x v="1"/>
    <n v="0.31875222529775921"/>
    <x v="9"/>
    <n v="2022"/>
  </r>
  <r>
    <s v="O01750"/>
    <d v="2022-02-24T00:00:00"/>
    <x v="319"/>
    <x v="0"/>
    <x v="2"/>
    <s v="Chairs"/>
    <s v="Product_161"/>
    <n v="520.17999999999995"/>
    <n v="165.08"/>
    <n v="0"/>
    <x v="1"/>
    <n v="0.31735168595486185"/>
    <x v="10"/>
    <n v="2022"/>
  </r>
  <r>
    <s v="O01751"/>
    <d v="2022-03-09T00:00:00"/>
    <x v="128"/>
    <x v="3"/>
    <x v="1"/>
    <s v="Phones"/>
    <s v="Product_299"/>
    <n v="3743.56"/>
    <n v="-1143.52"/>
    <n v="0.28999999999999998"/>
    <x v="0"/>
    <n v="-0.30546324888608706"/>
    <x v="6"/>
    <n v="2022"/>
  </r>
  <r>
    <s v="O01752"/>
    <d v="2023-07-30T00:00:00"/>
    <x v="708"/>
    <x v="1"/>
    <x v="1"/>
    <s v="Accessories"/>
    <s v="Product_84"/>
    <n v="1759.24"/>
    <n v="-119.73"/>
    <n v="0.05"/>
    <x v="0"/>
    <n v="-6.805779768536413E-2"/>
    <x v="2"/>
    <n v="2023"/>
  </r>
  <r>
    <s v="O01753"/>
    <d v="2023-07-20T00:00:00"/>
    <x v="701"/>
    <x v="2"/>
    <x v="1"/>
    <s v="Phones"/>
    <s v="Product_359"/>
    <n v="2708.3"/>
    <n v="-799.03"/>
    <n v="0.19"/>
    <x v="0"/>
    <n v="-0.29503009267806368"/>
    <x v="2"/>
    <n v="2023"/>
  </r>
  <r>
    <s v="O01754"/>
    <d v="2022-05-31T00:00:00"/>
    <x v="579"/>
    <x v="0"/>
    <x v="1"/>
    <s v="Copiers"/>
    <s v="Product_387"/>
    <n v="4255.17"/>
    <n v="-859.48"/>
    <n v="7.0000000000000007E-2"/>
    <x v="0"/>
    <n v="-0.20198487957002892"/>
    <x v="11"/>
    <n v="2022"/>
  </r>
  <r>
    <s v="O01755"/>
    <d v="2022-01-21T00:00:00"/>
    <x v="138"/>
    <x v="3"/>
    <x v="2"/>
    <s v="Chairs"/>
    <s v="Product_477"/>
    <n v="4413.1400000000003"/>
    <n v="-237.74"/>
    <n v="0.14000000000000001"/>
    <x v="0"/>
    <n v="-5.387093996564804E-2"/>
    <x v="1"/>
    <n v="2022"/>
  </r>
  <r>
    <s v="O01756"/>
    <d v="2023-05-19T00:00:00"/>
    <x v="238"/>
    <x v="3"/>
    <x v="1"/>
    <s v="Copiers"/>
    <s v="Product_454"/>
    <n v="2902.36"/>
    <n v="-923.2"/>
    <n v="0.13"/>
    <x v="0"/>
    <n v="-0.31808597141636463"/>
    <x v="11"/>
    <n v="2023"/>
  </r>
  <r>
    <s v="O01757"/>
    <d v="2022-11-04T00:00:00"/>
    <x v="272"/>
    <x v="2"/>
    <x v="1"/>
    <s v="Phones"/>
    <s v="Product_470"/>
    <n v="4443.8"/>
    <n v="-617.84"/>
    <n v="0.02"/>
    <x v="0"/>
    <n v="-0.13903415995319321"/>
    <x v="9"/>
    <n v="2022"/>
  </r>
  <r>
    <s v="O01758"/>
    <d v="2023-10-12T00:00:00"/>
    <x v="182"/>
    <x v="3"/>
    <x v="2"/>
    <s v="Chairs"/>
    <s v="Product_365"/>
    <n v="4965.1899999999996"/>
    <n v="-191.94"/>
    <n v="0.24"/>
    <x v="0"/>
    <n v="-3.8657130945643575E-2"/>
    <x v="5"/>
    <n v="2023"/>
  </r>
  <r>
    <s v="O01759"/>
    <d v="2023-08-28T00:00:00"/>
    <x v="215"/>
    <x v="1"/>
    <x v="2"/>
    <s v="Tables"/>
    <s v="Product_187"/>
    <n v="3053.78"/>
    <n v="-1314.43"/>
    <n v="0.24"/>
    <x v="0"/>
    <n v="-0.43042720824682851"/>
    <x v="3"/>
    <n v="2023"/>
  </r>
  <r>
    <s v="O01760"/>
    <d v="2022-01-25T00:00:00"/>
    <x v="278"/>
    <x v="3"/>
    <x v="1"/>
    <s v="Phones"/>
    <s v="Product_464"/>
    <n v="2615.77"/>
    <n v="137.51"/>
    <n v="0.28999999999999998"/>
    <x v="1"/>
    <n v="5.2569606655019363E-2"/>
    <x v="1"/>
    <n v="2022"/>
  </r>
  <r>
    <s v="O01761"/>
    <d v="2023-03-20T00:00:00"/>
    <x v="560"/>
    <x v="0"/>
    <x v="2"/>
    <s v="Chairs"/>
    <s v="Product_140"/>
    <n v="3282.09"/>
    <n v="-827.52"/>
    <n v="0.21"/>
    <x v="0"/>
    <n v="-0.25213202563001014"/>
    <x v="6"/>
    <n v="2023"/>
  </r>
  <r>
    <s v="O01762"/>
    <d v="2022-05-14T00:00:00"/>
    <x v="592"/>
    <x v="0"/>
    <x v="0"/>
    <s v="Storage"/>
    <s v="Product_377"/>
    <n v="2344.63"/>
    <n v="259.7"/>
    <n v="0.02"/>
    <x v="1"/>
    <n v="0.11076374523912087"/>
    <x v="11"/>
    <n v="2022"/>
  </r>
  <r>
    <s v="O01763"/>
    <d v="2023-02-02T00:00:00"/>
    <x v="303"/>
    <x v="3"/>
    <x v="0"/>
    <s v="Binders"/>
    <s v="Product_357"/>
    <n v="1583.28"/>
    <n v="34.950000000000003"/>
    <n v="0.06"/>
    <x v="1"/>
    <n v="2.2074427770198576E-2"/>
    <x v="10"/>
    <n v="2023"/>
  </r>
  <r>
    <s v="O01764"/>
    <d v="2023-03-11T00:00:00"/>
    <x v="214"/>
    <x v="3"/>
    <x v="1"/>
    <s v="Accessories"/>
    <s v="Product_68"/>
    <n v="1897.29"/>
    <n v="467.1"/>
    <n v="0.15"/>
    <x v="1"/>
    <n v="0.24619325458944075"/>
    <x v="6"/>
    <n v="2023"/>
  </r>
  <r>
    <s v="O01765"/>
    <d v="2022-03-27T00:00:00"/>
    <x v="555"/>
    <x v="0"/>
    <x v="1"/>
    <s v="Copiers"/>
    <s v="Product_413"/>
    <n v="1381.78"/>
    <n v="-125.76"/>
    <n v="0.06"/>
    <x v="0"/>
    <n v="-9.1013041149821255E-2"/>
    <x v="6"/>
    <n v="2022"/>
  </r>
  <r>
    <s v="O01766"/>
    <d v="2022-05-12T00:00:00"/>
    <x v="446"/>
    <x v="0"/>
    <x v="0"/>
    <s v="Paper"/>
    <s v="Product_125"/>
    <n v="4321.25"/>
    <n v="-1971.33"/>
    <n v="0.27"/>
    <x v="0"/>
    <n v="-0.4561943881978594"/>
    <x v="11"/>
    <n v="2022"/>
  </r>
  <r>
    <s v="O01767"/>
    <d v="2022-03-31T00:00:00"/>
    <x v="709"/>
    <x v="0"/>
    <x v="2"/>
    <s v="Chairs"/>
    <s v="Product_371"/>
    <n v="1929.6"/>
    <n v="445.49"/>
    <n v="0.05"/>
    <x v="1"/>
    <n v="0.2308716832504146"/>
    <x v="6"/>
    <n v="2022"/>
  </r>
  <r>
    <s v="O01768"/>
    <d v="2022-06-09T00:00:00"/>
    <x v="710"/>
    <x v="2"/>
    <x v="2"/>
    <s v="Bookcases"/>
    <s v="Product_324"/>
    <n v="4054.23"/>
    <n v="-362.95"/>
    <n v="0.26"/>
    <x v="0"/>
    <n v="-8.952378133455674E-2"/>
    <x v="8"/>
    <n v="2022"/>
  </r>
  <r>
    <s v="O01769"/>
    <d v="2022-07-24T00:00:00"/>
    <x v="152"/>
    <x v="0"/>
    <x v="1"/>
    <s v="Copiers"/>
    <s v="Product_96"/>
    <n v="618.58000000000004"/>
    <n v="112.88"/>
    <n v="0.04"/>
    <x v="1"/>
    <n v="0.18248245982734648"/>
    <x v="2"/>
    <n v="2022"/>
  </r>
  <r>
    <s v="O01770"/>
    <d v="2022-08-27T00:00:00"/>
    <x v="43"/>
    <x v="0"/>
    <x v="2"/>
    <s v="Bookcases"/>
    <s v="Product_368"/>
    <n v="4761.82"/>
    <n v="1309.29"/>
    <n v="0"/>
    <x v="1"/>
    <n v="0.27495579421313698"/>
    <x v="3"/>
    <n v="2022"/>
  </r>
  <r>
    <s v="O01771"/>
    <d v="2022-07-22T00:00:00"/>
    <x v="464"/>
    <x v="2"/>
    <x v="2"/>
    <s v="Tables"/>
    <s v="Product_310"/>
    <n v="1669.98"/>
    <n v="-124.2"/>
    <n v="0.16"/>
    <x v="0"/>
    <n v="-7.4372148169439156E-2"/>
    <x v="2"/>
    <n v="2022"/>
  </r>
  <r>
    <s v="O01772"/>
    <d v="2022-03-04T00:00:00"/>
    <x v="439"/>
    <x v="1"/>
    <x v="0"/>
    <s v="Binders"/>
    <s v="Product_260"/>
    <n v="2399.13"/>
    <n v="-155.72999999999999"/>
    <n v="0.22"/>
    <x v="0"/>
    <n v="-6.4911030248465063E-2"/>
    <x v="6"/>
    <n v="2022"/>
  </r>
  <r>
    <s v="O01773"/>
    <d v="2023-07-10T00:00:00"/>
    <x v="400"/>
    <x v="1"/>
    <x v="2"/>
    <s v="Chairs"/>
    <s v="Product_359"/>
    <n v="961.67"/>
    <n v="-167.01"/>
    <n v="0.06"/>
    <x v="0"/>
    <n v="-0.17366664240331922"/>
    <x v="2"/>
    <n v="2023"/>
  </r>
  <r>
    <s v="O01774"/>
    <d v="2022-08-22T00:00:00"/>
    <x v="340"/>
    <x v="2"/>
    <x v="2"/>
    <s v="Bookcases"/>
    <s v="Product_326"/>
    <n v="3832.17"/>
    <n v="954.86"/>
    <n v="0.06"/>
    <x v="1"/>
    <n v="0.24916953057928015"/>
    <x v="3"/>
    <n v="2022"/>
  </r>
  <r>
    <s v="O01775"/>
    <d v="2023-03-13T00:00:00"/>
    <x v="119"/>
    <x v="3"/>
    <x v="0"/>
    <s v="Paper"/>
    <s v="Product_377"/>
    <n v="3047.61"/>
    <n v="-544.79"/>
    <n v="0.15"/>
    <x v="0"/>
    <n v="-0.17875974944300613"/>
    <x v="6"/>
    <n v="2023"/>
  </r>
  <r>
    <s v="O01776"/>
    <d v="2022-10-16T00:00:00"/>
    <x v="239"/>
    <x v="1"/>
    <x v="2"/>
    <s v="Bookcases"/>
    <s v="Product_34"/>
    <n v="134.22"/>
    <n v="-8.0399999999999991"/>
    <n v="0.27"/>
    <x v="0"/>
    <n v="-5.9901654000894047E-2"/>
    <x v="5"/>
    <n v="2022"/>
  </r>
  <r>
    <s v="O01777"/>
    <d v="2023-03-17T00:00:00"/>
    <x v="413"/>
    <x v="2"/>
    <x v="2"/>
    <s v="Chairs"/>
    <s v="Product_7"/>
    <n v="2520.2199999999998"/>
    <n v="-1093.1600000000001"/>
    <n v="0.27"/>
    <x v="0"/>
    <n v="-0.43375578322527403"/>
    <x v="6"/>
    <n v="2023"/>
  </r>
  <r>
    <s v="O01778"/>
    <d v="2023-01-06T00:00:00"/>
    <x v="445"/>
    <x v="0"/>
    <x v="0"/>
    <s v="Storage"/>
    <s v="Product_292"/>
    <n v="532.34"/>
    <n v="90.39"/>
    <n v="0.18"/>
    <x v="1"/>
    <n v="0.16979749783972647"/>
    <x v="1"/>
    <n v="2023"/>
  </r>
  <r>
    <s v="O01779"/>
    <d v="2023-05-07T00:00:00"/>
    <x v="641"/>
    <x v="2"/>
    <x v="1"/>
    <s v="Copiers"/>
    <s v="Product_154"/>
    <n v="4214.6499999999996"/>
    <n v="443.87"/>
    <n v="0.14000000000000001"/>
    <x v="1"/>
    <n v="0.10531598116095051"/>
    <x v="11"/>
    <n v="2023"/>
  </r>
  <r>
    <s v="O01780"/>
    <d v="2022-06-24T00:00:00"/>
    <x v="513"/>
    <x v="3"/>
    <x v="1"/>
    <s v="Accessories"/>
    <s v="Product_210"/>
    <n v="2774.99"/>
    <n v="-785.69"/>
    <n v="0.22"/>
    <x v="0"/>
    <n v="-0.28313255182901564"/>
    <x v="8"/>
    <n v="2022"/>
  </r>
  <r>
    <s v="O01781"/>
    <d v="2023-02-17T00:00:00"/>
    <x v="680"/>
    <x v="2"/>
    <x v="1"/>
    <s v="Accessories"/>
    <s v="Product_232"/>
    <n v="1689.4"/>
    <n v="214.77"/>
    <n v="0.24"/>
    <x v="1"/>
    <n v="0.12712797442879128"/>
    <x v="10"/>
    <n v="2023"/>
  </r>
  <r>
    <s v="O01782"/>
    <d v="2022-05-23T00:00:00"/>
    <x v="259"/>
    <x v="2"/>
    <x v="2"/>
    <s v="Chairs"/>
    <s v="Product_446"/>
    <n v="3715.51"/>
    <n v="928.06"/>
    <n v="0.12"/>
    <x v="1"/>
    <n v="0.24977997636932747"/>
    <x v="11"/>
    <n v="2022"/>
  </r>
  <r>
    <s v="O01783"/>
    <d v="2023-11-09T00:00:00"/>
    <x v="684"/>
    <x v="1"/>
    <x v="0"/>
    <s v="Binders"/>
    <s v="Product_304"/>
    <n v="2057.15"/>
    <n v="565.36"/>
    <n v="0"/>
    <x v="1"/>
    <n v="0.27482682351797388"/>
    <x v="9"/>
    <n v="2023"/>
  </r>
  <r>
    <s v="O01784"/>
    <d v="2022-12-12T00:00:00"/>
    <x v="711"/>
    <x v="0"/>
    <x v="2"/>
    <s v="Chairs"/>
    <s v="Product_255"/>
    <n v="564.75"/>
    <n v="-129.93"/>
    <n v="0.12"/>
    <x v="0"/>
    <n v="-0.23006640106241702"/>
    <x v="4"/>
    <n v="2022"/>
  </r>
  <r>
    <s v="O01785"/>
    <d v="2022-08-22T00:00:00"/>
    <x v="129"/>
    <x v="2"/>
    <x v="1"/>
    <s v="Phones"/>
    <s v="Product_311"/>
    <n v="1587.26"/>
    <n v="-254.6"/>
    <n v="0.28999999999999998"/>
    <x v="0"/>
    <n v="-0.16040220253770648"/>
    <x v="3"/>
    <n v="2022"/>
  </r>
  <r>
    <s v="O01786"/>
    <d v="2023-11-13T00:00:00"/>
    <x v="86"/>
    <x v="3"/>
    <x v="0"/>
    <s v="Paper"/>
    <s v="Product_493"/>
    <n v="2221"/>
    <n v="-853.1"/>
    <n v="0.28000000000000003"/>
    <x v="0"/>
    <n v="-0.38410625844214319"/>
    <x v="9"/>
    <n v="2023"/>
  </r>
  <r>
    <s v="O01787"/>
    <d v="2022-05-25T00:00:00"/>
    <x v="712"/>
    <x v="2"/>
    <x v="2"/>
    <s v="Chairs"/>
    <s v="Product_412"/>
    <n v="4769.46"/>
    <n v="-216.1"/>
    <n v="0.21"/>
    <x v="0"/>
    <n v="-4.5309112562009111E-2"/>
    <x v="11"/>
    <n v="2022"/>
  </r>
  <r>
    <s v="O01788"/>
    <d v="2022-12-13T00:00:00"/>
    <x v="353"/>
    <x v="3"/>
    <x v="2"/>
    <s v="Tables"/>
    <s v="Product_351"/>
    <n v="2503.48"/>
    <n v="-278.12"/>
    <n v="0.28999999999999998"/>
    <x v="0"/>
    <n v="-0.11109335804560053"/>
    <x v="4"/>
    <n v="2022"/>
  </r>
  <r>
    <s v="O01789"/>
    <d v="2022-12-16T00:00:00"/>
    <x v="262"/>
    <x v="3"/>
    <x v="0"/>
    <s v="Paper"/>
    <s v="Product_414"/>
    <n v="3096.97"/>
    <n v="-192.69"/>
    <n v="0.18"/>
    <x v="0"/>
    <n v="-6.221887845216454E-2"/>
    <x v="4"/>
    <n v="2022"/>
  </r>
  <r>
    <s v="O01790"/>
    <d v="2023-04-03T00:00:00"/>
    <x v="327"/>
    <x v="2"/>
    <x v="0"/>
    <s v="Binders"/>
    <s v="Product_127"/>
    <n v="1910.88"/>
    <n v="-863.96"/>
    <n v="0.28999999999999998"/>
    <x v="0"/>
    <n v="-0.45212676881855479"/>
    <x v="0"/>
    <n v="2023"/>
  </r>
  <r>
    <s v="O01791"/>
    <d v="2023-10-12T00:00:00"/>
    <x v="132"/>
    <x v="3"/>
    <x v="2"/>
    <s v="Tables"/>
    <s v="Product_285"/>
    <n v="3472.58"/>
    <n v="248.4"/>
    <n v="0.27"/>
    <x v="1"/>
    <n v="7.1531829360302723E-2"/>
    <x v="5"/>
    <n v="2023"/>
  </r>
  <r>
    <s v="O01792"/>
    <d v="2022-11-26T00:00:00"/>
    <x v="569"/>
    <x v="1"/>
    <x v="1"/>
    <s v="Copiers"/>
    <s v="Product_363"/>
    <n v="3989.71"/>
    <n v="523.1"/>
    <n v="0.21"/>
    <x v="1"/>
    <n v="0.13111228635665248"/>
    <x v="9"/>
    <n v="2022"/>
  </r>
  <r>
    <s v="O01793"/>
    <d v="2023-04-27T00:00:00"/>
    <x v="386"/>
    <x v="3"/>
    <x v="0"/>
    <s v="Storage"/>
    <s v="Product_262"/>
    <n v="1261.3900000000001"/>
    <n v="-197.85"/>
    <n v="0.25"/>
    <x v="0"/>
    <n v="-0.15685077573153425"/>
    <x v="0"/>
    <n v="2023"/>
  </r>
  <r>
    <s v="O01794"/>
    <d v="2023-05-18T00:00:00"/>
    <x v="227"/>
    <x v="3"/>
    <x v="2"/>
    <s v="Tables"/>
    <s v="Product_35"/>
    <n v="3775.94"/>
    <n v="-1288.4100000000001"/>
    <n v="0.19"/>
    <x v="0"/>
    <n v="-0.34121569728332551"/>
    <x v="11"/>
    <n v="2023"/>
  </r>
  <r>
    <s v="O01795"/>
    <d v="2022-05-27T00:00:00"/>
    <x v="435"/>
    <x v="0"/>
    <x v="1"/>
    <s v="Accessories"/>
    <s v="Product_243"/>
    <n v="3909.42"/>
    <n v="-1072.25"/>
    <n v="0.24"/>
    <x v="0"/>
    <n v="-0.27427342163287649"/>
    <x v="11"/>
    <n v="2022"/>
  </r>
  <r>
    <s v="O01796"/>
    <d v="2023-05-10T00:00:00"/>
    <x v="240"/>
    <x v="1"/>
    <x v="2"/>
    <s v="Chairs"/>
    <s v="Product_402"/>
    <n v="3202.04"/>
    <n v="624.08000000000004"/>
    <n v="0.1"/>
    <x v="1"/>
    <n v="0.19490075077138325"/>
    <x v="11"/>
    <n v="2023"/>
  </r>
  <r>
    <s v="O01797"/>
    <d v="2022-07-24T00:00:00"/>
    <x v="336"/>
    <x v="1"/>
    <x v="1"/>
    <s v="Accessories"/>
    <s v="Product_491"/>
    <n v="2475.02"/>
    <n v="593.83000000000004"/>
    <n v="0.09"/>
    <x v="1"/>
    <n v="0.23992937430808642"/>
    <x v="2"/>
    <n v="2022"/>
  </r>
  <r>
    <s v="O01798"/>
    <d v="2022-07-19T00:00:00"/>
    <x v="174"/>
    <x v="3"/>
    <x v="0"/>
    <s v="Storage"/>
    <s v="Product_128"/>
    <n v="689.78"/>
    <n v="14.69"/>
    <n v="0.22"/>
    <x v="1"/>
    <n v="2.1296645307199397E-2"/>
    <x v="2"/>
    <n v="2022"/>
  </r>
  <r>
    <s v="O01799"/>
    <d v="2022-07-29T00:00:00"/>
    <x v="713"/>
    <x v="3"/>
    <x v="1"/>
    <s v="Accessories"/>
    <s v="Product_13"/>
    <n v="3533.17"/>
    <n v="-993.15"/>
    <n v="0.26"/>
    <x v="0"/>
    <n v="-0.28109318260938476"/>
    <x v="2"/>
    <n v="2022"/>
  </r>
  <r>
    <s v="O01800"/>
    <d v="2022-06-01T00:00:00"/>
    <x v="221"/>
    <x v="2"/>
    <x v="2"/>
    <s v="Bookcases"/>
    <s v="Product_285"/>
    <n v="3255.54"/>
    <n v="-354.27"/>
    <n v="0.13"/>
    <x v="0"/>
    <n v="-0.10882065648095246"/>
    <x v="8"/>
    <n v="2022"/>
  </r>
  <r>
    <s v="O01801"/>
    <d v="2023-04-12T00:00:00"/>
    <x v="442"/>
    <x v="1"/>
    <x v="2"/>
    <s v="Bookcases"/>
    <s v="Product_362"/>
    <n v="2276.2800000000002"/>
    <n v="619.47"/>
    <n v="0.09"/>
    <x v="1"/>
    <n v="0.2721413885813696"/>
    <x v="0"/>
    <n v="2023"/>
  </r>
  <r>
    <s v="O01802"/>
    <d v="2022-01-18T00:00:00"/>
    <x v="523"/>
    <x v="0"/>
    <x v="0"/>
    <s v="Paper"/>
    <s v="Product_445"/>
    <n v="1495.34"/>
    <n v="-278.61"/>
    <n v="0.18"/>
    <x v="0"/>
    <n v="-0.18631883050008696"/>
    <x v="1"/>
    <n v="2022"/>
  </r>
  <r>
    <s v="O01803"/>
    <d v="2023-01-20T00:00:00"/>
    <x v="246"/>
    <x v="0"/>
    <x v="1"/>
    <s v="Copiers"/>
    <s v="Product_322"/>
    <n v="2437.8000000000002"/>
    <n v="631.59"/>
    <n v="0.04"/>
    <x v="1"/>
    <n v="0.25908195914349003"/>
    <x v="1"/>
    <n v="2023"/>
  </r>
  <r>
    <s v="O01804"/>
    <d v="2022-02-05T00:00:00"/>
    <x v="619"/>
    <x v="3"/>
    <x v="1"/>
    <s v="Copiers"/>
    <s v="Product_166"/>
    <n v="1687.03"/>
    <n v="198.82"/>
    <n v="0.05"/>
    <x v="1"/>
    <n v="0.11785208324688951"/>
    <x v="10"/>
    <n v="2022"/>
  </r>
  <r>
    <s v="O01805"/>
    <d v="2024-01-01T00:00:00"/>
    <x v="260"/>
    <x v="2"/>
    <x v="0"/>
    <s v="Storage"/>
    <s v="Product_33"/>
    <n v="292.97000000000003"/>
    <n v="24.51"/>
    <n v="0.15"/>
    <x v="1"/>
    <n v="8.3660443048776317E-2"/>
    <x v="1"/>
    <n v="2024"/>
  </r>
  <r>
    <s v="O01806"/>
    <d v="2022-08-29T00:00:00"/>
    <x v="3"/>
    <x v="3"/>
    <x v="2"/>
    <s v="Chairs"/>
    <s v="Product_498"/>
    <n v="842.69"/>
    <n v="171.97"/>
    <n v="0.16"/>
    <x v="1"/>
    <n v="0.20407267203835336"/>
    <x v="3"/>
    <n v="2022"/>
  </r>
  <r>
    <s v="O01807"/>
    <d v="2023-02-15T00:00:00"/>
    <x v="195"/>
    <x v="0"/>
    <x v="1"/>
    <s v="Accessories"/>
    <s v="Product_269"/>
    <n v="497.68"/>
    <n v="-128.53"/>
    <n v="0.1"/>
    <x v="0"/>
    <n v="-0.25825831859829607"/>
    <x v="10"/>
    <n v="2023"/>
  </r>
  <r>
    <s v="O01808"/>
    <d v="2022-04-02T00:00:00"/>
    <x v="254"/>
    <x v="2"/>
    <x v="1"/>
    <s v="Copiers"/>
    <s v="Product_82"/>
    <n v="3969.67"/>
    <n v="-322.10000000000002"/>
    <n v="0.21"/>
    <x v="0"/>
    <n v="-8.1140245914647816E-2"/>
    <x v="0"/>
    <n v="2022"/>
  </r>
  <r>
    <s v="O01809"/>
    <d v="2022-01-25T00:00:00"/>
    <x v="577"/>
    <x v="1"/>
    <x v="2"/>
    <s v="Tables"/>
    <s v="Product_246"/>
    <n v="1214.24"/>
    <n v="230.84"/>
    <n v="0.02"/>
    <x v="1"/>
    <n v="0.1901106865199631"/>
    <x v="1"/>
    <n v="2022"/>
  </r>
  <r>
    <s v="O01810"/>
    <d v="2022-05-21T00:00:00"/>
    <x v="15"/>
    <x v="3"/>
    <x v="2"/>
    <s v="Chairs"/>
    <s v="Product_166"/>
    <n v="1173.0999999999999"/>
    <n v="-209.31"/>
    <n v="7.0000000000000007E-2"/>
    <x v="0"/>
    <n v="-0.17842468672747422"/>
    <x v="11"/>
    <n v="2022"/>
  </r>
  <r>
    <s v="O01811"/>
    <d v="2023-05-20T00:00:00"/>
    <x v="714"/>
    <x v="2"/>
    <x v="1"/>
    <s v="Copiers"/>
    <s v="Product_282"/>
    <n v="3384.29"/>
    <n v="843.78"/>
    <n v="0.01"/>
    <x v="1"/>
    <n v="0.24932260533228534"/>
    <x v="11"/>
    <n v="2023"/>
  </r>
  <r>
    <s v="O01812"/>
    <d v="2023-05-19T00:00:00"/>
    <x v="572"/>
    <x v="3"/>
    <x v="2"/>
    <s v="Chairs"/>
    <s v="Product_360"/>
    <n v="1080.6099999999999"/>
    <n v="-78.12"/>
    <n v="0.01"/>
    <x v="0"/>
    <n v="-7.2292501457510122E-2"/>
    <x v="11"/>
    <n v="2023"/>
  </r>
  <r>
    <s v="O01813"/>
    <d v="2023-02-11T00:00:00"/>
    <x v="685"/>
    <x v="1"/>
    <x v="2"/>
    <s v="Bookcases"/>
    <s v="Product_275"/>
    <n v="4420.07"/>
    <n v="651.62"/>
    <n v="0.15"/>
    <x v="1"/>
    <n v="0.14742300461304914"/>
    <x v="10"/>
    <n v="2023"/>
  </r>
  <r>
    <s v="O01814"/>
    <d v="2023-06-08T00:00:00"/>
    <x v="639"/>
    <x v="1"/>
    <x v="2"/>
    <s v="Bookcases"/>
    <s v="Product_428"/>
    <n v="3746.84"/>
    <n v="201.42"/>
    <n v="0.08"/>
    <x v="1"/>
    <n v="5.3757299484365487E-2"/>
    <x v="8"/>
    <n v="2023"/>
  </r>
  <r>
    <s v="O01815"/>
    <d v="2023-02-07T00:00:00"/>
    <x v="514"/>
    <x v="3"/>
    <x v="2"/>
    <s v="Bookcases"/>
    <s v="Product_232"/>
    <n v="1355.76"/>
    <n v="377.93"/>
    <n v="0.06"/>
    <x v="1"/>
    <n v="0.27875877736472532"/>
    <x v="10"/>
    <n v="2023"/>
  </r>
  <r>
    <s v="O01816"/>
    <d v="2023-02-20T00:00:00"/>
    <x v="661"/>
    <x v="1"/>
    <x v="2"/>
    <s v="Tables"/>
    <s v="Product_58"/>
    <n v="3056.5"/>
    <n v="-284"/>
    <n v="0.2"/>
    <x v="0"/>
    <n v="-9.2916734827416983E-2"/>
    <x v="10"/>
    <n v="2023"/>
  </r>
  <r>
    <s v="O01817"/>
    <d v="2022-07-24T00:00:00"/>
    <x v="2"/>
    <x v="3"/>
    <x v="2"/>
    <s v="Tables"/>
    <s v="Product_427"/>
    <n v="4042.72"/>
    <n v="422.63"/>
    <n v="0.22"/>
    <x v="1"/>
    <n v="0.10454100209759766"/>
    <x v="2"/>
    <n v="2022"/>
  </r>
  <r>
    <s v="O01818"/>
    <d v="2023-04-20T00:00:00"/>
    <x v="325"/>
    <x v="1"/>
    <x v="0"/>
    <s v="Storage"/>
    <s v="Product_291"/>
    <n v="1150.28"/>
    <n v="-227.73"/>
    <n v="0.18"/>
    <x v="0"/>
    <n v="-0.19797788364572103"/>
    <x v="0"/>
    <n v="2023"/>
  </r>
  <r>
    <s v="O01819"/>
    <d v="2022-07-05T00:00:00"/>
    <x v="493"/>
    <x v="1"/>
    <x v="1"/>
    <s v="Phones"/>
    <s v="Product_256"/>
    <n v="2604.39"/>
    <n v="-417.08"/>
    <n v="0.09"/>
    <x v="0"/>
    <n v="-0.16014498596600354"/>
    <x v="2"/>
    <n v="2022"/>
  </r>
  <r>
    <s v="O01820"/>
    <d v="2022-06-19T00:00:00"/>
    <x v="282"/>
    <x v="2"/>
    <x v="0"/>
    <s v="Paper"/>
    <s v="Product_288"/>
    <n v="3627.85"/>
    <n v="-382.91"/>
    <n v="0.14000000000000001"/>
    <x v="0"/>
    <n v="-0.10554736276306904"/>
    <x v="8"/>
    <n v="2022"/>
  </r>
  <r>
    <s v="O01821"/>
    <d v="2022-03-21T00:00:00"/>
    <x v="530"/>
    <x v="0"/>
    <x v="0"/>
    <s v="Paper"/>
    <s v="Product_453"/>
    <n v="3995.52"/>
    <n v="650.04999999999995"/>
    <n v="0.2"/>
    <x v="1"/>
    <n v="0.16269471808425434"/>
    <x v="6"/>
    <n v="2022"/>
  </r>
  <r>
    <s v="O01822"/>
    <d v="2022-01-01T00:00:00"/>
    <x v="689"/>
    <x v="2"/>
    <x v="2"/>
    <s v="Chairs"/>
    <s v="Product_196"/>
    <n v="3134.46"/>
    <n v="338.75"/>
    <n v="0.26"/>
    <x v="1"/>
    <n v="0.10807284189302144"/>
    <x v="1"/>
    <n v="2022"/>
  </r>
  <r>
    <s v="O01823"/>
    <d v="2023-10-24T00:00:00"/>
    <x v="349"/>
    <x v="2"/>
    <x v="0"/>
    <s v="Storage"/>
    <s v="Product_380"/>
    <n v="4809.92"/>
    <n v="-44.11"/>
    <n v="0.03"/>
    <x v="0"/>
    <n v="-9.1706306965604421E-3"/>
    <x v="5"/>
    <n v="2023"/>
  </r>
  <r>
    <s v="O01824"/>
    <d v="2022-02-05T00:00:00"/>
    <x v="514"/>
    <x v="3"/>
    <x v="1"/>
    <s v="Phones"/>
    <s v="Product_73"/>
    <n v="1471.9"/>
    <n v="-326.05"/>
    <n v="0.2"/>
    <x v="0"/>
    <n v="-0.22151640736463074"/>
    <x v="10"/>
    <n v="2022"/>
  </r>
  <r>
    <s v="O01825"/>
    <d v="2022-07-29T00:00:00"/>
    <x v="362"/>
    <x v="0"/>
    <x v="1"/>
    <s v="Accessories"/>
    <s v="Product_451"/>
    <n v="4657.62"/>
    <n v="48.13"/>
    <n v="0.27"/>
    <x v="1"/>
    <n v="1.0333603857764266E-2"/>
    <x v="2"/>
    <n v="2022"/>
  </r>
  <r>
    <s v="O01826"/>
    <d v="2023-08-17T00:00:00"/>
    <x v="679"/>
    <x v="3"/>
    <x v="1"/>
    <s v="Phones"/>
    <s v="Product_139"/>
    <n v="170.29"/>
    <n v="-15.18"/>
    <n v="0.03"/>
    <x v="0"/>
    <n v="-8.9142051793998478E-2"/>
    <x v="3"/>
    <n v="2023"/>
  </r>
  <r>
    <s v="O01827"/>
    <d v="2022-08-09T00:00:00"/>
    <x v="475"/>
    <x v="2"/>
    <x v="2"/>
    <s v="Bookcases"/>
    <s v="Product_348"/>
    <n v="2859.83"/>
    <n v="557.9"/>
    <n v="0.02"/>
    <x v="1"/>
    <n v="0.19508152582496163"/>
    <x v="3"/>
    <n v="2022"/>
  </r>
  <r>
    <s v="O01828"/>
    <d v="2022-06-29T00:00:00"/>
    <x v="595"/>
    <x v="0"/>
    <x v="1"/>
    <s v="Phones"/>
    <s v="Product_337"/>
    <n v="282.08999999999997"/>
    <n v="-14.27"/>
    <n v="0.13"/>
    <x v="0"/>
    <n v="-5.0586692190435677E-2"/>
    <x v="8"/>
    <n v="2022"/>
  </r>
  <r>
    <s v="O01829"/>
    <d v="2022-10-01T00:00:00"/>
    <x v="714"/>
    <x v="3"/>
    <x v="2"/>
    <s v="Tables"/>
    <s v="Product_494"/>
    <n v="3578.52"/>
    <n v="-1067.76"/>
    <n v="0.22"/>
    <x v="0"/>
    <n v="-0.29838033600482883"/>
    <x v="5"/>
    <n v="2022"/>
  </r>
  <r>
    <s v="O01830"/>
    <d v="2022-02-15T00:00:00"/>
    <x v="552"/>
    <x v="2"/>
    <x v="2"/>
    <s v="Chairs"/>
    <s v="Product_287"/>
    <n v="3479.41"/>
    <n v="548.02"/>
    <n v="0.24"/>
    <x v="1"/>
    <n v="0.1575037147102526"/>
    <x v="10"/>
    <n v="2022"/>
  </r>
  <r>
    <s v="O01831"/>
    <d v="2022-10-21T00:00:00"/>
    <x v="435"/>
    <x v="0"/>
    <x v="0"/>
    <s v="Paper"/>
    <s v="Product_307"/>
    <n v="3980.62"/>
    <n v="141.37"/>
    <n v="0.21"/>
    <x v="1"/>
    <n v="3.5514568082359033E-2"/>
    <x v="5"/>
    <n v="2022"/>
  </r>
  <r>
    <s v="O01832"/>
    <d v="2023-01-16T00:00:00"/>
    <x v="104"/>
    <x v="1"/>
    <x v="1"/>
    <s v="Accessories"/>
    <s v="Product_165"/>
    <n v="4121.5"/>
    <n v="-560.69000000000005"/>
    <n v="0.16"/>
    <x v="0"/>
    <n v="-0.13604027659832588"/>
    <x v="1"/>
    <n v="2023"/>
  </r>
  <r>
    <s v="O01833"/>
    <d v="2023-04-24T00:00:00"/>
    <x v="72"/>
    <x v="3"/>
    <x v="0"/>
    <s v="Storage"/>
    <s v="Product_76"/>
    <n v="1799.26"/>
    <n v="-16.07"/>
    <n v="0.05"/>
    <x v="0"/>
    <n v="-8.9314495959449992E-3"/>
    <x v="0"/>
    <n v="2023"/>
  </r>
  <r>
    <s v="O01834"/>
    <d v="2022-03-30T00:00:00"/>
    <x v="550"/>
    <x v="3"/>
    <x v="0"/>
    <s v="Paper"/>
    <s v="Product_454"/>
    <n v="3410.98"/>
    <n v="876.05"/>
    <n v="0.12"/>
    <x v="1"/>
    <n v="0.25683234730194837"/>
    <x v="6"/>
    <n v="2022"/>
  </r>
  <r>
    <s v="O01835"/>
    <d v="2023-07-07T00:00:00"/>
    <x v="715"/>
    <x v="1"/>
    <x v="2"/>
    <s v="Tables"/>
    <s v="Product_456"/>
    <n v="4631.12"/>
    <n v="-553.6"/>
    <n v="0.19"/>
    <x v="0"/>
    <n v="-0.11953911796714402"/>
    <x v="2"/>
    <n v="2023"/>
  </r>
  <r>
    <s v="O01836"/>
    <d v="2023-09-06T00:00:00"/>
    <x v="163"/>
    <x v="1"/>
    <x v="2"/>
    <s v="Tables"/>
    <s v="Product_436"/>
    <n v="2581.13"/>
    <n v="-219.3"/>
    <n v="0.26"/>
    <x v="0"/>
    <n v="-8.4962787616276597E-2"/>
    <x v="7"/>
    <n v="2023"/>
  </r>
  <r>
    <s v="O01837"/>
    <d v="2023-02-10T00:00:00"/>
    <x v="548"/>
    <x v="2"/>
    <x v="0"/>
    <s v="Binders"/>
    <s v="Product_451"/>
    <n v="4888.4399999999996"/>
    <n v="267.94"/>
    <n v="0.24"/>
    <x v="1"/>
    <n v="5.4810941731922663E-2"/>
    <x v="10"/>
    <n v="2023"/>
  </r>
  <r>
    <s v="O01838"/>
    <d v="2022-09-18T00:00:00"/>
    <x v="246"/>
    <x v="1"/>
    <x v="2"/>
    <s v="Bookcases"/>
    <s v="Product_379"/>
    <n v="2765.58"/>
    <n v="-40.71"/>
    <n v="0.16"/>
    <x v="0"/>
    <n v="-1.4720239515761614E-2"/>
    <x v="7"/>
    <n v="2022"/>
  </r>
  <r>
    <s v="O01839"/>
    <d v="2023-01-18T00:00:00"/>
    <x v="52"/>
    <x v="2"/>
    <x v="2"/>
    <s v="Bookcases"/>
    <s v="Product_268"/>
    <n v="3577.79"/>
    <n v="-822.34"/>
    <n v="0.1"/>
    <x v="0"/>
    <n v="-0.22984579866342073"/>
    <x v="1"/>
    <n v="2023"/>
  </r>
  <r>
    <s v="O01840"/>
    <d v="2022-04-19T00:00:00"/>
    <x v="85"/>
    <x v="2"/>
    <x v="0"/>
    <s v="Paper"/>
    <s v="Product_80"/>
    <n v="1173.45"/>
    <n v="-76.510000000000005"/>
    <n v="0.11"/>
    <x v="0"/>
    <n v="-6.5200903319272238E-2"/>
    <x v="0"/>
    <n v="2022"/>
  </r>
  <r>
    <s v="O01841"/>
    <d v="2022-04-21T00:00:00"/>
    <x v="96"/>
    <x v="1"/>
    <x v="0"/>
    <s v="Binders"/>
    <s v="Product_469"/>
    <n v="3609.39"/>
    <n v="402.69"/>
    <n v="0.27"/>
    <x v="1"/>
    <n v="0.11156732855136187"/>
    <x v="0"/>
    <n v="2022"/>
  </r>
  <r>
    <s v="O01842"/>
    <d v="2022-08-03T00:00:00"/>
    <x v="434"/>
    <x v="0"/>
    <x v="2"/>
    <s v="Bookcases"/>
    <s v="Product_488"/>
    <n v="4755.54"/>
    <n v="-125.2"/>
    <n v="7.0000000000000007E-2"/>
    <x v="0"/>
    <n v="-2.6327188920711425E-2"/>
    <x v="3"/>
    <n v="2022"/>
  </r>
  <r>
    <s v="O01843"/>
    <d v="2023-11-28T00:00:00"/>
    <x v="90"/>
    <x v="0"/>
    <x v="2"/>
    <s v="Chairs"/>
    <s v="Product_130"/>
    <n v="179.48"/>
    <n v="-29.75"/>
    <n v="0.09"/>
    <x v="0"/>
    <n v="-0.16575663026521062"/>
    <x v="9"/>
    <n v="2023"/>
  </r>
  <r>
    <s v="O01844"/>
    <d v="2023-12-16T00:00:00"/>
    <x v="683"/>
    <x v="3"/>
    <x v="1"/>
    <s v="Phones"/>
    <s v="Product_176"/>
    <n v="2167.4"/>
    <n v="-147.82"/>
    <n v="0.11"/>
    <x v="0"/>
    <n v="-6.8201531789240558E-2"/>
    <x v="4"/>
    <n v="2023"/>
  </r>
  <r>
    <s v="O01845"/>
    <d v="2023-05-05T00:00:00"/>
    <x v="716"/>
    <x v="0"/>
    <x v="1"/>
    <s v="Accessories"/>
    <s v="Product_348"/>
    <n v="1121.4000000000001"/>
    <n v="26.71"/>
    <n v="0.13"/>
    <x v="1"/>
    <n v="2.381844123417157E-2"/>
    <x v="11"/>
    <n v="2023"/>
  </r>
  <r>
    <s v="O01846"/>
    <d v="2023-04-30T00:00:00"/>
    <x v="471"/>
    <x v="0"/>
    <x v="1"/>
    <s v="Phones"/>
    <s v="Product_217"/>
    <n v="2549.9699999999998"/>
    <n v="-399.15"/>
    <n v="0.11"/>
    <x v="0"/>
    <n v="-0.15653125330886247"/>
    <x v="0"/>
    <n v="2023"/>
  </r>
  <r>
    <s v="O01847"/>
    <d v="2023-05-18T00:00:00"/>
    <x v="269"/>
    <x v="2"/>
    <x v="0"/>
    <s v="Storage"/>
    <s v="Product_20"/>
    <n v="3139.14"/>
    <n v="856.41"/>
    <n v="0.11"/>
    <x v="1"/>
    <n v="0.27281675873009803"/>
    <x v="11"/>
    <n v="2023"/>
  </r>
  <r>
    <s v="O01848"/>
    <d v="2023-10-09T00:00:00"/>
    <x v="637"/>
    <x v="2"/>
    <x v="1"/>
    <s v="Phones"/>
    <s v="Product_195"/>
    <n v="2426.87"/>
    <n v="-752.87"/>
    <n v="0.16"/>
    <x v="0"/>
    <n v="-0.31022263244425952"/>
    <x v="5"/>
    <n v="2023"/>
  </r>
  <r>
    <s v="O01849"/>
    <d v="2022-11-14T00:00:00"/>
    <x v="87"/>
    <x v="2"/>
    <x v="0"/>
    <s v="Paper"/>
    <s v="Product_111"/>
    <n v="1282.76"/>
    <n v="-614.95000000000005"/>
    <n v="0.3"/>
    <x v="0"/>
    <n v="-0.47939598989678511"/>
    <x v="9"/>
    <n v="2022"/>
  </r>
  <r>
    <s v="O01850"/>
    <d v="2023-11-23T00:00:00"/>
    <x v="179"/>
    <x v="0"/>
    <x v="0"/>
    <s v="Paper"/>
    <s v="Product_479"/>
    <n v="565.27"/>
    <n v="-30.49"/>
    <n v="0.21"/>
    <x v="0"/>
    <n v="-5.3938825693916177E-2"/>
    <x v="9"/>
    <n v="2023"/>
  </r>
  <r>
    <s v="O01851"/>
    <d v="2023-08-02T00:00:00"/>
    <x v="639"/>
    <x v="0"/>
    <x v="0"/>
    <s v="Paper"/>
    <s v="Product_130"/>
    <n v="438.59"/>
    <n v="-37.35"/>
    <n v="0.05"/>
    <x v="0"/>
    <n v="-8.515926035705329E-2"/>
    <x v="3"/>
    <n v="2023"/>
  </r>
  <r>
    <s v="O01852"/>
    <d v="2022-10-28T00:00:00"/>
    <x v="340"/>
    <x v="0"/>
    <x v="0"/>
    <s v="Binders"/>
    <s v="Product_149"/>
    <n v="3521.26"/>
    <n v="673.82"/>
    <n v="0.15"/>
    <x v="1"/>
    <n v="0.19135763902693922"/>
    <x v="5"/>
    <n v="2022"/>
  </r>
  <r>
    <s v="O01853"/>
    <d v="2022-03-20T00:00:00"/>
    <x v="424"/>
    <x v="2"/>
    <x v="0"/>
    <s v="Paper"/>
    <s v="Product_249"/>
    <n v="2190.98"/>
    <n v="374.96"/>
    <n v="0.21"/>
    <x v="1"/>
    <n v="0.17113802955754959"/>
    <x v="6"/>
    <n v="2022"/>
  </r>
  <r>
    <s v="O01854"/>
    <d v="2022-06-30T00:00:00"/>
    <x v="97"/>
    <x v="2"/>
    <x v="2"/>
    <s v="Chairs"/>
    <s v="Product_23"/>
    <n v="1997.79"/>
    <n v="-55.29"/>
    <n v="0.22"/>
    <x v="0"/>
    <n v="-2.7675581517576923E-2"/>
    <x v="8"/>
    <n v="2022"/>
  </r>
  <r>
    <s v="O01855"/>
    <d v="2023-05-21T00:00:00"/>
    <x v="293"/>
    <x v="2"/>
    <x v="1"/>
    <s v="Phones"/>
    <s v="Product_414"/>
    <n v="1194.77"/>
    <n v="-131.26"/>
    <n v="0.26"/>
    <x v="0"/>
    <n v="-0.10986214920026448"/>
    <x v="11"/>
    <n v="2023"/>
  </r>
  <r>
    <s v="O01856"/>
    <d v="2023-09-12T00:00:00"/>
    <x v="552"/>
    <x v="0"/>
    <x v="0"/>
    <s v="Binders"/>
    <s v="Product_225"/>
    <n v="597.53"/>
    <n v="122.02"/>
    <n v="0.04"/>
    <x v="1"/>
    <n v="0.20420732013455392"/>
    <x v="7"/>
    <n v="2023"/>
  </r>
  <r>
    <s v="O01857"/>
    <d v="2023-12-12T00:00:00"/>
    <x v="206"/>
    <x v="0"/>
    <x v="1"/>
    <s v="Accessories"/>
    <s v="Product_215"/>
    <n v="3992.25"/>
    <n v="379.44"/>
    <n v="0.13"/>
    <x v="1"/>
    <n v="9.5044148036821346E-2"/>
    <x v="4"/>
    <n v="2023"/>
  </r>
  <r>
    <s v="O01858"/>
    <d v="2022-03-08T00:00:00"/>
    <x v="717"/>
    <x v="3"/>
    <x v="1"/>
    <s v="Phones"/>
    <s v="Product_450"/>
    <n v="1466.62"/>
    <n v="-171.08"/>
    <n v="0.17"/>
    <x v="0"/>
    <n v="-0.11664916610983078"/>
    <x v="6"/>
    <n v="2022"/>
  </r>
  <r>
    <s v="O01859"/>
    <d v="2022-05-21T00:00:00"/>
    <x v="362"/>
    <x v="0"/>
    <x v="0"/>
    <s v="Paper"/>
    <s v="Product_83"/>
    <n v="2425.67"/>
    <n v="-494.98"/>
    <n v="0.15"/>
    <x v="0"/>
    <n v="-0.20405908470649348"/>
    <x v="11"/>
    <n v="2022"/>
  </r>
  <r>
    <s v="O01860"/>
    <d v="2023-07-14T00:00:00"/>
    <x v="16"/>
    <x v="3"/>
    <x v="2"/>
    <s v="Bookcases"/>
    <s v="Product_245"/>
    <n v="1015.27"/>
    <n v="137.99"/>
    <n v="0.06"/>
    <x v="1"/>
    <n v="0.13591458429777301"/>
    <x v="2"/>
    <n v="2023"/>
  </r>
  <r>
    <s v="O01861"/>
    <d v="2022-08-26T00:00:00"/>
    <x v="718"/>
    <x v="1"/>
    <x v="2"/>
    <s v="Bookcases"/>
    <s v="Product_154"/>
    <n v="1009"/>
    <n v="15.94"/>
    <n v="0.12"/>
    <x v="1"/>
    <n v="1.5797819623389494E-2"/>
    <x v="3"/>
    <n v="2022"/>
  </r>
  <r>
    <s v="O01862"/>
    <d v="2022-01-13T00:00:00"/>
    <x v="448"/>
    <x v="3"/>
    <x v="2"/>
    <s v="Bookcases"/>
    <s v="Product_300"/>
    <n v="3537.22"/>
    <n v="-580.12"/>
    <n v="0"/>
    <x v="0"/>
    <n v="-0.16400450070959682"/>
    <x v="1"/>
    <n v="2022"/>
  </r>
  <r>
    <s v="O01863"/>
    <d v="2022-09-07T00:00:00"/>
    <x v="366"/>
    <x v="1"/>
    <x v="0"/>
    <s v="Binders"/>
    <s v="Product_97"/>
    <n v="1586.39"/>
    <n v="-393.87"/>
    <n v="0.24"/>
    <x v="0"/>
    <n v="-0.24828068759888802"/>
    <x v="7"/>
    <n v="2022"/>
  </r>
  <r>
    <s v="O01864"/>
    <d v="2023-07-21T00:00:00"/>
    <x v="288"/>
    <x v="0"/>
    <x v="0"/>
    <s v="Paper"/>
    <s v="Product_75"/>
    <n v="2443.5500000000002"/>
    <n v="-382.54"/>
    <n v="0.06"/>
    <x v="0"/>
    <n v="-0.1565509197683698"/>
    <x v="2"/>
    <n v="2023"/>
  </r>
  <r>
    <s v="O01865"/>
    <d v="2023-05-05T00:00:00"/>
    <x v="553"/>
    <x v="0"/>
    <x v="0"/>
    <s v="Binders"/>
    <s v="Product_290"/>
    <n v="4303.4399999999996"/>
    <n v="930.88"/>
    <n v="0.04"/>
    <x v="1"/>
    <n v="0.21631067239231871"/>
    <x v="11"/>
    <n v="2023"/>
  </r>
  <r>
    <s v="O01866"/>
    <d v="2022-08-19T00:00:00"/>
    <x v="688"/>
    <x v="2"/>
    <x v="2"/>
    <s v="Chairs"/>
    <s v="Product_31"/>
    <n v="3172.01"/>
    <n v="175.65"/>
    <n v="0.12"/>
    <x v="1"/>
    <n v="5.53749830549084E-2"/>
    <x v="3"/>
    <n v="2022"/>
  </r>
  <r>
    <s v="O01867"/>
    <d v="2023-11-19T00:00:00"/>
    <x v="104"/>
    <x v="3"/>
    <x v="1"/>
    <s v="Phones"/>
    <s v="Product_201"/>
    <n v="4366.28"/>
    <n v="-1805.02"/>
    <n v="0.23"/>
    <x v="0"/>
    <n v="-0.41339996518775712"/>
    <x v="9"/>
    <n v="2023"/>
  </r>
  <r>
    <s v="O01868"/>
    <d v="2023-05-06T00:00:00"/>
    <x v="397"/>
    <x v="2"/>
    <x v="1"/>
    <s v="Copiers"/>
    <s v="Product_331"/>
    <n v="4198.22"/>
    <n v="1152.43"/>
    <n v="7.0000000000000007E-2"/>
    <x v="1"/>
    <n v="0.27450443283105697"/>
    <x v="11"/>
    <n v="2023"/>
  </r>
  <r>
    <s v="O01869"/>
    <d v="2022-03-18T00:00:00"/>
    <x v="719"/>
    <x v="0"/>
    <x v="0"/>
    <s v="Binders"/>
    <s v="Product_214"/>
    <n v="1282.57"/>
    <n v="-79.16"/>
    <n v="0.16"/>
    <x v="0"/>
    <n v="-6.1719828157527468E-2"/>
    <x v="6"/>
    <n v="2022"/>
  </r>
  <r>
    <s v="O01870"/>
    <d v="2023-10-19T00:00:00"/>
    <x v="608"/>
    <x v="3"/>
    <x v="2"/>
    <s v="Bookcases"/>
    <s v="Product_143"/>
    <n v="515.73"/>
    <n v="-197.35"/>
    <n v="0.27"/>
    <x v="0"/>
    <n v="-0.38266147014910901"/>
    <x v="5"/>
    <n v="2023"/>
  </r>
  <r>
    <s v="O01871"/>
    <d v="2022-11-07T00:00:00"/>
    <x v="534"/>
    <x v="3"/>
    <x v="1"/>
    <s v="Accessories"/>
    <s v="Product_471"/>
    <n v="2376.08"/>
    <n v="262"/>
    <n v="0.24"/>
    <x v="1"/>
    <n v="0.11026564762129222"/>
    <x v="9"/>
    <n v="2022"/>
  </r>
  <r>
    <s v="O01872"/>
    <d v="2023-12-06T00:00:00"/>
    <x v="89"/>
    <x v="1"/>
    <x v="1"/>
    <s v="Accessories"/>
    <s v="Product_241"/>
    <n v="2606.06"/>
    <n v="528.24"/>
    <n v="0.12"/>
    <x v="1"/>
    <n v="0.2026967913248352"/>
    <x v="4"/>
    <n v="2023"/>
  </r>
  <r>
    <s v="O01873"/>
    <d v="2023-09-24T00:00:00"/>
    <x v="159"/>
    <x v="0"/>
    <x v="1"/>
    <s v="Phones"/>
    <s v="Product_129"/>
    <n v="3487.98"/>
    <n v="-594.20000000000005"/>
    <n v="0.28999999999999998"/>
    <x v="0"/>
    <n v="-0.17035648140184292"/>
    <x v="7"/>
    <n v="2023"/>
  </r>
  <r>
    <s v="O01874"/>
    <d v="2022-08-22T00:00:00"/>
    <x v="136"/>
    <x v="3"/>
    <x v="0"/>
    <s v="Paper"/>
    <s v="Product_465"/>
    <n v="4677.3900000000003"/>
    <n v="-483.36"/>
    <n v="0.26"/>
    <x v="0"/>
    <n v="-0.10333968302835556"/>
    <x v="3"/>
    <n v="2022"/>
  </r>
  <r>
    <s v="O01875"/>
    <d v="2022-12-10T00:00:00"/>
    <x v="98"/>
    <x v="2"/>
    <x v="2"/>
    <s v="Bookcases"/>
    <s v="Product_143"/>
    <n v="1037.21"/>
    <n v="-388.84"/>
    <n v="0.28999999999999998"/>
    <x v="0"/>
    <n v="-0.37489033079125728"/>
    <x v="4"/>
    <n v="2022"/>
  </r>
  <r>
    <s v="O01876"/>
    <d v="2022-05-23T00:00:00"/>
    <x v="223"/>
    <x v="3"/>
    <x v="1"/>
    <s v="Copiers"/>
    <s v="Product_98"/>
    <n v="2176.86"/>
    <n v="132.76"/>
    <n v="0.2"/>
    <x v="1"/>
    <n v="6.0986926122947725E-2"/>
    <x v="11"/>
    <n v="2022"/>
  </r>
  <r>
    <s v="O01877"/>
    <d v="2023-04-19T00:00:00"/>
    <x v="428"/>
    <x v="1"/>
    <x v="0"/>
    <s v="Storage"/>
    <s v="Product_61"/>
    <n v="1871.29"/>
    <n v="-313.08999999999997"/>
    <n v="0.16"/>
    <x v="0"/>
    <n v="-0.16731238877993254"/>
    <x v="0"/>
    <n v="2023"/>
  </r>
  <r>
    <s v="O01878"/>
    <d v="2023-10-11T00:00:00"/>
    <x v="560"/>
    <x v="1"/>
    <x v="0"/>
    <s v="Storage"/>
    <s v="Product_455"/>
    <n v="4393.1099999999997"/>
    <n v="-1171.03"/>
    <n v="0.19"/>
    <x v="0"/>
    <n v="-0.2665605914716454"/>
    <x v="5"/>
    <n v="2023"/>
  </r>
  <r>
    <s v="O01879"/>
    <d v="2023-08-05T00:00:00"/>
    <x v="290"/>
    <x v="3"/>
    <x v="0"/>
    <s v="Paper"/>
    <s v="Product_75"/>
    <n v="1937.49"/>
    <n v="213.56"/>
    <n v="0.12"/>
    <x v="1"/>
    <n v="0.11022508503269694"/>
    <x v="3"/>
    <n v="2023"/>
  </r>
  <r>
    <s v="O01880"/>
    <d v="2023-07-18T00:00:00"/>
    <x v="452"/>
    <x v="0"/>
    <x v="1"/>
    <s v="Copiers"/>
    <s v="Product_35"/>
    <n v="453.05"/>
    <n v="-6.37"/>
    <n v="0.04"/>
    <x v="0"/>
    <n v="-1.4060258249641321E-2"/>
    <x v="2"/>
    <n v="2023"/>
  </r>
  <r>
    <s v="O01881"/>
    <d v="2023-08-21T00:00:00"/>
    <x v="343"/>
    <x v="2"/>
    <x v="2"/>
    <s v="Tables"/>
    <s v="Product_102"/>
    <n v="4646.25"/>
    <n v="1182.53"/>
    <n v="0.14000000000000001"/>
    <x v="1"/>
    <n v="0.25451277912294862"/>
    <x v="3"/>
    <n v="2023"/>
  </r>
  <r>
    <s v="O01882"/>
    <d v="2022-04-21T00:00:00"/>
    <x v="132"/>
    <x v="2"/>
    <x v="1"/>
    <s v="Phones"/>
    <s v="Product_199"/>
    <n v="4909.7299999999996"/>
    <n v="-472.63"/>
    <n v="0.19"/>
    <x v="0"/>
    <n v="-9.6263949341409819E-2"/>
    <x v="0"/>
    <n v="2022"/>
  </r>
  <r>
    <s v="O01883"/>
    <d v="2022-02-25T00:00:00"/>
    <x v="705"/>
    <x v="0"/>
    <x v="1"/>
    <s v="Phones"/>
    <s v="Product_143"/>
    <n v="784.66"/>
    <n v="169.55"/>
    <n v="0.04"/>
    <x v="1"/>
    <n v="0.21608085030459054"/>
    <x v="10"/>
    <n v="2022"/>
  </r>
  <r>
    <s v="O01884"/>
    <d v="2023-12-05T00:00:00"/>
    <x v="19"/>
    <x v="1"/>
    <x v="2"/>
    <s v="Bookcases"/>
    <s v="Product_21"/>
    <n v="2722.59"/>
    <n v="-496.78"/>
    <n v="0.04"/>
    <x v="0"/>
    <n v="-0.18246596072122498"/>
    <x v="4"/>
    <n v="2023"/>
  </r>
  <r>
    <s v="O01885"/>
    <d v="2022-10-11T00:00:00"/>
    <x v="36"/>
    <x v="2"/>
    <x v="0"/>
    <s v="Storage"/>
    <s v="Product_124"/>
    <n v="393.41"/>
    <n v="140.09"/>
    <n v="0.03"/>
    <x v="1"/>
    <n v="0.35609160926260136"/>
    <x v="5"/>
    <n v="2022"/>
  </r>
  <r>
    <s v="O01886"/>
    <d v="2023-07-20T00:00:00"/>
    <x v="261"/>
    <x v="1"/>
    <x v="2"/>
    <s v="Chairs"/>
    <s v="Product_78"/>
    <n v="3129.73"/>
    <n v="-657.11"/>
    <n v="0.17"/>
    <x v="0"/>
    <n v="-0.20995740846654504"/>
    <x v="2"/>
    <n v="2023"/>
  </r>
  <r>
    <s v="O01887"/>
    <d v="2023-01-28T00:00:00"/>
    <x v="720"/>
    <x v="0"/>
    <x v="2"/>
    <s v="Bookcases"/>
    <s v="Product_489"/>
    <n v="2962.19"/>
    <n v="-968.32"/>
    <n v="0.23"/>
    <x v="0"/>
    <n v="-0.32689327828397235"/>
    <x v="1"/>
    <n v="2023"/>
  </r>
  <r>
    <s v="O01888"/>
    <d v="2023-05-13T00:00:00"/>
    <x v="4"/>
    <x v="0"/>
    <x v="2"/>
    <s v="Chairs"/>
    <s v="Product_127"/>
    <n v="2899.08"/>
    <n v="592.72"/>
    <n v="0.18"/>
    <x v="1"/>
    <n v="0.20445106723512288"/>
    <x v="11"/>
    <n v="2023"/>
  </r>
  <r>
    <s v="O01889"/>
    <d v="2022-08-14T00:00:00"/>
    <x v="620"/>
    <x v="0"/>
    <x v="1"/>
    <s v="Phones"/>
    <s v="Product_2"/>
    <n v="1285.92"/>
    <n v="199.49"/>
    <n v="0.18"/>
    <x v="1"/>
    <n v="0.15513406743809879"/>
    <x v="3"/>
    <n v="2022"/>
  </r>
  <r>
    <s v="O01890"/>
    <d v="2023-01-31T00:00:00"/>
    <x v="60"/>
    <x v="1"/>
    <x v="2"/>
    <s v="Bookcases"/>
    <s v="Product_119"/>
    <n v="1611.62"/>
    <n v="-16.39"/>
    <n v="0.17"/>
    <x v="0"/>
    <n v="-1.0169891165411202E-2"/>
    <x v="1"/>
    <n v="2023"/>
  </r>
  <r>
    <s v="O01891"/>
    <d v="2023-01-29T00:00:00"/>
    <x v="397"/>
    <x v="2"/>
    <x v="2"/>
    <s v="Chairs"/>
    <s v="Product_12"/>
    <n v="2101.8200000000002"/>
    <n v="-503.95"/>
    <n v="0.13"/>
    <x v="0"/>
    <n v="-0.23976839120381382"/>
    <x v="1"/>
    <n v="2023"/>
  </r>
  <r>
    <s v="O01892"/>
    <d v="2023-06-21T00:00:00"/>
    <x v="323"/>
    <x v="3"/>
    <x v="0"/>
    <s v="Paper"/>
    <s v="Product_11"/>
    <n v="1105.1300000000001"/>
    <n v="-152.52000000000001"/>
    <n v="0.2"/>
    <x v="0"/>
    <n v="-0.13801091274329716"/>
    <x v="8"/>
    <n v="2023"/>
  </r>
  <r>
    <s v="O01893"/>
    <d v="2023-01-17T00:00:00"/>
    <x v="713"/>
    <x v="0"/>
    <x v="1"/>
    <s v="Copiers"/>
    <s v="Product_308"/>
    <n v="3116.63"/>
    <n v="-268.24"/>
    <n v="0.25"/>
    <x v="0"/>
    <n v="-8.6067322717165662E-2"/>
    <x v="1"/>
    <n v="2023"/>
  </r>
  <r>
    <s v="O01894"/>
    <d v="2022-11-18T00:00:00"/>
    <x v="721"/>
    <x v="2"/>
    <x v="0"/>
    <s v="Storage"/>
    <s v="Product_141"/>
    <n v="1950.55"/>
    <n v="-615.83000000000004"/>
    <n v="0.24"/>
    <x v="0"/>
    <n v="-0.31572120683909671"/>
    <x v="9"/>
    <n v="2022"/>
  </r>
  <r>
    <s v="O01895"/>
    <d v="2023-04-26T00:00:00"/>
    <x v="714"/>
    <x v="1"/>
    <x v="2"/>
    <s v="Bookcases"/>
    <s v="Product_331"/>
    <n v="1524.33"/>
    <n v="137.59"/>
    <n v="7.0000000000000007E-2"/>
    <x v="1"/>
    <n v="9.0262607178235685E-2"/>
    <x v="0"/>
    <n v="2023"/>
  </r>
  <r>
    <s v="O01896"/>
    <d v="2022-12-20T00:00:00"/>
    <x v="440"/>
    <x v="2"/>
    <x v="0"/>
    <s v="Binders"/>
    <s v="Product_11"/>
    <n v="2316"/>
    <n v="-478.67"/>
    <n v="0.24"/>
    <x v="0"/>
    <n v="-0.20667962003454232"/>
    <x v="4"/>
    <n v="2022"/>
  </r>
  <r>
    <s v="O01897"/>
    <d v="2022-09-19T00:00:00"/>
    <x v="275"/>
    <x v="1"/>
    <x v="1"/>
    <s v="Accessories"/>
    <s v="Product_138"/>
    <n v="3648.47"/>
    <n v="-1518.94"/>
    <n v="0.27"/>
    <x v="0"/>
    <n v="-0.41632245845518812"/>
    <x v="7"/>
    <n v="2022"/>
  </r>
  <r>
    <s v="O01898"/>
    <d v="2023-10-23T00:00:00"/>
    <x v="330"/>
    <x v="1"/>
    <x v="1"/>
    <s v="Accessories"/>
    <s v="Product_434"/>
    <n v="2444.8000000000002"/>
    <n v="641"/>
    <n v="0.05"/>
    <x v="1"/>
    <n v="0.26218913612565442"/>
    <x v="5"/>
    <n v="2023"/>
  </r>
  <r>
    <s v="O01899"/>
    <d v="2022-06-12T00:00:00"/>
    <x v="3"/>
    <x v="0"/>
    <x v="2"/>
    <s v="Tables"/>
    <s v="Product_129"/>
    <n v="1886.4"/>
    <n v="-709.32"/>
    <n v="0.23"/>
    <x v="0"/>
    <n v="-0.37601781170483461"/>
    <x v="8"/>
    <n v="2022"/>
  </r>
  <r>
    <s v="O01900"/>
    <d v="2023-03-23T00:00:00"/>
    <x v="26"/>
    <x v="1"/>
    <x v="2"/>
    <s v="Bookcases"/>
    <s v="Product_118"/>
    <n v="4666.8500000000004"/>
    <n v="-765.87"/>
    <n v="0.14000000000000001"/>
    <x v="0"/>
    <n v="-0.16410855287827977"/>
    <x v="6"/>
    <n v="2023"/>
  </r>
  <r>
    <s v="O01901"/>
    <d v="2023-09-28T00:00:00"/>
    <x v="577"/>
    <x v="1"/>
    <x v="1"/>
    <s v="Accessories"/>
    <s v="Product_148"/>
    <n v="916.48"/>
    <n v="277.77"/>
    <n v="0.02"/>
    <x v="1"/>
    <n v="0.30308353701117313"/>
    <x v="7"/>
    <n v="2023"/>
  </r>
  <r>
    <s v="O01902"/>
    <d v="2022-07-20T00:00:00"/>
    <x v="160"/>
    <x v="0"/>
    <x v="0"/>
    <s v="Paper"/>
    <s v="Product_35"/>
    <n v="4715.88"/>
    <n v="-1548"/>
    <n v="0.27"/>
    <x v="0"/>
    <n v="-0.32825262729331534"/>
    <x v="2"/>
    <n v="2022"/>
  </r>
  <r>
    <s v="O01903"/>
    <d v="2023-04-19T00:00:00"/>
    <x v="722"/>
    <x v="3"/>
    <x v="2"/>
    <s v="Tables"/>
    <s v="Product_371"/>
    <n v="4104.72"/>
    <n v="-720.45"/>
    <n v="0.05"/>
    <x v="0"/>
    <n v="-0.1755174530784073"/>
    <x v="0"/>
    <n v="2023"/>
  </r>
  <r>
    <s v="O01904"/>
    <d v="2022-11-30T00:00:00"/>
    <x v="253"/>
    <x v="3"/>
    <x v="2"/>
    <s v="Chairs"/>
    <s v="Product_263"/>
    <n v="2714.92"/>
    <n v="575.96"/>
    <n v="0.06"/>
    <x v="1"/>
    <n v="0.21214621425309033"/>
    <x v="9"/>
    <n v="2022"/>
  </r>
  <r>
    <s v="O01905"/>
    <d v="2022-02-19T00:00:00"/>
    <x v="170"/>
    <x v="1"/>
    <x v="2"/>
    <s v="Bookcases"/>
    <s v="Product_434"/>
    <n v="2572.1"/>
    <n v="-357.6"/>
    <n v="0.02"/>
    <x v="0"/>
    <n v="-0.13903036429376775"/>
    <x v="10"/>
    <n v="2022"/>
  </r>
  <r>
    <s v="O01906"/>
    <d v="2022-10-13T00:00:00"/>
    <x v="227"/>
    <x v="1"/>
    <x v="2"/>
    <s v="Chairs"/>
    <s v="Product_233"/>
    <n v="4322.2700000000004"/>
    <n v="-456.78"/>
    <n v="0.25"/>
    <x v="0"/>
    <n v="-0.10568057988047945"/>
    <x v="5"/>
    <n v="2022"/>
  </r>
  <r>
    <s v="O01907"/>
    <d v="2022-02-13T00:00:00"/>
    <x v="723"/>
    <x v="2"/>
    <x v="2"/>
    <s v="Bookcases"/>
    <s v="Product_70"/>
    <n v="638.39"/>
    <n v="72.83"/>
    <n v="7.0000000000000007E-2"/>
    <x v="1"/>
    <n v="0.11408386722849669"/>
    <x v="10"/>
    <n v="2022"/>
  </r>
  <r>
    <s v="O01908"/>
    <d v="2023-02-09T00:00:00"/>
    <x v="246"/>
    <x v="2"/>
    <x v="2"/>
    <s v="Tables"/>
    <s v="Product_456"/>
    <n v="2357.79"/>
    <n v="-78.95"/>
    <n v="0.24"/>
    <x v="0"/>
    <n v="-3.3484746309043641E-2"/>
    <x v="10"/>
    <n v="2023"/>
  </r>
  <r>
    <s v="O01909"/>
    <d v="2023-09-13T00:00:00"/>
    <x v="289"/>
    <x v="2"/>
    <x v="0"/>
    <s v="Paper"/>
    <s v="Product_385"/>
    <n v="4814.3100000000004"/>
    <n v="-1288.5"/>
    <n v="0.28000000000000003"/>
    <x v="0"/>
    <n v="-0.26763959944415711"/>
    <x v="7"/>
    <n v="2023"/>
  </r>
  <r>
    <s v="O01910"/>
    <d v="2022-05-10T00:00:00"/>
    <x v="724"/>
    <x v="1"/>
    <x v="1"/>
    <s v="Copiers"/>
    <s v="Product_38"/>
    <n v="4690.66"/>
    <n v="1241.8800000000001"/>
    <n v="0.05"/>
    <x v="1"/>
    <n v="0.26475591920966352"/>
    <x v="11"/>
    <n v="2022"/>
  </r>
  <r>
    <s v="O01911"/>
    <d v="2023-01-27T00:00:00"/>
    <x v="71"/>
    <x v="3"/>
    <x v="0"/>
    <s v="Paper"/>
    <s v="Product_192"/>
    <n v="4225.54"/>
    <n v="1320.48"/>
    <n v="0.03"/>
    <x v="1"/>
    <n v="0.31249970417982081"/>
    <x v="1"/>
    <n v="2023"/>
  </r>
  <r>
    <s v="O01912"/>
    <d v="2023-10-16T00:00:00"/>
    <x v="567"/>
    <x v="1"/>
    <x v="2"/>
    <s v="Tables"/>
    <s v="Product_231"/>
    <n v="2487.39"/>
    <n v="-747.85"/>
    <n v="0.23"/>
    <x v="0"/>
    <n v="-0.30065651144372219"/>
    <x v="5"/>
    <n v="2023"/>
  </r>
  <r>
    <s v="O01913"/>
    <d v="2022-05-26T00:00:00"/>
    <x v="396"/>
    <x v="1"/>
    <x v="0"/>
    <s v="Storage"/>
    <s v="Product_463"/>
    <n v="785.24"/>
    <n v="-158.76"/>
    <n v="0.24"/>
    <x v="0"/>
    <n v="-0.20218022515409301"/>
    <x v="11"/>
    <n v="2022"/>
  </r>
  <r>
    <s v="O01914"/>
    <d v="2022-07-29T00:00:00"/>
    <x v="680"/>
    <x v="1"/>
    <x v="1"/>
    <s v="Accessories"/>
    <s v="Product_213"/>
    <n v="2485.1999999999998"/>
    <n v="-151.29"/>
    <n v="0.14000000000000001"/>
    <x v="0"/>
    <n v="-6.0876388218252052E-2"/>
    <x v="2"/>
    <n v="2022"/>
  </r>
  <r>
    <s v="O01915"/>
    <d v="2022-10-30T00:00:00"/>
    <x v="230"/>
    <x v="0"/>
    <x v="2"/>
    <s v="Chairs"/>
    <s v="Product_180"/>
    <n v="4743.8500000000004"/>
    <n v="396.81"/>
    <n v="0.27"/>
    <x v="1"/>
    <n v="8.3647248542850217E-2"/>
    <x v="5"/>
    <n v="2022"/>
  </r>
  <r>
    <s v="O01916"/>
    <d v="2022-10-29T00:00:00"/>
    <x v="315"/>
    <x v="2"/>
    <x v="1"/>
    <s v="Accessories"/>
    <s v="Product_21"/>
    <n v="4446.53"/>
    <n v="-1836.98"/>
    <n v="0.26"/>
    <x v="0"/>
    <n v="-0.41312664032402796"/>
    <x v="5"/>
    <n v="2022"/>
  </r>
  <r>
    <s v="O01917"/>
    <d v="2022-06-19T00:00:00"/>
    <x v="725"/>
    <x v="0"/>
    <x v="1"/>
    <s v="Phones"/>
    <s v="Product_75"/>
    <n v="1827.16"/>
    <n v="535.71"/>
    <n v="0.06"/>
    <x v="1"/>
    <n v="0.29319271437640931"/>
    <x v="8"/>
    <n v="2022"/>
  </r>
  <r>
    <s v="O01918"/>
    <d v="2023-10-08T00:00:00"/>
    <x v="466"/>
    <x v="3"/>
    <x v="0"/>
    <s v="Storage"/>
    <s v="Product_13"/>
    <n v="2851.79"/>
    <n v="244.41"/>
    <n v="0.02"/>
    <x v="1"/>
    <n v="8.5704066568716486E-2"/>
    <x v="5"/>
    <n v="2023"/>
  </r>
  <r>
    <s v="O01919"/>
    <d v="2022-12-01T00:00:00"/>
    <x v="36"/>
    <x v="3"/>
    <x v="1"/>
    <s v="Accessories"/>
    <s v="Product_27"/>
    <n v="1736.8"/>
    <n v="-298.45999999999998"/>
    <n v="0.18"/>
    <x v="0"/>
    <n v="-0.17184477199447259"/>
    <x v="4"/>
    <n v="2022"/>
  </r>
  <r>
    <s v="O01920"/>
    <d v="2023-06-11T00:00:00"/>
    <x v="724"/>
    <x v="0"/>
    <x v="0"/>
    <s v="Storage"/>
    <s v="Product_496"/>
    <n v="704.16"/>
    <n v="-26.4"/>
    <n v="0.13"/>
    <x v="0"/>
    <n v="-3.7491479209270623E-2"/>
    <x v="8"/>
    <n v="2023"/>
  </r>
  <r>
    <s v="O01921"/>
    <d v="2023-10-13T00:00:00"/>
    <x v="181"/>
    <x v="1"/>
    <x v="2"/>
    <s v="Tables"/>
    <s v="Product_73"/>
    <n v="1717.75"/>
    <n v="49.59"/>
    <n v="0.21"/>
    <x v="1"/>
    <n v="2.8869160238684327E-2"/>
    <x v="5"/>
    <n v="2023"/>
  </r>
  <r>
    <s v="O01922"/>
    <d v="2022-02-15T00:00:00"/>
    <x v="689"/>
    <x v="0"/>
    <x v="2"/>
    <s v="Chairs"/>
    <s v="Product_489"/>
    <n v="3122.68"/>
    <n v="-461.71"/>
    <n v="0.08"/>
    <x v="0"/>
    <n v="-0.14785696901379583"/>
    <x v="10"/>
    <n v="2022"/>
  </r>
  <r>
    <s v="O01923"/>
    <d v="2022-06-05T00:00:00"/>
    <x v="457"/>
    <x v="3"/>
    <x v="2"/>
    <s v="Chairs"/>
    <s v="Product_470"/>
    <n v="2150.04"/>
    <n v="472.33"/>
    <n v="0.06"/>
    <x v="1"/>
    <n v="0.21968428494353592"/>
    <x v="8"/>
    <n v="2022"/>
  </r>
  <r>
    <s v="O01924"/>
    <d v="2023-05-10T00:00:00"/>
    <x v="9"/>
    <x v="1"/>
    <x v="2"/>
    <s v="Chairs"/>
    <s v="Product_240"/>
    <n v="4956.03"/>
    <n v="-1127.6099999999999"/>
    <n v="0.05"/>
    <x v="0"/>
    <n v="-0.22752283581818511"/>
    <x v="11"/>
    <n v="2023"/>
  </r>
  <r>
    <s v="O01925"/>
    <d v="2022-12-17T00:00:00"/>
    <x v="530"/>
    <x v="3"/>
    <x v="2"/>
    <s v="Bookcases"/>
    <s v="Product_436"/>
    <n v="2518.06"/>
    <n v="140.41999999999999"/>
    <n v="0.02"/>
    <x v="1"/>
    <n v="5.5765152538065015E-2"/>
    <x v="4"/>
    <n v="2022"/>
  </r>
  <r>
    <s v="O01926"/>
    <d v="2022-12-05T00:00:00"/>
    <x v="159"/>
    <x v="3"/>
    <x v="1"/>
    <s v="Accessories"/>
    <s v="Product_270"/>
    <n v="2927.51"/>
    <n v="529.28"/>
    <n v="0.16"/>
    <x v="1"/>
    <n v="0.18079528336367764"/>
    <x v="4"/>
    <n v="2022"/>
  </r>
  <r>
    <s v="O01927"/>
    <d v="2022-10-13T00:00:00"/>
    <x v="266"/>
    <x v="1"/>
    <x v="2"/>
    <s v="Bookcases"/>
    <s v="Product_116"/>
    <n v="3441.59"/>
    <n v="-337.18"/>
    <n v="0.21"/>
    <x v="0"/>
    <n v="-9.7972158217568037E-2"/>
    <x v="5"/>
    <n v="2022"/>
  </r>
  <r>
    <s v="O01928"/>
    <d v="2023-05-26T00:00:00"/>
    <x v="123"/>
    <x v="2"/>
    <x v="2"/>
    <s v="Tables"/>
    <s v="Product_27"/>
    <n v="2468.64"/>
    <n v="13.09"/>
    <n v="0.1"/>
    <x v="1"/>
    <n v="5.3025147449607887E-3"/>
    <x v="11"/>
    <n v="2023"/>
  </r>
  <r>
    <s v="O01929"/>
    <d v="2023-07-23T00:00:00"/>
    <x v="694"/>
    <x v="1"/>
    <x v="0"/>
    <s v="Paper"/>
    <s v="Product_451"/>
    <n v="4028.2"/>
    <n v="863.81"/>
    <n v="0.08"/>
    <x v="1"/>
    <n v="0.21444069311354946"/>
    <x v="2"/>
    <n v="2023"/>
  </r>
  <r>
    <s v="O01930"/>
    <d v="2023-06-02T00:00:00"/>
    <x v="128"/>
    <x v="2"/>
    <x v="2"/>
    <s v="Tables"/>
    <s v="Product_381"/>
    <n v="4535.3599999999997"/>
    <n v="-279.25"/>
    <n v="0.28000000000000003"/>
    <x v="0"/>
    <n v="-6.1571738516898331E-2"/>
    <x v="8"/>
    <n v="2023"/>
  </r>
  <r>
    <s v="O01931"/>
    <d v="2023-10-01T00:00:00"/>
    <x v="580"/>
    <x v="0"/>
    <x v="1"/>
    <s v="Accessories"/>
    <s v="Product_397"/>
    <n v="2876.21"/>
    <n v="-415.62"/>
    <n v="0.09"/>
    <x v="0"/>
    <n v="-0.14450266148855612"/>
    <x v="5"/>
    <n v="2023"/>
  </r>
  <r>
    <s v="O01932"/>
    <d v="2023-04-30T00:00:00"/>
    <x v="142"/>
    <x v="3"/>
    <x v="1"/>
    <s v="Phones"/>
    <s v="Product_481"/>
    <n v="2234.5500000000002"/>
    <n v="-776.67"/>
    <n v="0.24"/>
    <x v="0"/>
    <n v="-0.34757333691347247"/>
    <x v="0"/>
    <n v="2023"/>
  </r>
  <r>
    <s v="O01933"/>
    <d v="2023-02-10T00:00:00"/>
    <x v="131"/>
    <x v="1"/>
    <x v="1"/>
    <s v="Phones"/>
    <s v="Product_208"/>
    <n v="1609.24"/>
    <n v="400.18"/>
    <n v="0.15"/>
    <x v="1"/>
    <n v="0.24867639382565684"/>
    <x v="10"/>
    <n v="2023"/>
  </r>
  <r>
    <s v="O01934"/>
    <d v="2022-06-13T00:00:00"/>
    <x v="401"/>
    <x v="3"/>
    <x v="1"/>
    <s v="Phones"/>
    <s v="Product_304"/>
    <n v="1503.69"/>
    <n v="-422.63"/>
    <n v="0.18"/>
    <x v="0"/>
    <n v="-0.28106192100765448"/>
    <x v="8"/>
    <n v="2022"/>
  </r>
  <r>
    <s v="O01935"/>
    <d v="2022-06-03T00:00:00"/>
    <x v="27"/>
    <x v="2"/>
    <x v="1"/>
    <s v="Phones"/>
    <s v="Product_253"/>
    <n v="593.23"/>
    <n v="131.97"/>
    <n v="0.02"/>
    <x v="1"/>
    <n v="0.22246009136422634"/>
    <x v="8"/>
    <n v="2022"/>
  </r>
  <r>
    <s v="O01936"/>
    <d v="2022-07-01T00:00:00"/>
    <x v="285"/>
    <x v="1"/>
    <x v="2"/>
    <s v="Bookcases"/>
    <s v="Product_150"/>
    <n v="3275.05"/>
    <n v="-1633.42"/>
    <n v="0.3"/>
    <x v="0"/>
    <n v="-0.49874658402161798"/>
    <x v="2"/>
    <n v="2022"/>
  </r>
  <r>
    <s v="O01937"/>
    <d v="2023-08-09T00:00:00"/>
    <x v="717"/>
    <x v="0"/>
    <x v="1"/>
    <s v="Copiers"/>
    <s v="Product_85"/>
    <n v="3459.74"/>
    <n v="-815.29"/>
    <n v="0.25"/>
    <x v="0"/>
    <n v="-0.23565065582962882"/>
    <x v="3"/>
    <n v="2023"/>
  </r>
  <r>
    <s v="O01938"/>
    <d v="2022-02-10T00:00:00"/>
    <x v="397"/>
    <x v="0"/>
    <x v="1"/>
    <s v="Accessories"/>
    <s v="Product_421"/>
    <n v="589.86"/>
    <n v="-265.79000000000002"/>
    <n v="0.3"/>
    <x v="0"/>
    <n v="-0.45059844708913982"/>
    <x v="10"/>
    <n v="2022"/>
  </r>
  <r>
    <s v="O01939"/>
    <d v="2022-10-01T00:00:00"/>
    <x v="205"/>
    <x v="3"/>
    <x v="2"/>
    <s v="Chairs"/>
    <s v="Product_316"/>
    <n v="4495.58"/>
    <n v="-700.34"/>
    <n v="0.25"/>
    <x v="0"/>
    <n v="-0.15578412574128367"/>
    <x v="5"/>
    <n v="2022"/>
  </r>
  <r>
    <s v="O01940"/>
    <d v="2023-09-13T00:00:00"/>
    <x v="387"/>
    <x v="1"/>
    <x v="0"/>
    <s v="Binders"/>
    <s v="Product_330"/>
    <n v="4175.83"/>
    <n v="-1048.28"/>
    <n v="0.09"/>
    <x v="0"/>
    <n v="-0.25103512355627505"/>
    <x v="7"/>
    <n v="2023"/>
  </r>
  <r>
    <s v="O01941"/>
    <d v="2022-02-02T00:00:00"/>
    <x v="452"/>
    <x v="3"/>
    <x v="0"/>
    <s v="Storage"/>
    <s v="Product_341"/>
    <n v="570.99"/>
    <n v="19.079999999999998"/>
    <n v="0.18"/>
    <x v="1"/>
    <n v="3.3415646508695419E-2"/>
    <x v="10"/>
    <n v="2022"/>
  </r>
  <r>
    <s v="O01942"/>
    <d v="2022-11-10T00:00:00"/>
    <x v="528"/>
    <x v="2"/>
    <x v="2"/>
    <s v="Bookcases"/>
    <s v="Product_215"/>
    <n v="2416.04"/>
    <n v="558.16"/>
    <n v="0.14000000000000001"/>
    <x v="1"/>
    <n v="0.23102266518766246"/>
    <x v="9"/>
    <n v="2022"/>
  </r>
  <r>
    <s v="O01943"/>
    <d v="2023-12-22T00:00:00"/>
    <x v="704"/>
    <x v="0"/>
    <x v="2"/>
    <s v="Tables"/>
    <s v="Product_41"/>
    <n v="3364.65"/>
    <n v="56.43"/>
    <n v="0.06"/>
    <x v="1"/>
    <n v="1.6771432392670857E-2"/>
    <x v="4"/>
    <n v="2023"/>
  </r>
  <r>
    <s v="O01944"/>
    <d v="2022-05-10T00:00:00"/>
    <x v="84"/>
    <x v="0"/>
    <x v="2"/>
    <s v="Bookcases"/>
    <s v="Product_145"/>
    <n v="4388.1899999999996"/>
    <n v="1575.08"/>
    <n v="0.04"/>
    <x v="1"/>
    <n v="0.35893614451516459"/>
    <x v="11"/>
    <n v="2022"/>
  </r>
  <r>
    <s v="O01945"/>
    <d v="2023-02-24T00:00:00"/>
    <x v="312"/>
    <x v="3"/>
    <x v="1"/>
    <s v="Copiers"/>
    <s v="Product_480"/>
    <n v="1667.76"/>
    <n v="31.62"/>
    <n v="7.0000000000000007E-2"/>
    <x v="1"/>
    <n v="1.8959562526982301E-2"/>
    <x v="10"/>
    <n v="2023"/>
  </r>
  <r>
    <s v="O01946"/>
    <d v="2023-02-05T00:00:00"/>
    <x v="5"/>
    <x v="3"/>
    <x v="0"/>
    <s v="Binders"/>
    <s v="Product_34"/>
    <n v="4488.3900000000003"/>
    <n v="-814.53"/>
    <n v="0.2"/>
    <x v="0"/>
    <n v="-0.18147487183600353"/>
    <x v="10"/>
    <n v="2023"/>
  </r>
  <r>
    <s v="O01947"/>
    <d v="2023-05-25T00:00:00"/>
    <x v="680"/>
    <x v="2"/>
    <x v="2"/>
    <s v="Chairs"/>
    <s v="Product_402"/>
    <n v="4221.49"/>
    <n v="-870.74"/>
    <n v="0.24"/>
    <x v="0"/>
    <n v="-0.20626366519878053"/>
    <x v="11"/>
    <n v="2023"/>
  </r>
  <r>
    <s v="O01948"/>
    <d v="2023-12-26T00:00:00"/>
    <x v="659"/>
    <x v="3"/>
    <x v="0"/>
    <s v="Paper"/>
    <s v="Product_491"/>
    <n v="2303.1"/>
    <n v="16.510000000000002"/>
    <n v="0.24"/>
    <x v="1"/>
    <n v="7.1685988450349535E-3"/>
    <x v="4"/>
    <n v="2023"/>
  </r>
  <r>
    <s v="O01949"/>
    <d v="2022-09-14T00:00:00"/>
    <x v="726"/>
    <x v="0"/>
    <x v="0"/>
    <s v="Storage"/>
    <s v="Product_250"/>
    <n v="1001.41"/>
    <n v="-362"/>
    <n v="0.26"/>
    <x v="0"/>
    <n v="-0.36149029867886284"/>
    <x v="7"/>
    <n v="2022"/>
  </r>
  <r>
    <s v="O01950"/>
    <d v="2023-05-23T00:00:00"/>
    <x v="648"/>
    <x v="1"/>
    <x v="1"/>
    <s v="Phones"/>
    <s v="Product_370"/>
    <n v="305.92"/>
    <n v="20.7"/>
    <n v="0.04"/>
    <x v="1"/>
    <n v="6.7664748953974896E-2"/>
    <x v="11"/>
    <n v="2023"/>
  </r>
  <r>
    <s v="O01951"/>
    <d v="2022-12-18T00:00:00"/>
    <x v="397"/>
    <x v="3"/>
    <x v="2"/>
    <s v="Tables"/>
    <s v="Product_173"/>
    <n v="288.39999999999998"/>
    <n v="4.74"/>
    <n v="0"/>
    <x v="1"/>
    <n v="1.6435506241331485E-2"/>
    <x v="4"/>
    <n v="2022"/>
  </r>
  <r>
    <s v="O01952"/>
    <d v="2022-08-05T00:00:00"/>
    <x v="57"/>
    <x v="3"/>
    <x v="2"/>
    <s v="Chairs"/>
    <s v="Product_349"/>
    <n v="2465.71"/>
    <n v="-368.26"/>
    <n v="0.25"/>
    <x v="0"/>
    <n v="-0.1493525191526984"/>
    <x v="3"/>
    <n v="2022"/>
  </r>
  <r>
    <s v="O01953"/>
    <d v="2023-06-26T00:00:00"/>
    <x v="727"/>
    <x v="1"/>
    <x v="0"/>
    <s v="Storage"/>
    <s v="Product_223"/>
    <n v="3745.86"/>
    <n v="-170.76"/>
    <n v="0.08"/>
    <x v="0"/>
    <n v="-4.5586327305345099E-2"/>
    <x v="8"/>
    <n v="2023"/>
  </r>
  <r>
    <s v="O01954"/>
    <d v="2023-07-06T00:00:00"/>
    <x v="145"/>
    <x v="2"/>
    <x v="0"/>
    <s v="Binders"/>
    <s v="Product_23"/>
    <n v="2329.27"/>
    <n v="-213.65"/>
    <n v="0.22"/>
    <x v="0"/>
    <n v="-9.1724016537370084E-2"/>
    <x v="2"/>
    <n v="2023"/>
  </r>
  <r>
    <s v="O01955"/>
    <d v="2022-03-06T00:00:00"/>
    <x v="728"/>
    <x v="2"/>
    <x v="1"/>
    <s v="Accessories"/>
    <s v="Product_476"/>
    <n v="187.78"/>
    <n v="37.380000000000003"/>
    <n v="0.18"/>
    <x v="1"/>
    <n v="0.19906273298540847"/>
    <x v="6"/>
    <n v="2022"/>
  </r>
  <r>
    <s v="O01956"/>
    <d v="2022-08-17T00:00:00"/>
    <x v="555"/>
    <x v="3"/>
    <x v="1"/>
    <s v="Copiers"/>
    <s v="Product_154"/>
    <n v="2902.3"/>
    <n v="60.6"/>
    <n v="0.28000000000000003"/>
    <x v="1"/>
    <n v="2.0879991730696344E-2"/>
    <x v="3"/>
    <n v="2022"/>
  </r>
  <r>
    <s v="O01957"/>
    <d v="2023-02-09T00:00:00"/>
    <x v="109"/>
    <x v="0"/>
    <x v="0"/>
    <s v="Binders"/>
    <s v="Product_272"/>
    <n v="4102.01"/>
    <n v="-214.38"/>
    <n v="0.2"/>
    <x v="0"/>
    <n v="-5.2262183661180732E-2"/>
    <x v="10"/>
    <n v="2023"/>
  </r>
  <r>
    <s v="O01958"/>
    <d v="2022-01-03T00:00:00"/>
    <x v="42"/>
    <x v="0"/>
    <x v="2"/>
    <s v="Chairs"/>
    <s v="Product_491"/>
    <n v="1186.82"/>
    <n v="-363.89"/>
    <n v="0.25"/>
    <x v="0"/>
    <n v="-0.30660925835425762"/>
    <x v="1"/>
    <n v="2022"/>
  </r>
  <r>
    <s v="O01959"/>
    <d v="2022-01-17T00:00:00"/>
    <x v="617"/>
    <x v="3"/>
    <x v="2"/>
    <s v="Tables"/>
    <s v="Product_394"/>
    <n v="2722.76"/>
    <n v="255.8"/>
    <n v="0.27"/>
    <x v="1"/>
    <n v="9.3948787259986191E-2"/>
    <x v="1"/>
    <n v="2022"/>
  </r>
  <r>
    <s v="O01960"/>
    <d v="2023-11-09T00:00:00"/>
    <x v="87"/>
    <x v="3"/>
    <x v="0"/>
    <s v="Storage"/>
    <s v="Product_400"/>
    <n v="350.86"/>
    <n v="-130.5"/>
    <n v="0.3"/>
    <x v="0"/>
    <n v="-0.37194322521803569"/>
    <x v="9"/>
    <n v="2023"/>
  </r>
  <r>
    <s v="O01961"/>
    <d v="2022-07-01T00:00:00"/>
    <x v="195"/>
    <x v="1"/>
    <x v="2"/>
    <s v="Chairs"/>
    <s v="Product_8"/>
    <n v="4635.58"/>
    <n v="535.1"/>
    <n v="0.12"/>
    <x v="1"/>
    <n v="0.11543323597047188"/>
    <x v="2"/>
    <n v="2022"/>
  </r>
  <r>
    <s v="O01962"/>
    <d v="2022-01-22T00:00:00"/>
    <x v="729"/>
    <x v="1"/>
    <x v="0"/>
    <s v="Paper"/>
    <s v="Product_477"/>
    <n v="490.42"/>
    <n v="87.27"/>
    <n v="0.19"/>
    <x v="1"/>
    <n v="0.17794951266261572"/>
    <x v="1"/>
    <n v="2022"/>
  </r>
  <r>
    <s v="O01963"/>
    <d v="2023-03-02T00:00:00"/>
    <x v="491"/>
    <x v="2"/>
    <x v="0"/>
    <s v="Storage"/>
    <s v="Product_105"/>
    <n v="1365.15"/>
    <n v="4.21"/>
    <n v="0.2"/>
    <x v="1"/>
    <n v="3.0839101930190821E-3"/>
    <x v="6"/>
    <n v="2023"/>
  </r>
  <r>
    <s v="O01964"/>
    <d v="2023-07-10T00:00:00"/>
    <x v="363"/>
    <x v="0"/>
    <x v="0"/>
    <s v="Binders"/>
    <s v="Product_40"/>
    <n v="1871.01"/>
    <n v="-480.35"/>
    <n v="0.23"/>
    <x v="0"/>
    <n v="-0.25673299447891784"/>
    <x v="2"/>
    <n v="2023"/>
  </r>
  <r>
    <s v="O01965"/>
    <d v="2022-10-04T00:00:00"/>
    <x v="45"/>
    <x v="0"/>
    <x v="2"/>
    <s v="Chairs"/>
    <s v="Product_392"/>
    <n v="4279.8500000000004"/>
    <n v="-240.82"/>
    <n v="0"/>
    <x v="0"/>
    <n v="-5.6268327160998624E-2"/>
    <x v="5"/>
    <n v="2022"/>
  </r>
  <r>
    <s v="O01966"/>
    <d v="2023-04-22T00:00:00"/>
    <x v="50"/>
    <x v="0"/>
    <x v="1"/>
    <s v="Accessories"/>
    <s v="Product_247"/>
    <n v="695.05"/>
    <n v="26.22"/>
    <n v="0.23"/>
    <x v="1"/>
    <n v="3.7723904755053592E-2"/>
    <x v="0"/>
    <n v="2023"/>
  </r>
  <r>
    <s v="O01967"/>
    <d v="2022-12-28T00:00:00"/>
    <x v="730"/>
    <x v="2"/>
    <x v="0"/>
    <s v="Storage"/>
    <s v="Product_413"/>
    <n v="1463.67"/>
    <n v="370.89"/>
    <n v="0.02"/>
    <x v="1"/>
    <n v="0.25339728217426055"/>
    <x v="4"/>
    <n v="2022"/>
  </r>
  <r>
    <s v="O01968"/>
    <d v="2023-09-28T00:00:00"/>
    <x v="601"/>
    <x v="0"/>
    <x v="2"/>
    <s v="Bookcases"/>
    <s v="Product_33"/>
    <n v="4730.21"/>
    <n v="598.62"/>
    <n v="0.22"/>
    <x v="1"/>
    <n v="0.12655252092401817"/>
    <x v="7"/>
    <n v="2023"/>
  </r>
  <r>
    <s v="O01969"/>
    <d v="2022-07-18T00:00:00"/>
    <x v="243"/>
    <x v="3"/>
    <x v="2"/>
    <s v="Chairs"/>
    <s v="Product_16"/>
    <n v="1776.3"/>
    <n v="95.42"/>
    <n v="0.16"/>
    <x v="1"/>
    <n v="5.3718403422845243E-2"/>
    <x v="2"/>
    <n v="2022"/>
  </r>
  <r>
    <s v="O01970"/>
    <d v="2023-02-17T00:00:00"/>
    <x v="685"/>
    <x v="1"/>
    <x v="1"/>
    <s v="Accessories"/>
    <s v="Product_98"/>
    <n v="3984.06"/>
    <n v="615"/>
    <n v="0.13"/>
    <x v="1"/>
    <n v="0.1543651451032364"/>
    <x v="10"/>
    <n v="2023"/>
  </r>
  <r>
    <s v="O01971"/>
    <d v="2022-08-21T00:00:00"/>
    <x v="663"/>
    <x v="2"/>
    <x v="0"/>
    <s v="Storage"/>
    <s v="Product_286"/>
    <n v="2468.77"/>
    <n v="94.83"/>
    <n v="0.18"/>
    <x v="1"/>
    <n v="3.8411840714201811E-2"/>
    <x v="3"/>
    <n v="2022"/>
  </r>
  <r>
    <s v="O01972"/>
    <d v="2022-02-07T00:00:00"/>
    <x v="276"/>
    <x v="1"/>
    <x v="1"/>
    <s v="Accessories"/>
    <s v="Product_2"/>
    <n v="1678.85"/>
    <n v="386.11"/>
    <n v="0.11"/>
    <x v="1"/>
    <n v="0.22998481103136079"/>
    <x v="10"/>
    <n v="2022"/>
  </r>
  <r>
    <s v="O01973"/>
    <d v="2022-12-13T00:00:00"/>
    <x v="726"/>
    <x v="0"/>
    <x v="0"/>
    <s v="Paper"/>
    <s v="Product_497"/>
    <n v="183.89"/>
    <n v="-32.450000000000003"/>
    <n v="0.2"/>
    <x v="0"/>
    <n v="-0.17646419054869761"/>
    <x v="4"/>
    <n v="2022"/>
  </r>
  <r>
    <s v="O01974"/>
    <d v="2023-07-29T00:00:00"/>
    <x v="601"/>
    <x v="0"/>
    <x v="1"/>
    <s v="Accessories"/>
    <s v="Product_304"/>
    <n v="517.6"/>
    <n v="-48.25"/>
    <n v="0.25"/>
    <x v="0"/>
    <n v="-9.321870170015456E-2"/>
    <x v="2"/>
    <n v="2023"/>
  </r>
  <r>
    <s v="O01975"/>
    <d v="2022-12-15T00:00:00"/>
    <x v="514"/>
    <x v="0"/>
    <x v="2"/>
    <s v="Tables"/>
    <s v="Product_403"/>
    <n v="2522.29"/>
    <n v="-162.58000000000001"/>
    <n v="0.3"/>
    <x v="0"/>
    <n v="-6.4457298724571718E-2"/>
    <x v="4"/>
    <n v="2022"/>
  </r>
  <r>
    <s v="O01976"/>
    <d v="2022-02-09T00:00:00"/>
    <x v="251"/>
    <x v="0"/>
    <x v="0"/>
    <s v="Paper"/>
    <s v="Product_481"/>
    <n v="1305.58"/>
    <n v="-136.58000000000001"/>
    <n v="0.16"/>
    <x v="0"/>
    <n v="-0.10461250938280306"/>
    <x v="10"/>
    <n v="2022"/>
  </r>
  <r>
    <s v="O01977"/>
    <d v="2023-01-24T00:00:00"/>
    <x v="12"/>
    <x v="3"/>
    <x v="1"/>
    <s v="Copiers"/>
    <s v="Product_175"/>
    <n v="4823.9799999999996"/>
    <n v="-410.19"/>
    <n v="0.04"/>
    <x v="0"/>
    <n v="-8.5031447062384177E-2"/>
    <x v="1"/>
    <n v="2023"/>
  </r>
  <r>
    <s v="O01978"/>
    <d v="2022-11-04T00:00:00"/>
    <x v="214"/>
    <x v="0"/>
    <x v="1"/>
    <s v="Phones"/>
    <s v="Product_14"/>
    <n v="4878.13"/>
    <n v="-53.79"/>
    <n v="0.11"/>
    <x v="0"/>
    <n v="-1.1026766404339368E-2"/>
    <x v="9"/>
    <n v="2022"/>
  </r>
  <r>
    <s v="O01979"/>
    <d v="2023-06-22T00:00:00"/>
    <x v="160"/>
    <x v="0"/>
    <x v="1"/>
    <s v="Accessories"/>
    <s v="Product_186"/>
    <n v="1005.4"/>
    <n v="-148.34"/>
    <n v="0.03"/>
    <x v="0"/>
    <n v="-0.14754326636164711"/>
    <x v="8"/>
    <n v="2023"/>
  </r>
  <r>
    <s v="O01980"/>
    <d v="2022-05-07T00:00:00"/>
    <x v="517"/>
    <x v="1"/>
    <x v="2"/>
    <s v="Chairs"/>
    <s v="Product_299"/>
    <n v="4875.7299999999996"/>
    <n v="-1165.3599999999999"/>
    <n v="0.23"/>
    <x v="0"/>
    <n v="-0.23901241455125694"/>
    <x v="11"/>
    <n v="2022"/>
  </r>
  <r>
    <s v="O01981"/>
    <d v="2023-07-09T00:00:00"/>
    <x v="413"/>
    <x v="3"/>
    <x v="2"/>
    <s v="Chairs"/>
    <s v="Product_465"/>
    <n v="340.49"/>
    <n v="56.65"/>
    <n v="0.09"/>
    <x v="1"/>
    <n v="0.16637786719140063"/>
    <x v="2"/>
    <n v="2023"/>
  </r>
  <r>
    <s v="O01982"/>
    <d v="2022-02-11T00:00:00"/>
    <x v="521"/>
    <x v="2"/>
    <x v="0"/>
    <s v="Storage"/>
    <s v="Product_48"/>
    <n v="1557.98"/>
    <n v="-29.01"/>
    <n v="0.27"/>
    <x v="0"/>
    <n v="-1.8620264701729162E-2"/>
    <x v="10"/>
    <n v="2022"/>
  </r>
  <r>
    <s v="O01983"/>
    <d v="2023-08-26T00:00:00"/>
    <x v="348"/>
    <x v="0"/>
    <x v="0"/>
    <s v="Paper"/>
    <s v="Product_457"/>
    <n v="1418.34"/>
    <n v="-253.53"/>
    <n v="0.02"/>
    <x v="0"/>
    <n v="-0.17875121621049961"/>
    <x v="3"/>
    <n v="2023"/>
  </r>
  <r>
    <s v="O01984"/>
    <d v="2022-09-28T00:00:00"/>
    <x v="731"/>
    <x v="1"/>
    <x v="1"/>
    <s v="Phones"/>
    <s v="Product_42"/>
    <n v="2399.19"/>
    <n v="36.42"/>
    <n v="0.11"/>
    <x v="1"/>
    <n v="1.518012329161092E-2"/>
    <x v="7"/>
    <n v="2022"/>
  </r>
  <r>
    <s v="O01985"/>
    <d v="2022-04-17T00:00:00"/>
    <x v="353"/>
    <x v="0"/>
    <x v="1"/>
    <s v="Phones"/>
    <s v="Product_241"/>
    <n v="1007.13"/>
    <n v="-60.01"/>
    <n v="0.28000000000000003"/>
    <x v="0"/>
    <n v="-5.9585157824709814E-2"/>
    <x v="0"/>
    <n v="2022"/>
  </r>
  <r>
    <s v="O01986"/>
    <d v="2023-11-30T00:00:00"/>
    <x v="732"/>
    <x v="1"/>
    <x v="2"/>
    <s v="Bookcases"/>
    <s v="Product_209"/>
    <n v="3569.99"/>
    <n v="1158.02"/>
    <n v="0.05"/>
    <x v="1"/>
    <n v="0.32437625875702736"/>
    <x v="9"/>
    <n v="2023"/>
  </r>
  <r>
    <s v="O01987"/>
    <d v="2022-07-12T00:00:00"/>
    <x v="263"/>
    <x v="1"/>
    <x v="2"/>
    <s v="Bookcases"/>
    <s v="Product_31"/>
    <n v="2662.58"/>
    <n v="523.99"/>
    <n v="0.08"/>
    <x v="1"/>
    <n v="0.19679784269392844"/>
    <x v="2"/>
    <n v="2022"/>
  </r>
  <r>
    <s v="O01988"/>
    <d v="2022-10-27T00:00:00"/>
    <x v="339"/>
    <x v="1"/>
    <x v="1"/>
    <s v="Phones"/>
    <s v="Product_208"/>
    <n v="3104.96"/>
    <n v="543.41999999999996"/>
    <n v="0.12"/>
    <x v="1"/>
    <n v="0.17501674739771203"/>
    <x v="5"/>
    <n v="2022"/>
  </r>
  <r>
    <s v="O01989"/>
    <d v="2022-05-08T00:00:00"/>
    <x v="432"/>
    <x v="2"/>
    <x v="0"/>
    <s v="Paper"/>
    <s v="Product_131"/>
    <n v="4562.66"/>
    <n v="-641.42999999999995"/>
    <n v="0.09"/>
    <x v="0"/>
    <n v="-0.14058246724498427"/>
    <x v="11"/>
    <n v="2022"/>
  </r>
  <r>
    <s v="O01990"/>
    <d v="2022-07-15T00:00:00"/>
    <x v="122"/>
    <x v="3"/>
    <x v="0"/>
    <s v="Storage"/>
    <s v="Product_354"/>
    <n v="2538.62"/>
    <n v="-626.21"/>
    <n v="0.28999999999999998"/>
    <x v="0"/>
    <n v="-0.24667338947932343"/>
    <x v="2"/>
    <n v="2022"/>
  </r>
  <r>
    <s v="O01991"/>
    <d v="2023-11-19T00:00:00"/>
    <x v="407"/>
    <x v="1"/>
    <x v="2"/>
    <s v="Bookcases"/>
    <s v="Product_365"/>
    <n v="1003.35"/>
    <n v="-319.08"/>
    <n v="0.19"/>
    <x v="0"/>
    <n v="-0.31801465091941994"/>
    <x v="9"/>
    <n v="2023"/>
  </r>
  <r>
    <s v="O01992"/>
    <d v="2023-12-02T00:00:00"/>
    <x v="414"/>
    <x v="1"/>
    <x v="2"/>
    <s v="Chairs"/>
    <s v="Product_495"/>
    <n v="4990.91"/>
    <n v="93.59"/>
    <n v="0.22"/>
    <x v="1"/>
    <n v="1.8752091301987014E-2"/>
    <x v="4"/>
    <n v="2023"/>
  </r>
  <r>
    <s v="O01993"/>
    <d v="2022-04-24T00:00:00"/>
    <x v="459"/>
    <x v="0"/>
    <x v="2"/>
    <s v="Tables"/>
    <s v="Product_212"/>
    <n v="4801.0600000000004"/>
    <n v="101.36"/>
    <n v="0.17"/>
    <x v="1"/>
    <n v="2.111200443235452E-2"/>
    <x v="0"/>
    <n v="2022"/>
  </r>
  <r>
    <s v="O01994"/>
    <d v="2022-05-07T00:00:00"/>
    <x v="206"/>
    <x v="3"/>
    <x v="2"/>
    <s v="Tables"/>
    <s v="Product_211"/>
    <n v="1111.03"/>
    <n v="216.19"/>
    <n v="0.04"/>
    <x v="1"/>
    <n v="0.19458520471994456"/>
    <x v="11"/>
    <n v="2022"/>
  </r>
  <r>
    <s v="O01995"/>
    <d v="2023-10-13T00:00:00"/>
    <x v="388"/>
    <x v="1"/>
    <x v="1"/>
    <s v="Copiers"/>
    <s v="Product_200"/>
    <n v="2642.44"/>
    <n v="311.47000000000003"/>
    <n v="0.08"/>
    <x v="1"/>
    <n v="0.11787211819379059"/>
    <x v="5"/>
    <n v="2023"/>
  </r>
  <r>
    <s v="O01996"/>
    <d v="2023-05-17T00:00:00"/>
    <x v="607"/>
    <x v="3"/>
    <x v="1"/>
    <s v="Phones"/>
    <s v="Product_224"/>
    <n v="4362.76"/>
    <n v="-273.19"/>
    <n v="0.26"/>
    <x v="0"/>
    <n v="-6.2618617572362451E-2"/>
    <x v="11"/>
    <n v="2023"/>
  </r>
  <r>
    <s v="O01997"/>
    <d v="2022-03-03T00:00:00"/>
    <x v="695"/>
    <x v="2"/>
    <x v="2"/>
    <s v="Tables"/>
    <s v="Product_269"/>
    <n v="114.98"/>
    <n v="-34.86"/>
    <n v="0.14000000000000001"/>
    <x v="0"/>
    <n v="-0.30318316228909375"/>
    <x v="6"/>
    <n v="2022"/>
  </r>
  <r>
    <s v="O01998"/>
    <d v="2022-10-14T00:00:00"/>
    <x v="570"/>
    <x v="2"/>
    <x v="1"/>
    <s v="Phones"/>
    <s v="Product_394"/>
    <n v="2125.6799999999998"/>
    <n v="-798.37"/>
    <n v="0.26"/>
    <x v="0"/>
    <n v="-0.37558334274208727"/>
    <x v="5"/>
    <n v="2022"/>
  </r>
  <r>
    <s v="O01999"/>
    <d v="2022-12-23T00:00:00"/>
    <x v="689"/>
    <x v="1"/>
    <x v="2"/>
    <s v="Tables"/>
    <s v="Product_231"/>
    <n v="3949.91"/>
    <n v="-32.03"/>
    <n v="0.16"/>
    <x v="0"/>
    <n v="-8.1090455225562106E-3"/>
    <x v="4"/>
    <n v="2022"/>
  </r>
  <r>
    <s v="O02000"/>
    <d v="2022-10-04T00:00:00"/>
    <x v="504"/>
    <x v="2"/>
    <x v="2"/>
    <s v="Bookcases"/>
    <s v="Product_113"/>
    <n v="4332.8500000000004"/>
    <n v="555.05999999999995"/>
    <n v="0.25"/>
    <x v="1"/>
    <n v="0.12810505787183954"/>
    <x v="5"/>
    <n v="2022"/>
  </r>
  <r>
    <s v="O02001"/>
    <d v="2022-08-13T00:00:00"/>
    <x v="669"/>
    <x v="1"/>
    <x v="1"/>
    <s v="Phones"/>
    <s v="Product_57"/>
    <n v="184.01"/>
    <n v="3.96"/>
    <n v="7.0000000000000007E-2"/>
    <x v="1"/>
    <n v="2.1520569534264442E-2"/>
    <x v="3"/>
    <n v="2022"/>
  </r>
  <r>
    <s v="O02002"/>
    <d v="2023-11-06T00:00:00"/>
    <x v="636"/>
    <x v="3"/>
    <x v="1"/>
    <s v="Copiers"/>
    <s v="Product_383"/>
    <n v="1917.09"/>
    <n v="-423.1"/>
    <n v="0.08"/>
    <x v="0"/>
    <n v="-0.22069908037702979"/>
    <x v="9"/>
    <n v="2023"/>
  </r>
  <r>
    <s v="O02003"/>
    <d v="2022-10-17T00:00:00"/>
    <x v="68"/>
    <x v="1"/>
    <x v="1"/>
    <s v="Phones"/>
    <s v="Product_388"/>
    <n v="408.54"/>
    <n v="-173.93"/>
    <n v="0.28999999999999998"/>
    <x v="0"/>
    <n v="-0.42573554609095804"/>
    <x v="5"/>
    <n v="2022"/>
  </r>
  <r>
    <s v="O02004"/>
    <d v="2022-07-07T00:00:00"/>
    <x v="733"/>
    <x v="2"/>
    <x v="0"/>
    <s v="Storage"/>
    <s v="Product_271"/>
    <n v="4293.67"/>
    <n v="792.86"/>
    <n v="0.17"/>
    <x v="1"/>
    <n v="0.18465788008859554"/>
    <x v="2"/>
    <n v="2022"/>
  </r>
  <r>
    <s v="O02005"/>
    <d v="2023-07-22T00:00:00"/>
    <x v="674"/>
    <x v="3"/>
    <x v="2"/>
    <s v="Chairs"/>
    <s v="Product_1"/>
    <n v="4797.25"/>
    <n v="545.84"/>
    <n v="0.1"/>
    <x v="1"/>
    <n v="0.11378185418729481"/>
    <x v="2"/>
    <n v="2023"/>
  </r>
  <r>
    <s v="O02006"/>
    <d v="2023-03-12T00:00:00"/>
    <x v="264"/>
    <x v="3"/>
    <x v="1"/>
    <s v="Phones"/>
    <s v="Product_301"/>
    <n v="1018.12"/>
    <n v="12.76"/>
    <n v="0.22"/>
    <x v="1"/>
    <n v="1.2532903783443995E-2"/>
    <x v="6"/>
    <n v="2023"/>
  </r>
  <r>
    <s v="O02007"/>
    <d v="2023-08-01T00:00:00"/>
    <x v="509"/>
    <x v="0"/>
    <x v="2"/>
    <s v="Bookcases"/>
    <s v="Product_195"/>
    <n v="2069.5700000000002"/>
    <n v="-184.31"/>
    <n v="0.25"/>
    <x v="0"/>
    <n v="-8.9057147136844844E-2"/>
    <x v="3"/>
    <n v="2023"/>
  </r>
  <r>
    <s v="O02008"/>
    <d v="2022-12-11T00:00:00"/>
    <x v="509"/>
    <x v="2"/>
    <x v="1"/>
    <s v="Copiers"/>
    <s v="Product_389"/>
    <n v="1061.72"/>
    <n v="-257.49"/>
    <n v="7.0000000000000007E-2"/>
    <x v="0"/>
    <n v="-0.24252156877519496"/>
    <x v="4"/>
    <n v="2022"/>
  </r>
  <r>
    <s v="O02009"/>
    <d v="2022-01-17T00:00:00"/>
    <x v="183"/>
    <x v="0"/>
    <x v="2"/>
    <s v="Bookcases"/>
    <s v="Product_53"/>
    <n v="1733.8"/>
    <n v="527.94000000000005"/>
    <n v="7.0000000000000007E-2"/>
    <x v="1"/>
    <n v="0.30449878878763414"/>
    <x v="1"/>
    <n v="2022"/>
  </r>
  <r>
    <s v="O02010"/>
    <d v="2023-02-27T00:00:00"/>
    <x v="624"/>
    <x v="0"/>
    <x v="0"/>
    <s v="Binders"/>
    <s v="Product_53"/>
    <n v="1233.3900000000001"/>
    <n v="-415.68"/>
    <n v="0.26"/>
    <x v="0"/>
    <n v="-0.33702235302702305"/>
    <x v="10"/>
    <n v="2023"/>
  </r>
  <r>
    <s v="O02011"/>
    <d v="2022-08-12T00:00:00"/>
    <x v="641"/>
    <x v="0"/>
    <x v="0"/>
    <s v="Storage"/>
    <s v="Product_19"/>
    <n v="2262.2800000000002"/>
    <n v="458.82"/>
    <n v="0.04"/>
    <x v="1"/>
    <n v="0.20281309121770955"/>
    <x v="3"/>
    <n v="2022"/>
  </r>
  <r>
    <s v="O02012"/>
    <d v="2023-10-21T00:00:00"/>
    <x v="131"/>
    <x v="2"/>
    <x v="1"/>
    <s v="Phones"/>
    <s v="Product_458"/>
    <n v="4599.2"/>
    <n v="1263.81"/>
    <n v="0.12"/>
    <x v="1"/>
    <n v="0.27478909375543575"/>
    <x v="5"/>
    <n v="2023"/>
  </r>
  <r>
    <s v="O02013"/>
    <d v="2022-09-14T00:00:00"/>
    <x v="401"/>
    <x v="1"/>
    <x v="2"/>
    <s v="Chairs"/>
    <s v="Product_23"/>
    <n v="1769.99"/>
    <n v="-351.75"/>
    <n v="7.0000000000000007E-2"/>
    <x v="0"/>
    <n v="-0.19872993632732389"/>
    <x v="7"/>
    <n v="2022"/>
  </r>
  <r>
    <s v="O02014"/>
    <d v="2022-01-07T00:00:00"/>
    <x v="278"/>
    <x v="1"/>
    <x v="1"/>
    <s v="Copiers"/>
    <s v="Product_408"/>
    <n v="1457.7"/>
    <n v="297.95"/>
    <n v="0.05"/>
    <x v="1"/>
    <n v="0.20439733827262124"/>
    <x v="1"/>
    <n v="2022"/>
  </r>
  <r>
    <s v="O02015"/>
    <d v="2023-08-13T00:00:00"/>
    <x v="648"/>
    <x v="0"/>
    <x v="1"/>
    <s v="Accessories"/>
    <s v="Product_219"/>
    <n v="590.46"/>
    <n v="-125.42"/>
    <n v="0.15"/>
    <x v="0"/>
    <n v="-0.21241066287301424"/>
    <x v="3"/>
    <n v="2023"/>
  </r>
  <r>
    <s v="O02016"/>
    <d v="2022-06-18T00:00:00"/>
    <x v="269"/>
    <x v="0"/>
    <x v="0"/>
    <s v="Paper"/>
    <s v="Product_322"/>
    <n v="4679.8100000000004"/>
    <n v="-450.33"/>
    <n v="0.23"/>
    <x v="0"/>
    <n v="-9.6228265677452712E-2"/>
    <x v="8"/>
    <n v="2022"/>
  </r>
  <r>
    <s v="O02017"/>
    <d v="2022-08-28T00:00:00"/>
    <x v="277"/>
    <x v="0"/>
    <x v="0"/>
    <s v="Binders"/>
    <s v="Product_376"/>
    <n v="3369.76"/>
    <n v="786.46"/>
    <n v="0.06"/>
    <x v="1"/>
    <n v="0.23338754095247138"/>
    <x v="3"/>
    <n v="2022"/>
  </r>
  <r>
    <s v="O02018"/>
    <d v="2022-03-04T00:00:00"/>
    <x v="734"/>
    <x v="2"/>
    <x v="2"/>
    <s v="Chairs"/>
    <s v="Product_116"/>
    <n v="4153.66"/>
    <n v="-344.75"/>
    <n v="0.06"/>
    <x v="0"/>
    <n v="-8.299908995921669E-2"/>
    <x v="6"/>
    <n v="2022"/>
  </r>
  <r>
    <s v="O02019"/>
    <d v="2023-01-11T00:00:00"/>
    <x v="733"/>
    <x v="3"/>
    <x v="0"/>
    <s v="Binders"/>
    <s v="Product_428"/>
    <n v="254.31"/>
    <n v="3.67"/>
    <n v="0.22"/>
    <x v="1"/>
    <n v="1.4431206008414927E-2"/>
    <x v="1"/>
    <n v="2023"/>
  </r>
  <r>
    <s v="O02020"/>
    <d v="2023-05-01T00:00:00"/>
    <x v="321"/>
    <x v="0"/>
    <x v="0"/>
    <s v="Paper"/>
    <s v="Product_88"/>
    <n v="854.25"/>
    <n v="273.95"/>
    <n v="0.02"/>
    <x v="1"/>
    <n v="0.32069066432543164"/>
    <x v="11"/>
    <n v="2023"/>
  </r>
  <r>
    <s v="O02021"/>
    <d v="2022-04-22T00:00:00"/>
    <x v="562"/>
    <x v="1"/>
    <x v="1"/>
    <s v="Phones"/>
    <s v="Product_109"/>
    <n v="2711.85"/>
    <n v="340.99"/>
    <n v="0.21"/>
    <x v="1"/>
    <n v="0.12574073049763076"/>
    <x v="0"/>
    <n v="2022"/>
  </r>
  <r>
    <s v="O02022"/>
    <d v="2022-06-20T00:00:00"/>
    <x v="438"/>
    <x v="3"/>
    <x v="2"/>
    <s v="Chairs"/>
    <s v="Product_454"/>
    <n v="2133.7600000000002"/>
    <n v="191.64"/>
    <n v="0.13"/>
    <x v="1"/>
    <n v="8.9813287342531481E-2"/>
    <x v="8"/>
    <n v="2022"/>
  </r>
  <r>
    <s v="O02023"/>
    <d v="2022-08-09T00:00:00"/>
    <x v="671"/>
    <x v="2"/>
    <x v="1"/>
    <s v="Phones"/>
    <s v="Product_89"/>
    <n v="4161"/>
    <n v="67.87"/>
    <n v="0.18"/>
    <x v="1"/>
    <n v="1.631098293679404E-2"/>
    <x v="3"/>
    <n v="2022"/>
  </r>
  <r>
    <s v="O02024"/>
    <d v="2022-01-21T00:00:00"/>
    <x v="510"/>
    <x v="2"/>
    <x v="0"/>
    <s v="Paper"/>
    <s v="Product_152"/>
    <n v="1467.96"/>
    <n v="-222.41"/>
    <n v="0.08"/>
    <x v="0"/>
    <n v="-0.15150957791765443"/>
    <x v="1"/>
    <n v="2022"/>
  </r>
  <r>
    <s v="O02025"/>
    <d v="2023-12-13T00:00:00"/>
    <x v="81"/>
    <x v="0"/>
    <x v="1"/>
    <s v="Copiers"/>
    <s v="Product_118"/>
    <n v="2377.86"/>
    <n v="282.58999999999997"/>
    <n v="0.03"/>
    <x v="1"/>
    <n v="0.1188421521872608"/>
    <x v="4"/>
    <n v="2023"/>
  </r>
  <r>
    <s v="O02026"/>
    <d v="2023-02-09T00:00:00"/>
    <x v="20"/>
    <x v="1"/>
    <x v="0"/>
    <s v="Storage"/>
    <s v="Product_28"/>
    <n v="2714.36"/>
    <n v="-336.48"/>
    <n v="0.26"/>
    <x v="0"/>
    <n v="-0.12396292311999882"/>
    <x v="10"/>
    <n v="2023"/>
  </r>
  <r>
    <s v="O02027"/>
    <d v="2022-02-21T00:00:00"/>
    <x v="31"/>
    <x v="0"/>
    <x v="0"/>
    <s v="Binders"/>
    <s v="Product_124"/>
    <n v="2741.22"/>
    <n v="-532.19000000000005"/>
    <n v="7.0000000000000007E-2"/>
    <x v="0"/>
    <n v="-0.19414348355841562"/>
    <x v="10"/>
    <n v="2022"/>
  </r>
  <r>
    <s v="O02028"/>
    <d v="2022-09-25T00:00:00"/>
    <x v="654"/>
    <x v="1"/>
    <x v="0"/>
    <s v="Storage"/>
    <s v="Product_424"/>
    <n v="509.48"/>
    <n v="-154.82"/>
    <n v="0.16"/>
    <x v="0"/>
    <n v="-0.30387846431655802"/>
    <x v="7"/>
    <n v="2022"/>
  </r>
  <r>
    <s v="O02029"/>
    <d v="2022-08-14T00:00:00"/>
    <x v="161"/>
    <x v="0"/>
    <x v="2"/>
    <s v="Chairs"/>
    <s v="Product_266"/>
    <n v="2195.83"/>
    <n v="-739.6"/>
    <n v="0.26"/>
    <x v="0"/>
    <n v="-0.33682024564743174"/>
    <x v="3"/>
    <n v="2022"/>
  </r>
  <r>
    <s v="O02030"/>
    <d v="2022-03-24T00:00:00"/>
    <x v="277"/>
    <x v="3"/>
    <x v="2"/>
    <s v="Bookcases"/>
    <s v="Product_236"/>
    <n v="2267.5"/>
    <n v="114.08"/>
    <n v="0.13"/>
    <x v="1"/>
    <n v="5.0310915104740901E-2"/>
    <x v="6"/>
    <n v="2022"/>
  </r>
  <r>
    <s v="O02031"/>
    <d v="2022-01-12T00:00:00"/>
    <x v="191"/>
    <x v="0"/>
    <x v="2"/>
    <s v="Bookcases"/>
    <s v="Product_397"/>
    <n v="1453.93"/>
    <n v="-628.13"/>
    <n v="0.25"/>
    <x v="0"/>
    <n v="-0.4320221743825356"/>
    <x v="1"/>
    <n v="2022"/>
  </r>
  <r>
    <s v="O02032"/>
    <d v="2022-11-27T00:00:00"/>
    <x v="351"/>
    <x v="0"/>
    <x v="0"/>
    <s v="Storage"/>
    <s v="Product_43"/>
    <n v="218.62"/>
    <n v="-92.21"/>
    <n v="0.24"/>
    <x v="0"/>
    <n v="-0.421782087640655"/>
    <x v="9"/>
    <n v="2022"/>
  </r>
  <r>
    <s v="O02033"/>
    <d v="2023-07-06T00:00:00"/>
    <x v="125"/>
    <x v="3"/>
    <x v="0"/>
    <s v="Binders"/>
    <s v="Product_30"/>
    <n v="2455.8200000000002"/>
    <n v="-433.73"/>
    <n v="0.24"/>
    <x v="0"/>
    <n v="-0.17661310682379"/>
    <x v="2"/>
    <n v="2023"/>
  </r>
  <r>
    <s v="O02034"/>
    <d v="2022-12-28T00:00:00"/>
    <x v="136"/>
    <x v="2"/>
    <x v="0"/>
    <s v="Storage"/>
    <s v="Product_345"/>
    <n v="4846.3500000000004"/>
    <n v="-582.22"/>
    <n v="0.01"/>
    <x v="0"/>
    <n v="-0.12013577228223302"/>
    <x v="4"/>
    <n v="2022"/>
  </r>
  <r>
    <s v="O02035"/>
    <d v="2022-03-29T00:00:00"/>
    <x v="195"/>
    <x v="1"/>
    <x v="2"/>
    <s v="Bookcases"/>
    <s v="Product_308"/>
    <n v="3263.47"/>
    <n v="-892.62"/>
    <n v="0.23"/>
    <x v="0"/>
    <n v="-0.27351867797160695"/>
    <x v="6"/>
    <n v="2022"/>
  </r>
  <r>
    <s v="O02036"/>
    <d v="2022-03-20T00:00:00"/>
    <x v="563"/>
    <x v="1"/>
    <x v="0"/>
    <s v="Storage"/>
    <s v="Product_423"/>
    <n v="2746.07"/>
    <n v="64.069999999999993"/>
    <n v="0.09"/>
    <x v="1"/>
    <n v="2.3331524688008677E-2"/>
    <x v="6"/>
    <n v="2022"/>
  </r>
  <r>
    <s v="O02037"/>
    <d v="2022-02-11T00:00:00"/>
    <x v="508"/>
    <x v="2"/>
    <x v="1"/>
    <s v="Copiers"/>
    <s v="Product_240"/>
    <n v="3146.11"/>
    <n v="55.58"/>
    <n v="0.01"/>
    <x v="1"/>
    <n v="1.7666260874540304E-2"/>
    <x v="10"/>
    <n v="2022"/>
  </r>
  <r>
    <s v="O02038"/>
    <d v="2022-09-09T00:00:00"/>
    <x v="242"/>
    <x v="3"/>
    <x v="2"/>
    <s v="Chairs"/>
    <s v="Product_326"/>
    <n v="3036.14"/>
    <n v="-131.25"/>
    <n v="0"/>
    <x v="0"/>
    <n v="-4.322923185360359E-2"/>
    <x v="7"/>
    <n v="2022"/>
  </r>
  <r>
    <s v="O02039"/>
    <d v="2023-02-19T00:00:00"/>
    <x v="242"/>
    <x v="0"/>
    <x v="1"/>
    <s v="Phones"/>
    <s v="Product_121"/>
    <n v="1871.19"/>
    <n v="-59.84"/>
    <n v="0.15"/>
    <x v="0"/>
    <n v="-3.1979649314072864E-2"/>
    <x v="10"/>
    <n v="2023"/>
  </r>
  <r>
    <s v="O02040"/>
    <d v="2023-01-14T00:00:00"/>
    <x v="734"/>
    <x v="0"/>
    <x v="1"/>
    <s v="Phones"/>
    <s v="Product_188"/>
    <n v="4008.73"/>
    <n v="979.74"/>
    <n v="0.15"/>
    <x v="1"/>
    <n v="0.24440159352213794"/>
    <x v="1"/>
    <n v="2023"/>
  </r>
  <r>
    <s v="O02041"/>
    <d v="2022-02-10T00:00:00"/>
    <x v="451"/>
    <x v="2"/>
    <x v="1"/>
    <s v="Phones"/>
    <s v="Product_28"/>
    <n v="3947.19"/>
    <n v="-1124.46"/>
    <n v="0.11"/>
    <x v="0"/>
    <n v="-0.2848760763986532"/>
    <x v="10"/>
    <n v="2022"/>
  </r>
  <r>
    <s v="O02042"/>
    <d v="2023-04-17T00:00:00"/>
    <x v="279"/>
    <x v="3"/>
    <x v="1"/>
    <s v="Phones"/>
    <s v="Product_403"/>
    <n v="1277.9100000000001"/>
    <n v="-14.66"/>
    <n v="0.18"/>
    <x v="0"/>
    <n v="-1.1471856390512633E-2"/>
    <x v="0"/>
    <n v="2023"/>
  </r>
  <r>
    <s v="O02043"/>
    <d v="2023-06-23T00:00:00"/>
    <x v="462"/>
    <x v="1"/>
    <x v="2"/>
    <s v="Bookcases"/>
    <s v="Product_34"/>
    <n v="3915.21"/>
    <n v="92.77"/>
    <n v="0.28999999999999998"/>
    <x v="1"/>
    <n v="2.369476988462943E-2"/>
    <x v="8"/>
    <n v="2023"/>
  </r>
  <r>
    <s v="O02044"/>
    <d v="2022-09-16T00:00:00"/>
    <x v="13"/>
    <x v="0"/>
    <x v="2"/>
    <s v="Tables"/>
    <s v="Product_456"/>
    <n v="4029.77"/>
    <n v="157.77000000000001"/>
    <n v="0.28000000000000003"/>
    <x v="1"/>
    <n v="3.9151117805730849E-2"/>
    <x v="7"/>
    <n v="2022"/>
  </r>
  <r>
    <s v="O02045"/>
    <d v="2023-10-22T00:00:00"/>
    <x v="570"/>
    <x v="2"/>
    <x v="0"/>
    <s v="Storage"/>
    <s v="Product_256"/>
    <n v="3718.68"/>
    <n v="594.88"/>
    <n v="0.08"/>
    <x v="1"/>
    <n v="0.15997074230640981"/>
    <x v="5"/>
    <n v="2023"/>
  </r>
  <r>
    <s v="O02046"/>
    <d v="2023-10-26T00:00:00"/>
    <x v="588"/>
    <x v="2"/>
    <x v="2"/>
    <s v="Bookcases"/>
    <s v="Product_138"/>
    <n v="1049.9000000000001"/>
    <n v="-322.73"/>
    <n v="0.22"/>
    <x v="0"/>
    <n v="-0.30739118011239164"/>
    <x v="5"/>
    <n v="2023"/>
  </r>
  <r>
    <s v="O02047"/>
    <d v="2023-11-26T00:00:00"/>
    <x v="117"/>
    <x v="1"/>
    <x v="2"/>
    <s v="Chairs"/>
    <s v="Product_268"/>
    <n v="3397.7"/>
    <n v="0.17"/>
    <n v="0.04"/>
    <x v="1"/>
    <n v="5.0033846425523157E-5"/>
    <x v="9"/>
    <n v="2023"/>
  </r>
  <r>
    <s v="O02048"/>
    <d v="2022-06-12T00:00:00"/>
    <x v="503"/>
    <x v="1"/>
    <x v="0"/>
    <s v="Storage"/>
    <s v="Product_451"/>
    <n v="3380.53"/>
    <n v="-593"/>
    <n v="0.22"/>
    <x v="0"/>
    <n v="-0.17541628087903374"/>
    <x v="8"/>
    <n v="2022"/>
  </r>
  <r>
    <s v="O02049"/>
    <d v="2023-03-18T00:00:00"/>
    <x v="211"/>
    <x v="0"/>
    <x v="1"/>
    <s v="Copiers"/>
    <s v="Product_159"/>
    <n v="739.5"/>
    <n v="64.349999999999994"/>
    <n v="0.22"/>
    <x v="1"/>
    <n v="8.7018255578093298E-2"/>
    <x v="6"/>
    <n v="2023"/>
  </r>
  <r>
    <s v="O02050"/>
    <d v="2023-10-09T00:00:00"/>
    <x v="533"/>
    <x v="1"/>
    <x v="1"/>
    <s v="Phones"/>
    <s v="Product_182"/>
    <n v="2363.63"/>
    <n v="56.99"/>
    <n v="0.01"/>
    <x v="1"/>
    <n v="2.4111218760973586E-2"/>
    <x v="5"/>
    <n v="2023"/>
  </r>
  <r>
    <s v="O02051"/>
    <d v="2022-08-23T00:00:00"/>
    <x v="143"/>
    <x v="3"/>
    <x v="1"/>
    <s v="Accessories"/>
    <s v="Product_175"/>
    <n v="4344.74"/>
    <n v="138.88999999999999"/>
    <n v="0.01"/>
    <x v="1"/>
    <n v="3.1967390453744068E-2"/>
    <x v="3"/>
    <n v="2022"/>
  </r>
  <r>
    <s v="O02052"/>
    <d v="2022-01-24T00:00:00"/>
    <x v="678"/>
    <x v="0"/>
    <x v="0"/>
    <s v="Storage"/>
    <s v="Product_241"/>
    <n v="1016.08"/>
    <n v="263.45"/>
    <n v="0.06"/>
    <x v="1"/>
    <n v="0.25928076529407129"/>
    <x v="1"/>
    <n v="2022"/>
  </r>
  <r>
    <s v="O02053"/>
    <d v="2023-08-13T00:00:00"/>
    <x v="735"/>
    <x v="0"/>
    <x v="1"/>
    <s v="Accessories"/>
    <s v="Product_396"/>
    <n v="2114.84"/>
    <n v="-223.41"/>
    <n v="0.08"/>
    <x v="0"/>
    <n v="-0.10563919729152087"/>
    <x v="3"/>
    <n v="2023"/>
  </r>
  <r>
    <s v="O02054"/>
    <d v="2023-06-16T00:00:00"/>
    <x v="492"/>
    <x v="3"/>
    <x v="2"/>
    <s v="Bookcases"/>
    <s v="Product_170"/>
    <n v="633.92999999999995"/>
    <n v="94.1"/>
    <n v="7.0000000000000007E-2"/>
    <x v="1"/>
    <n v="0.14843910210906566"/>
    <x v="8"/>
    <n v="2023"/>
  </r>
  <r>
    <s v="O02055"/>
    <d v="2023-12-06T00:00:00"/>
    <x v="586"/>
    <x v="0"/>
    <x v="0"/>
    <s v="Binders"/>
    <s v="Product_149"/>
    <n v="2381.85"/>
    <n v="-983.9"/>
    <n v="0.25"/>
    <x v="0"/>
    <n v="-0.41308226798496966"/>
    <x v="4"/>
    <n v="2023"/>
  </r>
  <r>
    <s v="O02056"/>
    <d v="2022-08-10T00:00:00"/>
    <x v="699"/>
    <x v="3"/>
    <x v="0"/>
    <s v="Storage"/>
    <s v="Product_100"/>
    <n v="381.86"/>
    <n v="-120.94"/>
    <n v="0.26"/>
    <x v="0"/>
    <n v="-0.31671293144084217"/>
    <x v="3"/>
    <n v="2022"/>
  </r>
  <r>
    <s v="O02057"/>
    <d v="2022-08-16T00:00:00"/>
    <x v="594"/>
    <x v="0"/>
    <x v="0"/>
    <s v="Paper"/>
    <s v="Product_47"/>
    <n v="2976.9"/>
    <n v="-1180.9100000000001"/>
    <n v="0.27"/>
    <x v="0"/>
    <n v="-0.39669118882058518"/>
    <x v="3"/>
    <n v="2022"/>
  </r>
  <r>
    <s v="O02058"/>
    <d v="2022-05-07T00:00:00"/>
    <x v="642"/>
    <x v="0"/>
    <x v="2"/>
    <s v="Bookcases"/>
    <s v="Product_311"/>
    <n v="3039.29"/>
    <n v="221.11"/>
    <n v="0.16"/>
    <x v="1"/>
    <n v="7.2750543712511814E-2"/>
    <x v="11"/>
    <n v="2022"/>
  </r>
  <r>
    <s v="O02059"/>
    <d v="2022-08-10T00:00:00"/>
    <x v="280"/>
    <x v="2"/>
    <x v="2"/>
    <s v="Chairs"/>
    <s v="Product_330"/>
    <n v="3007.26"/>
    <n v="-815.59"/>
    <n v="0.19"/>
    <x v="0"/>
    <n v="-0.27120701236341388"/>
    <x v="3"/>
    <n v="2022"/>
  </r>
  <r>
    <s v="O02060"/>
    <d v="2022-03-20T00:00:00"/>
    <x v="736"/>
    <x v="2"/>
    <x v="1"/>
    <s v="Phones"/>
    <s v="Product_389"/>
    <n v="292.13"/>
    <n v="-87.39"/>
    <n v="0.12"/>
    <x v="0"/>
    <n v="-0.29914763974942665"/>
    <x v="6"/>
    <n v="2022"/>
  </r>
  <r>
    <s v="O02061"/>
    <d v="2023-07-20T00:00:00"/>
    <x v="194"/>
    <x v="0"/>
    <x v="1"/>
    <s v="Accessories"/>
    <s v="Product_6"/>
    <n v="567.01"/>
    <n v="14.19"/>
    <n v="0.28999999999999998"/>
    <x v="1"/>
    <n v="2.5026013650552899E-2"/>
    <x v="2"/>
    <n v="2023"/>
  </r>
  <r>
    <s v="O02062"/>
    <d v="2022-04-20T00:00:00"/>
    <x v="737"/>
    <x v="2"/>
    <x v="2"/>
    <s v="Chairs"/>
    <s v="Product_58"/>
    <n v="4119.71"/>
    <n v="-1987.19"/>
    <n v="0.3"/>
    <x v="0"/>
    <n v="-0.48236162254139248"/>
    <x v="0"/>
    <n v="2022"/>
  </r>
  <r>
    <s v="O02063"/>
    <d v="2023-12-06T00:00:00"/>
    <x v="242"/>
    <x v="3"/>
    <x v="0"/>
    <s v="Binders"/>
    <s v="Product_242"/>
    <n v="4204.22"/>
    <n v="-1480.42"/>
    <n v="0.16"/>
    <x v="0"/>
    <n v="-0.35212714843657089"/>
    <x v="4"/>
    <n v="2023"/>
  </r>
  <r>
    <s v="O02064"/>
    <d v="2023-09-03T00:00:00"/>
    <x v="514"/>
    <x v="2"/>
    <x v="0"/>
    <s v="Storage"/>
    <s v="Product_470"/>
    <n v="2537.02"/>
    <n v="187.29"/>
    <n v="0.22"/>
    <x v="1"/>
    <n v="7.3822831510985329E-2"/>
    <x v="7"/>
    <n v="2023"/>
  </r>
  <r>
    <s v="O02065"/>
    <d v="2022-12-21T00:00:00"/>
    <x v="280"/>
    <x v="0"/>
    <x v="2"/>
    <s v="Bookcases"/>
    <s v="Product_40"/>
    <n v="3432.59"/>
    <n v="157.37"/>
    <n v="0.12"/>
    <x v="1"/>
    <n v="4.5845848178780457E-2"/>
    <x v="4"/>
    <n v="2022"/>
  </r>
  <r>
    <s v="O02066"/>
    <d v="2023-08-12T00:00:00"/>
    <x v="367"/>
    <x v="0"/>
    <x v="1"/>
    <s v="Copiers"/>
    <s v="Product_277"/>
    <n v="447.47"/>
    <n v="33.82"/>
    <n v="0.04"/>
    <x v="1"/>
    <n v="7.5580485842626319E-2"/>
    <x v="3"/>
    <n v="2023"/>
  </r>
  <r>
    <s v="O02067"/>
    <d v="2022-01-28T00:00:00"/>
    <x v="138"/>
    <x v="1"/>
    <x v="1"/>
    <s v="Phones"/>
    <s v="Product_388"/>
    <n v="1233.6099999999999"/>
    <n v="-190.26"/>
    <n v="0.16"/>
    <x v="0"/>
    <n v="-0.15423026726437042"/>
    <x v="1"/>
    <n v="2022"/>
  </r>
  <r>
    <s v="O02068"/>
    <d v="2023-09-14T00:00:00"/>
    <x v="550"/>
    <x v="1"/>
    <x v="1"/>
    <s v="Phones"/>
    <s v="Product_38"/>
    <n v="935.94"/>
    <n v="135.66999999999999"/>
    <n v="0.22"/>
    <x v="1"/>
    <n v="0.14495587323973758"/>
    <x v="7"/>
    <n v="2023"/>
  </r>
  <r>
    <s v="O02069"/>
    <d v="2022-09-19T00:00:00"/>
    <x v="724"/>
    <x v="3"/>
    <x v="2"/>
    <s v="Tables"/>
    <s v="Product_67"/>
    <n v="1447.6"/>
    <n v="-367.62"/>
    <n v="0.1"/>
    <x v="0"/>
    <n v="-0.25395136778115501"/>
    <x v="7"/>
    <n v="2022"/>
  </r>
  <r>
    <s v="O02070"/>
    <d v="2023-10-08T00:00:00"/>
    <x v="503"/>
    <x v="3"/>
    <x v="0"/>
    <s v="Storage"/>
    <s v="Product_122"/>
    <n v="2095.5100000000002"/>
    <n v="162.93"/>
    <n v="0.22"/>
    <x v="1"/>
    <n v="7.7751955371246143E-2"/>
    <x v="5"/>
    <n v="2023"/>
  </r>
  <r>
    <s v="O02071"/>
    <d v="2023-06-16T00:00:00"/>
    <x v="384"/>
    <x v="0"/>
    <x v="1"/>
    <s v="Accessories"/>
    <s v="Product_60"/>
    <n v="2200.48"/>
    <n v="-96.26"/>
    <n v="0.28999999999999998"/>
    <x v="0"/>
    <n v="-4.3745001090671129E-2"/>
    <x v="8"/>
    <n v="2023"/>
  </r>
  <r>
    <s v="O02072"/>
    <d v="2022-07-17T00:00:00"/>
    <x v="738"/>
    <x v="1"/>
    <x v="0"/>
    <s v="Binders"/>
    <s v="Product_185"/>
    <n v="2189.9299999999998"/>
    <n v="248.13"/>
    <n v="0.25"/>
    <x v="1"/>
    <n v="0.11330499148374606"/>
    <x v="2"/>
    <n v="2022"/>
  </r>
  <r>
    <s v="O02073"/>
    <d v="2022-01-28T00:00:00"/>
    <x v="107"/>
    <x v="1"/>
    <x v="1"/>
    <s v="Accessories"/>
    <s v="Product_351"/>
    <n v="4434.24"/>
    <n v="1298.08"/>
    <n v="0.03"/>
    <x v="1"/>
    <n v="0.29274013134156024"/>
    <x v="1"/>
    <n v="2022"/>
  </r>
  <r>
    <s v="O02074"/>
    <d v="2022-06-29T00:00:00"/>
    <x v="698"/>
    <x v="1"/>
    <x v="1"/>
    <s v="Phones"/>
    <s v="Product_131"/>
    <n v="1669.85"/>
    <n v="-601.20000000000005"/>
    <n v="0.22"/>
    <x v="0"/>
    <n v="-0.36003233823397318"/>
    <x v="8"/>
    <n v="2022"/>
  </r>
  <r>
    <s v="O02075"/>
    <d v="2023-03-23T00:00:00"/>
    <x v="304"/>
    <x v="0"/>
    <x v="1"/>
    <s v="Accessories"/>
    <s v="Product_249"/>
    <n v="355.06"/>
    <n v="0.06"/>
    <n v="0.13"/>
    <x v="1"/>
    <n v="1.6898552357348052E-4"/>
    <x v="6"/>
    <n v="2023"/>
  </r>
  <r>
    <s v="O02076"/>
    <d v="2023-09-29T00:00:00"/>
    <x v="43"/>
    <x v="3"/>
    <x v="0"/>
    <s v="Paper"/>
    <s v="Product_149"/>
    <n v="2179.92"/>
    <n v="373.75"/>
    <n v="0.17"/>
    <x v="1"/>
    <n v="0.17145124591728136"/>
    <x v="7"/>
    <n v="2023"/>
  </r>
  <r>
    <s v="O02077"/>
    <d v="2023-06-25T00:00:00"/>
    <x v="739"/>
    <x v="1"/>
    <x v="0"/>
    <s v="Binders"/>
    <s v="Product_176"/>
    <n v="667.56"/>
    <n v="28.52"/>
    <n v="0.09"/>
    <x v="1"/>
    <n v="4.2722751512972619E-2"/>
    <x v="8"/>
    <n v="2023"/>
  </r>
  <r>
    <s v="O02078"/>
    <d v="2023-06-26T00:00:00"/>
    <x v="602"/>
    <x v="2"/>
    <x v="1"/>
    <s v="Phones"/>
    <s v="Product_24"/>
    <n v="2436.75"/>
    <n v="-170.15"/>
    <n v="0.2"/>
    <x v="0"/>
    <n v="-6.9826613316918029E-2"/>
    <x v="8"/>
    <n v="2023"/>
  </r>
  <r>
    <s v="O02079"/>
    <d v="2022-04-15T00:00:00"/>
    <x v="187"/>
    <x v="3"/>
    <x v="2"/>
    <s v="Chairs"/>
    <s v="Product_232"/>
    <n v="3261.16"/>
    <n v="-996.34"/>
    <n v="0.18"/>
    <x v="0"/>
    <n v="-0.30551705528094303"/>
    <x v="0"/>
    <n v="2022"/>
  </r>
  <r>
    <s v="O02080"/>
    <d v="2023-08-02T00:00:00"/>
    <x v="49"/>
    <x v="0"/>
    <x v="0"/>
    <s v="Storage"/>
    <s v="Product_412"/>
    <n v="188.47"/>
    <n v="-27.43"/>
    <n v="0.25"/>
    <x v="0"/>
    <n v="-0.145540404308378"/>
    <x v="3"/>
    <n v="2023"/>
  </r>
  <r>
    <s v="O02081"/>
    <d v="2023-04-09T00:00:00"/>
    <x v="596"/>
    <x v="1"/>
    <x v="1"/>
    <s v="Accessories"/>
    <s v="Product_207"/>
    <n v="2913.03"/>
    <n v="-149.16999999999999"/>
    <n v="0.28000000000000003"/>
    <x v="0"/>
    <n v="-5.1207848872136565E-2"/>
    <x v="0"/>
    <n v="2023"/>
  </r>
  <r>
    <s v="O02082"/>
    <d v="2023-10-02T00:00:00"/>
    <x v="329"/>
    <x v="2"/>
    <x v="0"/>
    <s v="Storage"/>
    <s v="Product_446"/>
    <n v="2906.66"/>
    <n v="-661.43"/>
    <n v="0.28000000000000003"/>
    <x v="0"/>
    <n v="-0.22755671457962059"/>
    <x v="5"/>
    <n v="2023"/>
  </r>
  <r>
    <s v="O02083"/>
    <d v="2023-11-24T00:00:00"/>
    <x v="740"/>
    <x v="2"/>
    <x v="0"/>
    <s v="Paper"/>
    <s v="Product_46"/>
    <n v="4168.38"/>
    <n v="273.85000000000002"/>
    <n v="0.19"/>
    <x v="1"/>
    <n v="6.5696985399603683E-2"/>
    <x v="9"/>
    <n v="2023"/>
  </r>
  <r>
    <s v="O02084"/>
    <d v="2023-10-15T00:00:00"/>
    <x v="337"/>
    <x v="1"/>
    <x v="0"/>
    <s v="Paper"/>
    <s v="Product_76"/>
    <n v="811.39"/>
    <n v="-75"/>
    <n v="0.24"/>
    <x v="0"/>
    <n v="-9.2433971333144363E-2"/>
    <x v="5"/>
    <n v="2023"/>
  </r>
  <r>
    <s v="O02085"/>
    <d v="2022-11-14T00:00:00"/>
    <x v="32"/>
    <x v="1"/>
    <x v="1"/>
    <s v="Copiers"/>
    <s v="Product_489"/>
    <n v="604.42999999999995"/>
    <n v="54.56"/>
    <n v="0.01"/>
    <x v="1"/>
    <n v="9.0266862994887759E-2"/>
    <x v="9"/>
    <n v="2022"/>
  </r>
  <r>
    <s v="O02086"/>
    <d v="2022-08-17T00:00:00"/>
    <x v="369"/>
    <x v="1"/>
    <x v="2"/>
    <s v="Chairs"/>
    <s v="Product_398"/>
    <n v="630.94000000000005"/>
    <n v="21.61"/>
    <n v="0.25"/>
    <x v="1"/>
    <n v="3.4250483405712108E-2"/>
    <x v="3"/>
    <n v="2022"/>
  </r>
  <r>
    <s v="O02087"/>
    <d v="2023-09-30T00:00:00"/>
    <x v="472"/>
    <x v="0"/>
    <x v="1"/>
    <s v="Accessories"/>
    <s v="Product_286"/>
    <n v="2863.18"/>
    <n v="-1308.8599999999999"/>
    <n v="0.28999999999999998"/>
    <x v="0"/>
    <n v="-0.45713507358950539"/>
    <x v="7"/>
    <n v="2023"/>
  </r>
  <r>
    <s v="O02088"/>
    <d v="2022-02-01T00:00:00"/>
    <x v="741"/>
    <x v="2"/>
    <x v="1"/>
    <s v="Phones"/>
    <s v="Product_90"/>
    <n v="2050.17"/>
    <n v="447.5"/>
    <n v="0.04"/>
    <x v="1"/>
    <n v="0.21827458210782519"/>
    <x v="10"/>
    <n v="2022"/>
  </r>
  <r>
    <s v="O02089"/>
    <d v="2023-06-17T00:00:00"/>
    <x v="691"/>
    <x v="1"/>
    <x v="0"/>
    <s v="Binders"/>
    <s v="Product_167"/>
    <n v="1616.56"/>
    <n v="-73.33"/>
    <n v="0.28000000000000003"/>
    <x v="0"/>
    <n v="-4.5361755827188599E-2"/>
    <x v="8"/>
    <n v="2023"/>
  </r>
  <r>
    <s v="O02090"/>
    <d v="2023-06-17T00:00:00"/>
    <x v="667"/>
    <x v="0"/>
    <x v="0"/>
    <s v="Storage"/>
    <s v="Product_429"/>
    <n v="3051.76"/>
    <n v="-499.34"/>
    <n v="0.11"/>
    <x v="0"/>
    <n v="-0.16362361391459351"/>
    <x v="8"/>
    <n v="2023"/>
  </r>
  <r>
    <s v="O02091"/>
    <d v="2022-05-01T00:00:00"/>
    <x v="630"/>
    <x v="2"/>
    <x v="1"/>
    <s v="Phones"/>
    <s v="Product_175"/>
    <n v="4496.53"/>
    <n v="190.52"/>
    <n v="0.28999999999999998"/>
    <x v="1"/>
    <n v="4.2370450102634703E-2"/>
    <x v="11"/>
    <n v="2022"/>
  </r>
  <r>
    <s v="O02092"/>
    <d v="2023-01-03T00:00:00"/>
    <x v="642"/>
    <x v="1"/>
    <x v="2"/>
    <s v="Bookcases"/>
    <s v="Product_223"/>
    <n v="4042.47"/>
    <n v="-793.38"/>
    <n v="0.24"/>
    <x v="0"/>
    <n v="-0.19626119674357509"/>
    <x v="1"/>
    <n v="2023"/>
  </r>
  <r>
    <s v="O02093"/>
    <d v="2022-12-19T00:00:00"/>
    <x v="214"/>
    <x v="0"/>
    <x v="0"/>
    <s v="Paper"/>
    <s v="Product_473"/>
    <n v="558.14"/>
    <n v="-14.65"/>
    <n v="0.17"/>
    <x v="0"/>
    <n v="-2.6247894793421007E-2"/>
    <x v="4"/>
    <n v="2022"/>
  </r>
  <r>
    <s v="O02094"/>
    <d v="2023-12-04T00:00:00"/>
    <x v="388"/>
    <x v="1"/>
    <x v="2"/>
    <s v="Chairs"/>
    <s v="Product_414"/>
    <n v="2852.79"/>
    <n v="-1087.05"/>
    <n v="0.24"/>
    <x v="0"/>
    <n v="-0.38104802666862964"/>
    <x v="4"/>
    <n v="2023"/>
  </r>
  <r>
    <s v="O02095"/>
    <d v="2022-09-15T00:00:00"/>
    <x v="5"/>
    <x v="3"/>
    <x v="0"/>
    <s v="Paper"/>
    <s v="Product_205"/>
    <n v="2900.38"/>
    <n v="-115.28"/>
    <n v="0.28999999999999998"/>
    <x v="0"/>
    <n v="-3.9746515973768951E-2"/>
    <x v="7"/>
    <n v="2022"/>
  </r>
  <r>
    <s v="O02096"/>
    <d v="2023-06-06T00:00:00"/>
    <x v="301"/>
    <x v="0"/>
    <x v="0"/>
    <s v="Binders"/>
    <s v="Product_438"/>
    <n v="1278.94"/>
    <n v="-324.27999999999997"/>
    <n v="0.24"/>
    <x v="0"/>
    <n v="-0.25355372417783473"/>
    <x v="8"/>
    <n v="2023"/>
  </r>
  <r>
    <s v="O02097"/>
    <d v="2023-06-11T00:00:00"/>
    <x v="427"/>
    <x v="2"/>
    <x v="2"/>
    <s v="Chairs"/>
    <s v="Product_465"/>
    <n v="2444.2399999999998"/>
    <n v="-650.39"/>
    <n v="7.0000000000000007E-2"/>
    <x v="0"/>
    <n v="-0.26609089123817631"/>
    <x v="8"/>
    <n v="2023"/>
  </r>
  <r>
    <s v="O02098"/>
    <d v="2023-02-01T00:00:00"/>
    <x v="621"/>
    <x v="1"/>
    <x v="1"/>
    <s v="Phones"/>
    <s v="Product_39"/>
    <n v="4992.37"/>
    <n v="1736.3"/>
    <n v="0.04"/>
    <x v="1"/>
    <n v="0.34779072865192284"/>
    <x v="10"/>
    <n v="2023"/>
  </r>
  <r>
    <s v="O02099"/>
    <d v="2022-01-27T00:00:00"/>
    <x v="565"/>
    <x v="0"/>
    <x v="2"/>
    <s v="Bookcases"/>
    <s v="Product_193"/>
    <n v="1047.33"/>
    <n v="119.54"/>
    <n v="0.18"/>
    <x v="1"/>
    <n v="0.11413785530826007"/>
    <x v="1"/>
    <n v="2022"/>
  </r>
  <r>
    <s v="O02100"/>
    <d v="2023-09-14T00:00:00"/>
    <x v="196"/>
    <x v="3"/>
    <x v="0"/>
    <s v="Binders"/>
    <s v="Product_28"/>
    <n v="3099.13"/>
    <n v="-322.87"/>
    <n v="0.08"/>
    <x v="0"/>
    <n v="-0.10418085075488927"/>
    <x v="7"/>
    <n v="2023"/>
  </r>
  <r>
    <s v="O02101"/>
    <d v="2023-08-20T00:00:00"/>
    <x v="439"/>
    <x v="2"/>
    <x v="1"/>
    <s v="Accessories"/>
    <s v="Product_322"/>
    <n v="3890.91"/>
    <n v="-571.63"/>
    <n v="0.26"/>
    <x v="0"/>
    <n v="-0.14691421801069673"/>
    <x v="3"/>
    <n v="2023"/>
  </r>
  <r>
    <s v="O02102"/>
    <d v="2022-01-18T00:00:00"/>
    <x v="96"/>
    <x v="2"/>
    <x v="2"/>
    <s v="Chairs"/>
    <s v="Product_227"/>
    <n v="3676.88"/>
    <n v="-375.48"/>
    <n v="7.0000000000000007E-2"/>
    <x v="0"/>
    <n v="-0.10211918800722351"/>
    <x v="1"/>
    <n v="2022"/>
  </r>
  <r>
    <s v="O02103"/>
    <d v="2022-05-24T00:00:00"/>
    <x v="104"/>
    <x v="2"/>
    <x v="0"/>
    <s v="Paper"/>
    <s v="Product_391"/>
    <n v="2014.62"/>
    <n v="696.57"/>
    <n v="0.02"/>
    <x v="1"/>
    <n v="0.34575751258301818"/>
    <x v="11"/>
    <n v="2022"/>
  </r>
  <r>
    <s v="O02104"/>
    <d v="2022-04-05T00:00:00"/>
    <x v="152"/>
    <x v="2"/>
    <x v="1"/>
    <s v="Copiers"/>
    <s v="Product_372"/>
    <n v="737.14"/>
    <n v="-168.31"/>
    <n v="0.04"/>
    <x v="0"/>
    <n v="-0.22832840437366037"/>
    <x v="0"/>
    <n v="2022"/>
  </r>
  <r>
    <s v="O02105"/>
    <d v="2023-08-02T00:00:00"/>
    <x v="472"/>
    <x v="0"/>
    <x v="0"/>
    <s v="Paper"/>
    <s v="Product_394"/>
    <n v="4621.8599999999997"/>
    <n v="504.66"/>
    <n v="0.28000000000000003"/>
    <x v="1"/>
    <n v="0.10918980670119824"/>
    <x v="3"/>
    <n v="2023"/>
  </r>
  <r>
    <s v="O02106"/>
    <d v="2022-03-10T00:00:00"/>
    <x v="511"/>
    <x v="1"/>
    <x v="1"/>
    <s v="Phones"/>
    <s v="Product_104"/>
    <n v="2046.67"/>
    <n v="-81.62"/>
    <n v="0.16"/>
    <x v="0"/>
    <n v="-3.9879413877176098E-2"/>
    <x v="6"/>
    <n v="2022"/>
  </r>
  <r>
    <s v="O02107"/>
    <d v="2023-01-02T00:00:00"/>
    <x v="529"/>
    <x v="1"/>
    <x v="1"/>
    <s v="Phones"/>
    <s v="Product_104"/>
    <n v="537.02"/>
    <n v="171.22"/>
    <n v="0.04"/>
    <x v="1"/>
    <n v="0.31883356299579158"/>
    <x v="1"/>
    <n v="2023"/>
  </r>
  <r>
    <s v="O02108"/>
    <d v="2022-01-11T00:00:00"/>
    <x v="661"/>
    <x v="1"/>
    <x v="1"/>
    <s v="Accessories"/>
    <s v="Product_348"/>
    <n v="632.70000000000005"/>
    <n v="-197.72"/>
    <n v="0.16"/>
    <x v="0"/>
    <n v="-0.31250197565987037"/>
    <x v="1"/>
    <n v="2022"/>
  </r>
  <r>
    <s v="O02109"/>
    <d v="2023-03-09T00:00:00"/>
    <x v="368"/>
    <x v="3"/>
    <x v="2"/>
    <s v="Chairs"/>
    <s v="Product_68"/>
    <n v="3054.34"/>
    <n v="-404.48"/>
    <n v="0"/>
    <x v="0"/>
    <n v="-0.13242795497554299"/>
    <x v="6"/>
    <n v="2023"/>
  </r>
  <r>
    <s v="O02110"/>
    <d v="2022-07-14T00:00:00"/>
    <x v="622"/>
    <x v="2"/>
    <x v="1"/>
    <s v="Accessories"/>
    <s v="Product_39"/>
    <n v="2775.95"/>
    <n v="-733.99"/>
    <n v="0.28999999999999998"/>
    <x v="0"/>
    <n v="-0.26441038203137668"/>
    <x v="2"/>
    <n v="2022"/>
  </r>
  <r>
    <s v="O02111"/>
    <d v="2022-06-22T00:00:00"/>
    <x v="391"/>
    <x v="3"/>
    <x v="0"/>
    <s v="Storage"/>
    <s v="Product_25"/>
    <n v="1553.97"/>
    <n v="-389.25"/>
    <n v="0.08"/>
    <x v="0"/>
    <n v="-0.2504874611478986"/>
    <x v="8"/>
    <n v="2022"/>
  </r>
  <r>
    <s v="O02112"/>
    <d v="2023-03-18T00:00:00"/>
    <x v="442"/>
    <x v="3"/>
    <x v="2"/>
    <s v="Tables"/>
    <s v="Product_28"/>
    <n v="1540.68"/>
    <n v="432.12"/>
    <n v="0.01"/>
    <x v="1"/>
    <n v="0.28047355713061767"/>
    <x v="6"/>
    <n v="2023"/>
  </r>
  <r>
    <s v="O02113"/>
    <d v="2023-04-27T00:00:00"/>
    <x v="624"/>
    <x v="0"/>
    <x v="2"/>
    <s v="Tables"/>
    <s v="Product_475"/>
    <n v="1103.96"/>
    <n v="-241.8"/>
    <n v="0.08"/>
    <x v="0"/>
    <n v="-0.2190296749882242"/>
    <x v="0"/>
    <n v="2023"/>
  </r>
  <r>
    <s v="O02114"/>
    <d v="2022-07-11T00:00:00"/>
    <x v="307"/>
    <x v="0"/>
    <x v="2"/>
    <s v="Tables"/>
    <s v="Product_427"/>
    <n v="3730.49"/>
    <n v="-156.55000000000001"/>
    <n v="0.15"/>
    <x v="0"/>
    <n v="-4.1964996555412297E-2"/>
    <x v="2"/>
    <n v="2022"/>
  </r>
  <r>
    <s v="O02115"/>
    <d v="2023-07-04T00:00:00"/>
    <x v="419"/>
    <x v="0"/>
    <x v="2"/>
    <s v="Bookcases"/>
    <s v="Product_322"/>
    <n v="552.12"/>
    <n v="78.61"/>
    <n v="0.15"/>
    <x v="1"/>
    <n v="0.14237846844888791"/>
    <x v="2"/>
    <n v="2023"/>
  </r>
  <r>
    <s v="O02116"/>
    <d v="2023-07-14T00:00:00"/>
    <x v="586"/>
    <x v="2"/>
    <x v="2"/>
    <s v="Tables"/>
    <s v="Product_402"/>
    <n v="2645.18"/>
    <n v="-1023.76"/>
    <n v="0.28999999999999998"/>
    <x v="0"/>
    <n v="-0.38702848199366396"/>
    <x v="2"/>
    <n v="2023"/>
  </r>
  <r>
    <s v="O02117"/>
    <d v="2022-08-26T00:00:00"/>
    <x v="398"/>
    <x v="1"/>
    <x v="0"/>
    <s v="Storage"/>
    <s v="Product_449"/>
    <n v="3071.82"/>
    <n v="-44.2"/>
    <n v="7.0000000000000007E-2"/>
    <x v="0"/>
    <n v="-1.438886393082928E-2"/>
    <x v="3"/>
    <n v="2022"/>
  </r>
  <r>
    <s v="O02118"/>
    <d v="2022-01-30T00:00:00"/>
    <x v="324"/>
    <x v="1"/>
    <x v="2"/>
    <s v="Bookcases"/>
    <s v="Product_294"/>
    <n v="968.36"/>
    <n v="-202.32"/>
    <n v="0.2"/>
    <x v="0"/>
    <n v="-0.20893056301375521"/>
    <x v="1"/>
    <n v="2022"/>
  </r>
  <r>
    <s v="O02119"/>
    <d v="2023-10-14T00:00:00"/>
    <x v="742"/>
    <x v="2"/>
    <x v="1"/>
    <s v="Copiers"/>
    <s v="Product_349"/>
    <n v="212.3"/>
    <n v="-18.43"/>
    <n v="0.24"/>
    <x v="0"/>
    <n v="-8.6811116344795089E-2"/>
    <x v="5"/>
    <n v="2023"/>
  </r>
  <r>
    <s v="O02120"/>
    <d v="2023-05-24T00:00:00"/>
    <x v="538"/>
    <x v="2"/>
    <x v="2"/>
    <s v="Tables"/>
    <s v="Product_266"/>
    <n v="2443.77"/>
    <n v="724.68"/>
    <n v="0.02"/>
    <x v="1"/>
    <n v="0.29654181858358192"/>
    <x v="11"/>
    <n v="2023"/>
  </r>
  <r>
    <s v="O02121"/>
    <d v="2022-03-28T00:00:00"/>
    <x v="54"/>
    <x v="1"/>
    <x v="2"/>
    <s v="Chairs"/>
    <s v="Product_93"/>
    <n v="1888.92"/>
    <n v="234.93"/>
    <n v="0"/>
    <x v="1"/>
    <n v="0.12437265739152531"/>
    <x v="6"/>
    <n v="2022"/>
  </r>
  <r>
    <s v="O02122"/>
    <d v="2023-02-07T00:00:00"/>
    <x v="604"/>
    <x v="3"/>
    <x v="2"/>
    <s v="Bookcases"/>
    <s v="Product_8"/>
    <n v="1811.59"/>
    <n v="-630.95000000000005"/>
    <n v="0.2"/>
    <x v="0"/>
    <n v="-0.34828520802168267"/>
    <x v="10"/>
    <n v="2023"/>
  </r>
  <r>
    <s v="O02123"/>
    <d v="2023-02-19T00:00:00"/>
    <x v="32"/>
    <x v="1"/>
    <x v="1"/>
    <s v="Copiers"/>
    <s v="Product_376"/>
    <n v="4945.4799999999996"/>
    <n v="-336.05"/>
    <n v="0.28000000000000003"/>
    <x v="0"/>
    <n v="-6.7950937017235952E-2"/>
    <x v="10"/>
    <n v="2023"/>
  </r>
  <r>
    <s v="O02124"/>
    <d v="2023-08-08T00:00:00"/>
    <x v="743"/>
    <x v="3"/>
    <x v="2"/>
    <s v="Bookcases"/>
    <s v="Product_291"/>
    <n v="3291.38"/>
    <n v="-1436.19"/>
    <n v="0.28000000000000003"/>
    <x v="0"/>
    <n v="-0.43634888709295189"/>
    <x v="3"/>
    <n v="2023"/>
  </r>
  <r>
    <s v="O02125"/>
    <d v="2023-07-02T00:00:00"/>
    <x v="97"/>
    <x v="3"/>
    <x v="1"/>
    <s v="Accessories"/>
    <s v="Product_121"/>
    <n v="3799.32"/>
    <n v="-590.73"/>
    <n v="0.28999999999999998"/>
    <x v="0"/>
    <n v="-0.15548308644704842"/>
    <x v="2"/>
    <n v="2023"/>
  </r>
  <r>
    <s v="O02126"/>
    <d v="2022-01-17T00:00:00"/>
    <x v="731"/>
    <x v="1"/>
    <x v="1"/>
    <s v="Copiers"/>
    <s v="Product_457"/>
    <n v="3083.91"/>
    <n v="117.3"/>
    <n v="0.09"/>
    <x v="1"/>
    <n v="3.8036129459030905E-2"/>
    <x v="1"/>
    <n v="2022"/>
  </r>
  <r>
    <s v="O02127"/>
    <d v="2022-08-24T00:00:00"/>
    <x v="597"/>
    <x v="2"/>
    <x v="2"/>
    <s v="Tables"/>
    <s v="Product_500"/>
    <n v="4012.09"/>
    <n v="-300.60000000000002"/>
    <n v="0.28999999999999998"/>
    <x v="0"/>
    <n v="-7.4923543589500735E-2"/>
    <x v="3"/>
    <n v="2022"/>
  </r>
  <r>
    <s v="O02128"/>
    <d v="2023-10-26T00:00:00"/>
    <x v="310"/>
    <x v="3"/>
    <x v="0"/>
    <s v="Storage"/>
    <s v="Product_452"/>
    <n v="3612.08"/>
    <n v="1088.82"/>
    <n v="0.08"/>
    <x v="1"/>
    <n v="0.30143850634537439"/>
    <x v="5"/>
    <n v="2023"/>
  </r>
  <r>
    <s v="O02129"/>
    <d v="2022-03-09T00:00:00"/>
    <x v="241"/>
    <x v="0"/>
    <x v="0"/>
    <s v="Paper"/>
    <s v="Product_146"/>
    <n v="4246.0600000000004"/>
    <n v="-203.28"/>
    <n v="0.18"/>
    <x v="0"/>
    <n v="-4.7874971149724679E-2"/>
    <x v="6"/>
    <n v="2022"/>
  </r>
  <r>
    <s v="O02130"/>
    <d v="2022-02-06T00:00:00"/>
    <x v="679"/>
    <x v="2"/>
    <x v="1"/>
    <s v="Accessories"/>
    <s v="Product_47"/>
    <n v="3167.72"/>
    <n v="720.52"/>
    <n v="0.15"/>
    <x v="1"/>
    <n v="0.22745697220713954"/>
    <x v="10"/>
    <n v="2022"/>
  </r>
  <r>
    <s v="O02131"/>
    <d v="2023-05-05T00:00:00"/>
    <x v="510"/>
    <x v="1"/>
    <x v="1"/>
    <s v="Phones"/>
    <s v="Product_14"/>
    <n v="1252.8800000000001"/>
    <n v="-114.58"/>
    <n v="0.16"/>
    <x v="0"/>
    <n v="-9.1453291616116456E-2"/>
    <x v="11"/>
    <n v="2023"/>
  </r>
  <r>
    <s v="O02132"/>
    <d v="2022-03-07T00:00:00"/>
    <x v="744"/>
    <x v="2"/>
    <x v="0"/>
    <s v="Paper"/>
    <s v="Product_254"/>
    <n v="1447.01"/>
    <n v="214.32"/>
    <n v="0.23"/>
    <x v="1"/>
    <n v="0.14811231435857389"/>
    <x v="6"/>
    <n v="2022"/>
  </r>
  <r>
    <s v="O02133"/>
    <d v="2023-08-12T00:00:00"/>
    <x v="149"/>
    <x v="2"/>
    <x v="0"/>
    <s v="Storage"/>
    <s v="Product_368"/>
    <n v="2513.11"/>
    <n v="387.56"/>
    <n v="0.16"/>
    <x v="1"/>
    <n v="0.15421529499305642"/>
    <x v="3"/>
    <n v="2023"/>
  </r>
  <r>
    <s v="O02134"/>
    <d v="2022-02-09T00:00:00"/>
    <x v="176"/>
    <x v="3"/>
    <x v="2"/>
    <s v="Chairs"/>
    <s v="Product_349"/>
    <n v="1668.57"/>
    <n v="-122.9"/>
    <n v="0.17"/>
    <x v="0"/>
    <n v="-7.3655884979353589E-2"/>
    <x v="10"/>
    <n v="2022"/>
  </r>
  <r>
    <s v="O02135"/>
    <d v="2022-09-01T00:00:00"/>
    <x v="206"/>
    <x v="0"/>
    <x v="0"/>
    <s v="Binders"/>
    <s v="Product_357"/>
    <n v="2053.11"/>
    <n v="236.35"/>
    <n v="0.06"/>
    <x v="1"/>
    <n v="0.11511804043621626"/>
    <x v="7"/>
    <n v="2022"/>
  </r>
  <r>
    <s v="O02136"/>
    <d v="2023-02-04T00:00:00"/>
    <x v="423"/>
    <x v="3"/>
    <x v="1"/>
    <s v="Phones"/>
    <s v="Product_352"/>
    <n v="3351.49"/>
    <n v="-22.32"/>
    <n v="0.26"/>
    <x v="0"/>
    <n v="-6.659724480753337E-3"/>
    <x v="10"/>
    <n v="2023"/>
  </r>
  <r>
    <s v="O02137"/>
    <d v="2023-07-09T00:00:00"/>
    <x v="730"/>
    <x v="3"/>
    <x v="1"/>
    <s v="Copiers"/>
    <s v="Product_437"/>
    <n v="287.75"/>
    <n v="-86.11"/>
    <n v="0.2"/>
    <x v="0"/>
    <n v="-0.2992528236316247"/>
    <x v="2"/>
    <n v="2023"/>
  </r>
  <r>
    <s v="O02138"/>
    <d v="2023-08-31T00:00:00"/>
    <x v="628"/>
    <x v="1"/>
    <x v="1"/>
    <s v="Accessories"/>
    <s v="Product_72"/>
    <n v="1330.91"/>
    <n v="-324.87"/>
    <n v="0.28000000000000003"/>
    <x v="0"/>
    <n v="-0.24409614474307051"/>
    <x v="3"/>
    <n v="2023"/>
  </r>
  <r>
    <s v="O02139"/>
    <d v="2022-05-17T00:00:00"/>
    <x v="7"/>
    <x v="3"/>
    <x v="1"/>
    <s v="Copiers"/>
    <s v="Product_405"/>
    <n v="1541.4"/>
    <n v="-14.84"/>
    <n v="0.19"/>
    <x v="0"/>
    <n v="-9.6276112624886466E-3"/>
    <x v="11"/>
    <n v="2022"/>
  </r>
  <r>
    <s v="O02140"/>
    <d v="2023-08-10T00:00:00"/>
    <x v="82"/>
    <x v="3"/>
    <x v="1"/>
    <s v="Phones"/>
    <s v="Product_208"/>
    <n v="4344.83"/>
    <n v="1374.2"/>
    <n v="0.06"/>
    <x v="1"/>
    <n v="0.31628395127082076"/>
    <x v="3"/>
    <n v="2023"/>
  </r>
  <r>
    <s v="O02141"/>
    <d v="2023-06-30T00:00:00"/>
    <x v="745"/>
    <x v="3"/>
    <x v="2"/>
    <s v="Tables"/>
    <s v="Product_370"/>
    <n v="490.07"/>
    <n v="-99.62"/>
    <n v="0.2"/>
    <x v="0"/>
    <n v="-0.20327708286571308"/>
    <x v="8"/>
    <n v="2023"/>
  </r>
  <r>
    <s v="O02142"/>
    <d v="2023-08-13T00:00:00"/>
    <x v="253"/>
    <x v="2"/>
    <x v="1"/>
    <s v="Phones"/>
    <s v="Product_485"/>
    <n v="4578.37"/>
    <n v="-912.89"/>
    <n v="0.1"/>
    <x v="0"/>
    <n v="-0.19939192332642403"/>
    <x v="3"/>
    <n v="2023"/>
  </r>
  <r>
    <s v="O02143"/>
    <d v="2023-12-04T00:00:00"/>
    <x v="327"/>
    <x v="0"/>
    <x v="0"/>
    <s v="Binders"/>
    <s v="Product_115"/>
    <n v="4354.84"/>
    <n v="208.36"/>
    <n v="7.0000000000000007E-2"/>
    <x v="1"/>
    <n v="4.7845615453150976E-2"/>
    <x v="4"/>
    <n v="2023"/>
  </r>
  <r>
    <s v="O02144"/>
    <d v="2023-10-24T00:00:00"/>
    <x v="278"/>
    <x v="3"/>
    <x v="0"/>
    <s v="Binders"/>
    <s v="Product_490"/>
    <n v="2843.67"/>
    <n v="-285.83999999999997"/>
    <n v="0.12"/>
    <x v="0"/>
    <n v="-0.10051799259407736"/>
    <x v="5"/>
    <n v="2023"/>
  </r>
  <r>
    <s v="O02145"/>
    <d v="2023-11-28T00:00:00"/>
    <x v="99"/>
    <x v="3"/>
    <x v="1"/>
    <s v="Copiers"/>
    <s v="Product_115"/>
    <n v="1689.44"/>
    <n v="124.33"/>
    <n v="0.18"/>
    <x v="1"/>
    <n v="7.3592432995548823E-2"/>
    <x v="9"/>
    <n v="2023"/>
  </r>
  <r>
    <s v="O02146"/>
    <d v="2023-06-09T00:00:00"/>
    <x v="23"/>
    <x v="0"/>
    <x v="2"/>
    <s v="Chairs"/>
    <s v="Product_475"/>
    <n v="1602.43"/>
    <n v="218.97"/>
    <n v="0.19"/>
    <x v="1"/>
    <n v="0.13664871476445148"/>
    <x v="8"/>
    <n v="2023"/>
  </r>
  <r>
    <s v="O02147"/>
    <d v="2023-12-23T00:00:00"/>
    <x v="493"/>
    <x v="1"/>
    <x v="2"/>
    <s v="Tables"/>
    <s v="Product_138"/>
    <n v="3035.11"/>
    <n v="-396.12"/>
    <n v="0.05"/>
    <x v="0"/>
    <n v="-0.13051256791351878"/>
    <x v="4"/>
    <n v="2023"/>
  </r>
  <r>
    <s v="O02148"/>
    <d v="2022-11-30T00:00:00"/>
    <x v="528"/>
    <x v="2"/>
    <x v="2"/>
    <s v="Chairs"/>
    <s v="Product_56"/>
    <n v="4208.96"/>
    <n v="-317.57"/>
    <n v="0.06"/>
    <x v="0"/>
    <n v="-7.5450942750703257E-2"/>
    <x v="9"/>
    <n v="2022"/>
  </r>
  <r>
    <s v="O02149"/>
    <d v="2023-09-27T00:00:00"/>
    <x v="211"/>
    <x v="2"/>
    <x v="1"/>
    <s v="Accessories"/>
    <s v="Product_244"/>
    <n v="1091.26"/>
    <n v="-170.12"/>
    <n v="0.06"/>
    <x v="0"/>
    <n v="-0.15589318769129265"/>
    <x v="7"/>
    <n v="2023"/>
  </r>
  <r>
    <s v="O02150"/>
    <d v="2022-11-21T00:00:00"/>
    <x v="228"/>
    <x v="0"/>
    <x v="0"/>
    <s v="Storage"/>
    <s v="Product_492"/>
    <n v="577.15"/>
    <n v="-99.04"/>
    <n v="0.24"/>
    <x v="0"/>
    <n v="-0.17160183661093306"/>
    <x v="9"/>
    <n v="2022"/>
  </r>
  <r>
    <s v="O02151"/>
    <d v="2022-04-22T00:00:00"/>
    <x v="192"/>
    <x v="0"/>
    <x v="0"/>
    <s v="Paper"/>
    <s v="Product_19"/>
    <n v="4768.38"/>
    <n v="1328.26"/>
    <n v="0.04"/>
    <x v="1"/>
    <n v="0.27855581979624106"/>
    <x v="0"/>
    <n v="2022"/>
  </r>
  <r>
    <s v="O02152"/>
    <d v="2022-05-05T00:00:00"/>
    <x v="459"/>
    <x v="2"/>
    <x v="1"/>
    <s v="Phones"/>
    <s v="Product_288"/>
    <n v="2337.5"/>
    <n v="441.29"/>
    <n v="0.18"/>
    <x v="1"/>
    <n v="0.18878716577540108"/>
    <x v="11"/>
    <n v="2022"/>
  </r>
  <r>
    <s v="O02153"/>
    <d v="2022-10-06T00:00:00"/>
    <x v="556"/>
    <x v="1"/>
    <x v="2"/>
    <s v="Bookcases"/>
    <s v="Product_121"/>
    <n v="3689.26"/>
    <n v="172.69"/>
    <n v="0.04"/>
    <x v="1"/>
    <n v="4.6808845134254561E-2"/>
    <x v="5"/>
    <n v="2022"/>
  </r>
  <r>
    <s v="O02154"/>
    <d v="2022-05-21T00:00:00"/>
    <x v="22"/>
    <x v="2"/>
    <x v="0"/>
    <s v="Storage"/>
    <s v="Product_214"/>
    <n v="2833.24"/>
    <n v="-534.59"/>
    <n v="0.23"/>
    <x v="0"/>
    <n v="-0.18868503903658004"/>
    <x v="11"/>
    <n v="2022"/>
  </r>
  <r>
    <s v="O02155"/>
    <d v="2023-04-06T00:00:00"/>
    <x v="64"/>
    <x v="2"/>
    <x v="2"/>
    <s v="Tables"/>
    <s v="Product_144"/>
    <n v="4333.7700000000004"/>
    <n v="-566.39"/>
    <n v="0.18"/>
    <x v="0"/>
    <n v="-0.13069221486142549"/>
    <x v="0"/>
    <n v="2023"/>
  </r>
  <r>
    <s v="O02156"/>
    <d v="2023-11-17T00:00:00"/>
    <x v="620"/>
    <x v="3"/>
    <x v="1"/>
    <s v="Phones"/>
    <s v="Product_376"/>
    <n v="777.27"/>
    <n v="-80.739999999999995"/>
    <n v="0.21"/>
    <x v="0"/>
    <n v="-0.10387638787036679"/>
    <x v="9"/>
    <n v="2023"/>
  </r>
  <r>
    <s v="O02157"/>
    <d v="2023-12-31T00:00:00"/>
    <x v="140"/>
    <x v="3"/>
    <x v="0"/>
    <s v="Paper"/>
    <s v="Product_92"/>
    <n v="4826.22"/>
    <n v="-1204.6400000000001"/>
    <n v="0.24"/>
    <x v="0"/>
    <n v="-0.24960320913675713"/>
    <x v="4"/>
    <n v="2023"/>
  </r>
  <r>
    <s v="O02158"/>
    <d v="2022-03-26T00:00:00"/>
    <x v="222"/>
    <x v="2"/>
    <x v="0"/>
    <s v="Binders"/>
    <s v="Product_171"/>
    <n v="1592.25"/>
    <n v="-491.7"/>
    <n v="0.18"/>
    <x v="0"/>
    <n v="-0.30880829015544042"/>
    <x v="6"/>
    <n v="2022"/>
  </r>
  <r>
    <s v="O02159"/>
    <d v="2022-06-09T00:00:00"/>
    <x v="17"/>
    <x v="3"/>
    <x v="2"/>
    <s v="Chairs"/>
    <s v="Product_328"/>
    <n v="4669.62"/>
    <n v="-823.53"/>
    <n v="0"/>
    <x v="0"/>
    <n v="-0.17635910416693434"/>
    <x v="8"/>
    <n v="2022"/>
  </r>
  <r>
    <s v="O02160"/>
    <d v="2022-05-15T00:00:00"/>
    <x v="176"/>
    <x v="0"/>
    <x v="2"/>
    <s v="Bookcases"/>
    <s v="Product_410"/>
    <n v="3271.97"/>
    <n v="998.2"/>
    <n v="7.0000000000000007E-2"/>
    <x v="1"/>
    <n v="0.30507614678618694"/>
    <x v="11"/>
    <n v="2022"/>
  </r>
  <r>
    <s v="O02161"/>
    <d v="2022-02-04T00:00:00"/>
    <x v="746"/>
    <x v="1"/>
    <x v="1"/>
    <s v="Accessories"/>
    <s v="Product_325"/>
    <n v="439.29"/>
    <n v="1.74"/>
    <n v="0"/>
    <x v="1"/>
    <n v="3.9609369664686195E-3"/>
    <x v="10"/>
    <n v="2022"/>
  </r>
  <r>
    <s v="O02162"/>
    <d v="2022-11-07T00:00:00"/>
    <x v="36"/>
    <x v="2"/>
    <x v="0"/>
    <s v="Paper"/>
    <s v="Product_198"/>
    <n v="2822.18"/>
    <n v="-535.59"/>
    <n v="0.05"/>
    <x v="0"/>
    <n v="-0.18977882346271324"/>
    <x v="9"/>
    <n v="2022"/>
  </r>
  <r>
    <s v="O02163"/>
    <d v="2023-12-08T00:00:00"/>
    <x v="747"/>
    <x v="2"/>
    <x v="0"/>
    <s v="Storage"/>
    <s v="Product_230"/>
    <n v="4975.99"/>
    <n v="-250.04"/>
    <n v="0.15"/>
    <x v="0"/>
    <n v="-5.0249297124793257E-2"/>
    <x v="4"/>
    <n v="2023"/>
  </r>
  <r>
    <s v="O02164"/>
    <d v="2022-01-07T00:00:00"/>
    <x v="350"/>
    <x v="3"/>
    <x v="0"/>
    <s v="Paper"/>
    <s v="Product_434"/>
    <n v="3624.87"/>
    <n v="-152.36000000000001"/>
    <n v="0.09"/>
    <x v="0"/>
    <n v="-4.2031852176767727E-2"/>
    <x v="1"/>
    <n v="2022"/>
  </r>
  <r>
    <s v="O02165"/>
    <d v="2022-03-13T00:00:00"/>
    <x v="666"/>
    <x v="1"/>
    <x v="0"/>
    <s v="Storage"/>
    <s v="Product_413"/>
    <n v="3548.05"/>
    <n v="-1090.1500000000001"/>
    <n v="0.28000000000000003"/>
    <x v="0"/>
    <n v="-0.30725327997068813"/>
    <x v="6"/>
    <n v="2022"/>
  </r>
  <r>
    <s v="O02166"/>
    <d v="2022-07-14T00:00:00"/>
    <x v="177"/>
    <x v="1"/>
    <x v="2"/>
    <s v="Bookcases"/>
    <s v="Product_103"/>
    <n v="2762.49"/>
    <n v="6.15"/>
    <n v="0.24"/>
    <x v="1"/>
    <n v="2.2262524027236302E-3"/>
    <x v="2"/>
    <n v="2022"/>
  </r>
  <r>
    <s v="O02167"/>
    <d v="2023-10-02T00:00:00"/>
    <x v="3"/>
    <x v="0"/>
    <x v="0"/>
    <s v="Binders"/>
    <s v="Product_194"/>
    <n v="4405.45"/>
    <n v="-61.03"/>
    <n v="0.19"/>
    <x v="0"/>
    <n v="-1.3853295350077746E-2"/>
    <x v="5"/>
    <n v="2023"/>
  </r>
  <r>
    <s v="O02168"/>
    <d v="2023-05-17T00:00:00"/>
    <x v="708"/>
    <x v="1"/>
    <x v="0"/>
    <s v="Binders"/>
    <s v="Product_368"/>
    <n v="4438.8599999999997"/>
    <n v="-491.73"/>
    <n v="0.16"/>
    <x v="0"/>
    <n v="-0.11077844311377247"/>
    <x v="11"/>
    <n v="2023"/>
  </r>
  <r>
    <s v="O02169"/>
    <d v="2023-02-18T00:00:00"/>
    <x v="458"/>
    <x v="0"/>
    <x v="0"/>
    <s v="Paper"/>
    <s v="Product_341"/>
    <n v="1790.53"/>
    <n v="179.34"/>
    <n v="0.16"/>
    <x v="1"/>
    <n v="0.10016028773603347"/>
    <x v="10"/>
    <n v="2023"/>
  </r>
  <r>
    <s v="O02170"/>
    <d v="2022-11-25T00:00:00"/>
    <x v="387"/>
    <x v="3"/>
    <x v="1"/>
    <s v="Phones"/>
    <s v="Product_288"/>
    <n v="3955.92"/>
    <n v="-719.79"/>
    <n v="0.27"/>
    <x v="0"/>
    <n v="-0.18195261784869257"/>
    <x v="9"/>
    <n v="2022"/>
  </r>
  <r>
    <s v="O02171"/>
    <d v="2022-02-03T00:00:00"/>
    <x v="670"/>
    <x v="1"/>
    <x v="0"/>
    <s v="Paper"/>
    <s v="Product_317"/>
    <n v="2470.7800000000002"/>
    <n v="513.04"/>
    <n v="0.11"/>
    <x v="1"/>
    <n v="0.20764293057253172"/>
    <x v="10"/>
    <n v="2022"/>
  </r>
  <r>
    <s v="O02172"/>
    <d v="2023-01-27T00:00:00"/>
    <x v="546"/>
    <x v="1"/>
    <x v="2"/>
    <s v="Bookcases"/>
    <s v="Product_374"/>
    <n v="4101.67"/>
    <n v="-60.95"/>
    <n v="0.26"/>
    <x v="0"/>
    <n v="-1.4859801007882156E-2"/>
    <x v="1"/>
    <n v="2023"/>
  </r>
  <r>
    <s v="O02173"/>
    <d v="2022-05-04T00:00:00"/>
    <x v="583"/>
    <x v="2"/>
    <x v="2"/>
    <s v="Tables"/>
    <s v="Product_90"/>
    <n v="360.17"/>
    <n v="-10.45"/>
    <n v="0.26"/>
    <x v="0"/>
    <n v="-2.9014076686009381E-2"/>
    <x v="11"/>
    <n v="2022"/>
  </r>
  <r>
    <s v="O02174"/>
    <d v="2022-08-11T00:00:00"/>
    <x v="634"/>
    <x v="1"/>
    <x v="2"/>
    <s v="Tables"/>
    <s v="Product_490"/>
    <n v="3468.67"/>
    <n v="736.49"/>
    <n v="0.06"/>
    <x v="1"/>
    <n v="0.21232633833717246"/>
    <x v="3"/>
    <n v="2022"/>
  </r>
  <r>
    <s v="O02175"/>
    <d v="2023-09-22T00:00:00"/>
    <x v="211"/>
    <x v="2"/>
    <x v="2"/>
    <s v="Tables"/>
    <s v="Product_452"/>
    <n v="990.77"/>
    <n v="320.13"/>
    <n v="0.05"/>
    <x v="1"/>
    <n v="0.32311232677614382"/>
    <x v="7"/>
    <n v="2023"/>
  </r>
  <r>
    <s v="O02176"/>
    <d v="2023-08-23T00:00:00"/>
    <x v="709"/>
    <x v="3"/>
    <x v="2"/>
    <s v="Chairs"/>
    <s v="Product_121"/>
    <n v="3690.75"/>
    <n v="-168.49"/>
    <n v="0.24"/>
    <x v="0"/>
    <n v="-4.5651967757230918E-2"/>
    <x v="3"/>
    <n v="2023"/>
  </r>
  <r>
    <s v="O02177"/>
    <d v="2023-01-08T00:00:00"/>
    <x v="482"/>
    <x v="1"/>
    <x v="0"/>
    <s v="Storage"/>
    <s v="Product_405"/>
    <n v="804.98"/>
    <n v="-221.32"/>
    <n v="0.27"/>
    <x v="0"/>
    <n v="-0.27493850778901335"/>
    <x v="1"/>
    <n v="2023"/>
  </r>
  <r>
    <s v="O02178"/>
    <d v="2023-03-04T00:00:00"/>
    <x v="312"/>
    <x v="2"/>
    <x v="0"/>
    <s v="Storage"/>
    <s v="Product_372"/>
    <n v="1095.6099999999999"/>
    <n v="-202.87"/>
    <n v="0.17"/>
    <x v="0"/>
    <n v="-0.18516625441534854"/>
    <x v="6"/>
    <n v="2023"/>
  </r>
  <r>
    <s v="O02179"/>
    <d v="2023-02-07T00:00:00"/>
    <x v="150"/>
    <x v="1"/>
    <x v="0"/>
    <s v="Paper"/>
    <s v="Product_483"/>
    <n v="3711.86"/>
    <n v="-1220.02"/>
    <n v="0.26"/>
    <x v="0"/>
    <n v="-0.32868157743018322"/>
    <x v="10"/>
    <n v="2023"/>
  </r>
  <r>
    <s v="O02180"/>
    <d v="2023-05-26T00:00:00"/>
    <x v="164"/>
    <x v="0"/>
    <x v="2"/>
    <s v="Bookcases"/>
    <s v="Product_93"/>
    <n v="1729.86"/>
    <n v="-196.23"/>
    <n v="0.26"/>
    <x v="0"/>
    <n v="-0.11343692553154591"/>
    <x v="11"/>
    <n v="2023"/>
  </r>
  <r>
    <s v="O02181"/>
    <d v="2022-07-11T00:00:00"/>
    <x v="748"/>
    <x v="1"/>
    <x v="1"/>
    <s v="Copiers"/>
    <s v="Product_226"/>
    <n v="4141.8599999999997"/>
    <n v="-814.8"/>
    <n v="0.26"/>
    <x v="0"/>
    <n v="-0.19672321131086035"/>
    <x v="2"/>
    <n v="2022"/>
  </r>
  <r>
    <s v="O02182"/>
    <d v="2023-04-25T00:00:00"/>
    <x v="2"/>
    <x v="2"/>
    <x v="2"/>
    <s v="Chairs"/>
    <s v="Product_369"/>
    <n v="371.64"/>
    <n v="100.58"/>
    <n v="7.0000000000000007E-2"/>
    <x v="1"/>
    <n v="0.27063825207189757"/>
    <x v="0"/>
    <n v="2023"/>
  </r>
  <r>
    <s v="O02183"/>
    <d v="2023-08-17T00:00:00"/>
    <x v="273"/>
    <x v="1"/>
    <x v="2"/>
    <s v="Chairs"/>
    <s v="Product_67"/>
    <n v="2502.6"/>
    <n v="-685.4"/>
    <n v="0.27"/>
    <x v="0"/>
    <n v="-0.27387516982338367"/>
    <x v="3"/>
    <n v="2023"/>
  </r>
  <r>
    <s v="O02184"/>
    <d v="2023-01-09T00:00:00"/>
    <x v="252"/>
    <x v="0"/>
    <x v="2"/>
    <s v="Chairs"/>
    <s v="Product_281"/>
    <n v="4080.37"/>
    <n v="-1513.27"/>
    <n v="0.23"/>
    <x v="0"/>
    <n v="-0.37086587735916104"/>
    <x v="1"/>
    <n v="2023"/>
  </r>
  <r>
    <s v="O02185"/>
    <d v="2023-05-16T00:00:00"/>
    <x v="691"/>
    <x v="2"/>
    <x v="2"/>
    <s v="Chairs"/>
    <s v="Product_266"/>
    <n v="284.52"/>
    <n v="70.16"/>
    <n v="0.01"/>
    <x v="1"/>
    <n v="0.24659074933220865"/>
    <x v="11"/>
    <n v="2023"/>
  </r>
  <r>
    <s v="O02186"/>
    <d v="2023-12-11T00:00:00"/>
    <x v="749"/>
    <x v="3"/>
    <x v="0"/>
    <s v="Storage"/>
    <s v="Product_342"/>
    <n v="4331.75"/>
    <n v="347.23"/>
    <n v="0.13"/>
    <x v="1"/>
    <n v="8.0159288970970161E-2"/>
    <x v="4"/>
    <n v="2023"/>
  </r>
  <r>
    <s v="O02187"/>
    <d v="2022-03-04T00:00:00"/>
    <x v="567"/>
    <x v="0"/>
    <x v="0"/>
    <s v="Paper"/>
    <s v="Product_104"/>
    <n v="1004.82"/>
    <n v="-154.13"/>
    <n v="0.19"/>
    <x v="0"/>
    <n v="-0.15339065703310045"/>
    <x v="6"/>
    <n v="2022"/>
  </r>
  <r>
    <s v="O02188"/>
    <d v="2022-03-25T00:00:00"/>
    <x v="329"/>
    <x v="3"/>
    <x v="2"/>
    <s v="Tables"/>
    <s v="Product_57"/>
    <n v="4892.1499999999996"/>
    <n v="-182.42"/>
    <n v="7.0000000000000007E-2"/>
    <x v="0"/>
    <n v="-3.7288308821274901E-2"/>
    <x v="6"/>
    <n v="2022"/>
  </r>
  <r>
    <s v="O02189"/>
    <d v="2023-08-08T00:00:00"/>
    <x v="635"/>
    <x v="0"/>
    <x v="1"/>
    <s v="Phones"/>
    <s v="Product_399"/>
    <n v="1799.75"/>
    <n v="202.39"/>
    <n v="0.26"/>
    <x v="1"/>
    <n v="0.1124545075704959"/>
    <x v="3"/>
    <n v="2023"/>
  </r>
  <r>
    <s v="O02190"/>
    <d v="2023-08-24T00:00:00"/>
    <x v="44"/>
    <x v="3"/>
    <x v="2"/>
    <s v="Bookcases"/>
    <s v="Product_340"/>
    <n v="2928.22"/>
    <n v="23.02"/>
    <n v="0.23"/>
    <x v="1"/>
    <n v="7.8614311766192439E-3"/>
    <x v="3"/>
    <n v="2023"/>
  </r>
  <r>
    <s v="O02191"/>
    <d v="2023-06-08T00:00:00"/>
    <x v="646"/>
    <x v="0"/>
    <x v="2"/>
    <s v="Chairs"/>
    <s v="Product_314"/>
    <n v="1583.67"/>
    <n v="82.75"/>
    <n v="0.14000000000000001"/>
    <x v="1"/>
    <n v="5.225204745938232E-2"/>
    <x v="8"/>
    <n v="2023"/>
  </r>
  <r>
    <s v="O02192"/>
    <d v="2023-12-05T00:00:00"/>
    <x v="205"/>
    <x v="2"/>
    <x v="2"/>
    <s v="Chairs"/>
    <s v="Product_48"/>
    <n v="2925.09"/>
    <n v="-1317.49"/>
    <n v="0.3"/>
    <x v="0"/>
    <n v="-0.45041007285245921"/>
    <x v="4"/>
    <n v="2023"/>
  </r>
  <r>
    <s v="O02193"/>
    <d v="2022-06-05T00:00:00"/>
    <x v="668"/>
    <x v="1"/>
    <x v="0"/>
    <s v="Binders"/>
    <s v="Product_81"/>
    <n v="811.4"/>
    <n v="-96.91"/>
    <n v="0.01"/>
    <x v="0"/>
    <n v="-0.11943554350505299"/>
    <x v="8"/>
    <n v="2022"/>
  </r>
  <r>
    <s v="O02194"/>
    <d v="2023-11-08T00:00:00"/>
    <x v="743"/>
    <x v="0"/>
    <x v="2"/>
    <s v="Bookcases"/>
    <s v="Product_59"/>
    <n v="4627.54"/>
    <n v="-1128.81"/>
    <n v="0.28999999999999998"/>
    <x v="0"/>
    <n v="-0.24393306162669581"/>
    <x v="9"/>
    <n v="2023"/>
  </r>
  <r>
    <s v="O02195"/>
    <d v="2022-04-18T00:00:00"/>
    <x v="350"/>
    <x v="1"/>
    <x v="0"/>
    <s v="Storage"/>
    <s v="Product_22"/>
    <n v="3399.84"/>
    <n v="-1.53"/>
    <n v="0.03"/>
    <x v="0"/>
    <n v="-4.500211774671749E-4"/>
    <x v="0"/>
    <n v="2022"/>
  </r>
  <r>
    <s v="O02196"/>
    <d v="2023-11-09T00:00:00"/>
    <x v="38"/>
    <x v="2"/>
    <x v="2"/>
    <s v="Bookcases"/>
    <s v="Product_478"/>
    <n v="3636.19"/>
    <n v="377.44"/>
    <n v="0.13"/>
    <x v="1"/>
    <n v="0.10380095649567267"/>
    <x v="9"/>
    <n v="2023"/>
  </r>
  <r>
    <s v="O02197"/>
    <d v="2022-10-28T00:00:00"/>
    <x v="304"/>
    <x v="1"/>
    <x v="2"/>
    <s v="Chairs"/>
    <s v="Product_221"/>
    <n v="4634.87"/>
    <n v="-1351.28"/>
    <n v="0.22"/>
    <x v="0"/>
    <n v="-0.29154647271660261"/>
    <x v="5"/>
    <n v="2022"/>
  </r>
  <r>
    <s v="O02198"/>
    <d v="2023-10-29T00:00:00"/>
    <x v="658"/>
    <x v="3"/>
    <x v="1"/>
    <s v="Accessories"/>
    <s v="Product_398"/>
    <n v="1121.17"/>
    <n v="-103.93"/>
    <n v="0"/>
    <x v="0"/>
    <n v="-9.269780675544298E-2"/>
    <x v="5"/>
    <n v="2023"/>
  </r>
  <r>
    <s v="O02199"/>
    <d v="2022-04-03T00:00:00"/>
    <x v="36"/>
    <x v="0"/>
    <x v="0"/>
    <s v="Binders"/>
    <s v="Product_405"/>
    <n v="833.2"/>
    <n v="-278.55"/>
    <n v="0.24"/>
    <x v="0"/>
    <n v="-0.33431349015842532"/>
    <x v="0"/>
    <n v="2022"/>
  </r>
  <r>
    <s v="O02200"/>
    <d v="2022-01-09T00:00:00"/>
    <x v="23"/>
    <x v="3"/>
    <x v="0"/>
    <s v="Storage"/>
    <s v="Product_69"/>
    <n v="2034.44"/>
    <n v="392.97"/>
    <n v="0.16"/>
    <x v="1"/>
    <n v="0.19315880537150273"/>
    <x v="1"/>
    <n v="2022"/>
  </r>
  <r>
    <s v="O02201"/>
    <d v="2023-08-29T00:00:00"/>
    <x v="165"/>
    <x v="3"/>
    <x v="2"/>
    <s v="Bookcases"/>
    <s v="Product_496"/>
    <n v="1504.89"/>
    <n v="397.28"/>
    <n v="0.04"/>
    <x v="1"/>
    <n v="0.26399271707566663"/>
    <x v="3"/>
    <n v="2023"/>
  </r>
  <r>
    <s v="O02202"/>
    <d v="2023-11-02T00:00:00"/>
    <x v="306"/>
    <x v="1"/>
    <x v="1"/>
    <s v="Copiers"/>
    <s v="Product_367"/>
    <n v="1964.43"/>
    <n v="90.91"/>
    <n v="0.24"/>
    <x v="1"/>
    <n v="4.6278055211944426E-2"/>
    <x v="9"/>
    <n v="2023"/>
  </r>
  <r>
    <s v="O02203"/>
    <d v="2023-05-24T00:00:00"/>
    <x v="378"/>
    <x v="0"/>
    <x v="0"/>
    <s v="Storage"/>
    <s v="Product_118"/>
    <n v="3021.39"/>
    <n v="533.99"/>
    <n v="0.04"/>
    <x v="1"/>
    <n v="0.17673653517089818"/>
    <x v="11"/>
    <n v="2023"/>
  </r>
  <r>
    <s v="O02204"/>
    <d v="2023-07-17T00:00:00"/>
    <x v="590"/>
    <x v="3"/>
    <x v="1"/>
    <s v="Phones"/>
    <s v="Product_199"/>
    <n v="795.21"/>
    <n v="239.44"/>
    <n v="0.06"/>
    <x v="1"/>
    <n v="0.30110285333433934"/>
    <x v="2"/>
    <n v="2023"/>
  </r>
  <r>
    <s v="O02205"/>
    <d v="2022-06-09T00:00:00"/>
    <x v="185"/>
    <x v="1"/>
    <x v="1"/>
    <s v="Phones"/>
    <s v="Product_247"/>
    <n v="1138.8599999999999"/>
    <n v="404.19"/>
    <n v="0.01"/>
    <x v="1"/>
    <n v="0.35490753911806544"/>
    <x v="8"/>
    <n v="2022"/>
  </r>
  <r>
    <s v="O02206"/>
    <d v="2023-07-25T00:00:00"/>
    <x v="480"/>
    <x v="3"/>
    <x v="2"/>
    <s v="Tables"/>
    <s v="Product_31"/>
    <n v="703.25"/>
    <n v="-64.989999999999995"/>
    <n v="0.18"/>
    <x v="0"/>
    <n v="-9.2413793103448272E-2"/>
    <x v="2"/>
    <n v="2023"/>
  </r>
  <r>
    <s v="O02207"/>
    <d v="2022-03-29T00:00:00"/>
    <x v="112"/>
    <x v="2"/>
    <x v="2"/>
    <s v="Bookcases"/>
    <s v="Product_442"/>
    <n v="3135.18"/>
    <n v="322.7"/>
    <n v="0.13"/>
    <x v="1"/>
    <n v="0.10292869946861105"/>
    <x v="6"/>
    <n v="2022"/>
  </r>
  <r>
    <s v="O02208"/>
    <d v="2023-06-28T00:00:00"/>
    <x v="20"/>
    <x v="0"/>
    <x v="0"/>
    <s v="Binders"/>
    <s v="Product_176"/>
    <n v="2120.4699999999998"/>
    <n v="585.26"/>
    <n v="0.04"/>
    <x v="1"/>
    <n v="0.27600484798181535"/>
    <x v="8"/>
    <n v="2023"/>
  </r>
  <r>
    <s v="O02209"/>
    <d v="2023-10-09T00:00:00"/>
    <x v="741"/>
    <x v="0"/>
    <x v="1"/>
    <s v="Accessories"/>
    <s v="Product_114"/>
    <n v="4769.28"/>
    <n v="1321.82"/>
    <n v="0.05"/>
    <x v="1"/>
    <n v="0.27715294551798175"/>
    <x v="5"/>
    <n v="2023"/>
  </r>
  <r>
    <s v="O02210"/>
    <d v="2022-01-18T00:00:00"/>
    <x v="127"/>
    <x v="3"/>
    <x v="0"/>
    <s v="Storage"/>
    <s v="Product_465"/>
    <n v="4345.63"/>
    <n v="-759.67"/>
    <n v="0.01"/>
    <x v="0"/>
    <n v="-0.17481239774209953"/>
    <x v="1"/>
    <n v="2022"/>
  </r>
  <r>
    <s v="O02211"/>
    <d v="2023-03-10T00:00:00"/>
    <x v="146"/>
    <x v="0"/>
    <x v="1"/>
    <s v="Accessories"/>
    <s v="Product_190"/>
    <n v="2865.7"/>
    <n v="-455.98"/>
    <n v="0.23"/>
    <x v="0"/>
    <n v="-0.15911644624350074"/>
    <x v="6"/>
    <n v="2023"/>
  </r>
  <r>
    <s v="O02212"/>
    <d v="2023-03-12T00:00:00"/>
    <x v="684"/>
    <x v="1"/>
    <x v="1"/>
    <s v="Copiers"/>
    <s v="Product_129"/>
    <n v="3417.64"/>
    <n v="-946.06"/>
    <n v="0.3"/>
    <x v="0"/>
    <n v="-0.2768167507402769"/>
    <x v="6"/>
    <n v="2023"/>
  </r>
  <r>
    <s v="O02213"/>
    <d v="2022-01-03T00:00:00"/>
    <x v="651"/>
    <x v="0"/>
    <x v="1"/>
    <s v="Phones"/>
    <s v="Product_285"/>
    <n v="770.61"/>
    <n v="-125.57"/>
    <n v="0.24"/>
    <x v="0"/>
    <n v="-0.16294883274289199"/>
    <x v="1"/>
    <n v="2022"/>
  </r>
  <r>
    <s v="O02214"/>
    <d v="2022-01-28T00:00:00"/>
    <x v="405"/>
    <x v="2"/>
    <x v="2"/>
    <s v="Chairs"/>
    <s v="Product_284"/>
    <n v="4006.57"/>
    <n v="-1309.19"/>
    <n v="0.15"/>
    <x v="0"/>
    <n v="-0.32676079539356606"/>
    <x v="1"/>
    <n v="2022"/>
  </r>
  <r>
    <s v="O02215"/>
    <d v="2023-05-16T00:00:00"/>
    <x v="491"/>
    <x v="2"/>
    <x v="2"/>
    <s v="Chairs"/>
    <s v="Product_265"/>
    <n v="2301.6999999999998"/>
    <n v="658.12"/>
    <n v="0.08"/>
    <x v="1"/>
    <n v="0.28592779250119477"/>
    <x v="11"/>
    <n v="2023"/>
  </r>
  <r>
    <s v="O02216"/>
    <d v="2023-01-11T00:00:00"/>
    <x v="739"/>
    <x v="0"/>
    <x v="2"/>
    <s v="Bookcases"/>
    <s v="Product_76"/>
    <n v="164.33"/>
    <n v="33.86"/>
    <n v="0.03"/>
    <x v="1"/>
    <n v="0.20604880423538"/>
    <x v="1"/>
    <n v="2023"/>
  </r>
  <r>
    <s v="O02217"/>
    <d v="2022-03-04T00:00:00"/>
    <x v="680"/>
    <x v="0"/>
    <x v="0"/>
    <s v="Binders"/>
    <s v="Product_101"/>
    <n v="4355.32"/>
    <n v="-106.13"/>
    <n v="0.03"/>
    <x v="0"/>
    <n v="-2.4367899488441723E-2"/>
    <x v="6"/>
    <n v="2022"/>
  </r>
  <r>
    <s v="O02218"/>
    <d v="2023-12-31T00:00:00"/>
    <x v="293"/>
    <x v="3"/>
    <x v="0"/>
    <s v="Binders"/>
    <s v="Product_41"/>
    <n v="2102.08"/>
    <n v="-415.52"/>
    <n v="0.03"/>
    <x v="0"/>
    <n v="-0.19767087836809255"/>
    <x v="4"/>
    <n v="2023"/>
  </r>
  <r>
    <s v="O02219"/>
    <d v="2022-11-04T00:00:00"/>
    <x v="647"/>
    <x v="2"/>
    <x v="2"/>
    <s v="Tables"/>
    <s v="Product_90"/>
    <n v="1869.49"/>
    <n v="-363.94"/>
    <n v="0.16"/>
    <x v="0"/>
    <n v="-0.19467341360477991"/>
    <x v="9"/>
    <n v="2022"/>
  </r>
  <r>
    <s v="O02220"/>
    <d v="2022-12-24T00:00:00"/>
    <x v="750"/>
    <x v="3"/>
    <x v="2"/>
    <s v="Bookcases"/>
    <s v="Product_229"/>
    <n v="1063.1099999999999"/>
    <n v="54.28"/>
    <n v="0.01"/>
    <x v="1"/>
    <n v="5.1057745670720814E-2"/>
    <x v="4"/>
    <n v="2022"/>
  </r>
  <r>
    <s v="O02221"/>
    <d v="2022-05-04T00:00:00"/>
    <x v="1"/>
    <x v="0"/>
    <x v="1"/>
    <s v="Copiers"/>
    <s v="Product_171"/>
    <n v="2204.48"/>
    <n v="-577.99"/>
    <n v="0.08"/>
    <x v="0"/>
    <n v="-0.26218881550297574"/>
    <x v="11"/>
    <n v="2022"/>
  </r>
  <r>
    <s v="O02222"/>
    <d v="2022-06-10T00:00:00"/>
    <x v="294"/>
    <x v="3"/>
    <x v="2"/>
    <s v="Bookcases"/>
    <s v="Product_430"/>
    <n v="4037.9"/>
    <n v="-265.77999999999997"/>
    <n v="0.23"/>
    <x v="0"/>
    <n v="-6.5821342777186154E-2"/>
    <x v="8"/>
    <n v="2022"/>
  </r>
  <r>
    <s v="O02223"/>
    <d v="2022-03-07T00:00:00"/>
    <x v="751"/>
    <x v="1"/>
    <x v="1"/>
    <s v="Accessories"/>
    <s v="Product_426"/>
    <n v="2240.36"/>
    <n v="-62.86"/>
    <n v="0.04"/>
    <x v="0"/>
    <n v="-2.8057990680069273E-2"/>
    <x v="6"/>
    <n v="2022"/>
  </r>
  <r>
    <s v="O02224"/>
    <d v="2022-09-30T00:00:00"/>
    <x v="643"/>
    <x v="2"/>
    <x v="2"/>
    <s v="Bookcases"/>
    <s v="Product_218"/>
    <n v="4283.37"/>
    <n v="-751.52"/>
    <n v="0.01"/>
    <x v="0"/>
    <n v="-0.17545063816574333"/>
    <x v="7"/>
    <n v="2022"/>
  </r>
  <r>
    <s v="O02225"/>
    <d v="2022-03-11T00:00:00"/>
    <x v="505"/>
    <x v="0"/>
    <x v="2"/>
    <s v="Tables"/>
    <s v="Product_229"/>
    <n v="4828.8999999999996"/>
    <n v="-1811.03"/>
    <n v="0.19"/>
    <x v="0"/>
    <n v="-0.37503986415125601"/>
    <x v="6"/>
    <n v="2022"/>
  </r>
  <r>
    <s v="O02226"/>
    <d v="2022-01-21T00:00:00"/>
    <x v="695"/>
    <x v="3"/>
    <x v="0"/>
    <s v="Paper"/>
    <s v="Product_300"/>
    <n v="3366.03"/>
    <n v="-298.26"/>
    <n v="0.04"/>
    <x v="0"/>
    <n v="-8.8608835928378524E-2"/>
    <x v="1"/>
    <n v="2022"/>
  </r>
  <r>
    <s v="O02227"/>
    <d v="2023-07-31T00:00:00"/>
    <x v="225"/>
    <x v="3"/>
    <x v="2"/>
    <s v="Bookcases"/>
    <s v="Product_294"/>
    <n v="3864.54"/>
    <n v="472.74"/>
    <n v="0.17"/>
    <x v="1"/>
    <n v="0.12232762502134795"/>
    <x v="2"/>
    <n v="2023"/>
  </r>
  <r>
    <s v="O02228"/>
    <d v="2022-06-26T00:00:00"/>
    <x v="513"/>
    <x v="3"/>
    <x v="2"/>
    <s v="Tables"/>
    <s v="Product_313"/>
    <n v="1321.52"/>
    <n v="-608.6"/>
    <n v="0.3"/>
    <x v="0"/>
    <n v="-0.46053029844421578"/>
    <x v="8"/>
    <n v="2022"/>
  </r>
  <r>
    <s v="O02229"/>
    <d v="2023-09-05T00:00:00"/>
    <x v="313"/>
    <x v="2"/>
    <x v="0"/>
    <s v="Storage"/>
    <s v="Product_402"/>
    <n v="285.7"/>
    <n v="2.27"/>
    <n v="0.18"/>
    <x v="1"/>
    <n v="7.9453972698634943E-3"/>
    <x v="7"/>
    <n v="2023"/>
  </r>
  <r>
    <s v="O02230"/>
    <d v="2022-07-23T00:00:00"/>
    <x v="680"/>
    <x v="2"/>
    <x v="0"/>
    <s v="Storage"/>
    <s v="Product_351"/>
    <n v="4949.5200000000004"/>
    <n v="-5.86"/>
    <n v="0.19"/>
    <x v="0"/>
    <n v="-1.1839531914205823E-3"/>
    <x v="2"/>
    <n v="2022"/>
  </r>
  <r>
    <s v="O02231"/>
    <d v="2023-02-25T00:00:00"/>
    <x v="568"/>
    <x v="0"/>
    <x v="2"/>
    <s v="Tables"/>
    <s v="Product_77"/>
    <n v="1972.88"/>
    <n v="-383.59"/>
    <n v="0.17"/>
    <x v="0"/>
    <n v="-0.19443149101820686"/>
    <x v="10"/>
    <n v="2023"/>
  </r>
  <r>
    <s v="O02232"/>
    <d v="2022-09-30T00:00:00"/>
    <x v="407"/>
    <x v="1"/>
    <x v="2"/>
    <s v="Tables"/>
    <s v="Product_426"/>
    <n v="1504.61"/>
    <n v="117.26"/>
    <n v="0.01"/>
    <x v="1"/>
    <n v="7.7933816736562966E-2"/>
    <x v="7"/>
    <n v="2022"/>
  </r>
  <r>
    <s v="O02233"/>
    <d v="2023-06-12T00:00:00"/>
    <x v="561"/>
    <x v="3"/>
    <x v="2"/>
    <s v="Tables"/>
    <s v="Product_299"/>
    <n v="2240.7800000000002"/>
    <n v="343.58"/>
    <n v="0.06"/>
    <x v="1"/>
    <n v="0.1533305366881175"/>
    <x v="8"/>
    <n v="2023"/>
  </r>
  <r>
    <s v="O02234"/>
    <d v="2023-12-30T00:00:00"/>
    <x v="357"/>
    <x v="1"/>
    <x v="0"/>
    <s v="Binders"/>
    <s v="Product_453"/>
    <n v="4978.79"/>
    <n v="-1599.21"/>
    <n v="0.13"/>
    <x v="0"/>
    <n v="-0.32120454969982665"/>
    <x v="4"/>
    <n v="2023"/>
  </r>
  <r>
    <s v="O02235"/>
    <d v="2023-04-17T00:00:00"/>
    <x v="27"/>
    <x v="1"/>
    <x v="1"/>
    <s v="Copiers"/>
    <s v="Product_55"/>
    <n v="783.88"/>
    <n v="-179.83"/>
    <n v="0.06"/>
    <x v="0"/>
    <n v="-0.2294101137929275"/>
    <x v="0"/>
    <n v="2023"/>
  </r>
  <r>
    <s v="O02236"/>
    <d v="2022-01-29T00:00:00"/>
    <x v="353"/>
    <x v="3"/>
    <x v="2"/>
    <s v="Tables"/>
    <s v="Product_49"/>
    <n v="369.12"/>
    <n v="55.08"/>
    <n v="0.05"/>
    <x v="1"/>
    <n v="0.14921976592977892"/>
    <x v="1"/>
    <n v="2022"/>
  </r>
  <r>
    <s v="O02237"/>
    <d v="2023-08-09T00:00:00"/>
    <x v="553"/>
    <x v="2"/>
    <x v="0"/>
    <s v="Binders"/>
    <s v="Product_462"/>
    <n v="1252.53"/>
    <n v="50.8"/>
    <n v="0.21"/>
    <x v="1"/>
    <n v="4.0557910788563946E-2"/>
    <x v="3"/>
    <n v="2023"/>
  </r>
  <r>
    <s v="O02238"/>
    <d v="2023-07-05T00:00:00"/>
    <x v="621"/>
    <x v="3"/>
    <x v="2"/>
    <s v="Chairs"/>
    <s v="Product_476"/>
    <n v="509.15"/>
    <n v="-161.16999999999999"/>
    <n v="0.13"/>
    <x v="0"/>
    <n v="-0.31654718648728269"/>
    <x v="2"/>
    <n v="2023"/>
  </r>
  <r>
    <s v="O02239"/>
    <d v="2023-07-14T00:00:00"/>
    <x v="752"/>
    <x v="3"/>
    <x v="0"/>
    <s v="Storage"/>
    <s v="Product_156"/>
    <n v="249.63"/>
    <n v="-101.76"/>
    <n v="0.25"/>
    <x v="0"/>
    <n v="-0.40764331210191085"/>
    <x v="2"/>
    <n v="2023"/>
  </r>
  <r>
    <s v="O02240"/>
    <d v="2022-12-31T00:00:00"/>
    <x v="746"/>
    <x v="1"/>
    <x v="0"/>
    <s v="Binders"/>
    <s v="Product_293"/>
    <n v="887.51"/>
    <n v="291.18"/>
    <n v="0.04"/>
    <x v="1"/>
    <n v="0.32808644409640458"/>
    <x v="4"/>
    <n v="2022"/>
  </r>
  <r>
    <s v="O02241"/>
    <d v="2022-03-05T00:00:00"/>
    <x v="185"/>
    <x v="3"/>
    <x v="1"/>
    <s v="Copiers"/>
    <s v="Product_277"/>
    <n v="1931.62"/>
    <n v="-302.38"/>
    <n v="0.28000000000000003"/>
    <x v="0"/>
    <n v="-0.15654217703274972"/>
    <x v="6"/>
    <n v="2022"/>
  </r>
  <r>
    <s v="O02242"/>
    <d v="2022-07-04T00:00:00"/>
    <x v="627"/>
    <x v="2"/>
    <x v="2"/>
    <s v="Tables"/>
    <s v="Product_289"/>
    <n v="2424.11"/>
    <n v="-687.92"/>
    <n v="0.14000000000000001"/>
    <x v="0"/>
    <n v="-0.28378250161915092"/>
    <x v="2"/>
    <n v="2022"/>
  </r>
  <r>
    <s v="O02243"/>
    <d v="2022-03-28T00:00:00"/>
    <x v="115"/>
    <x v="2"/>
    <x v="2"/>
    <s v="Tables"/>
    <s v="Product_346"/>
    <n v="3018.83"/>
    <n v="479.3"/>
    <n v="0.03"/>
    <x v="1"/>
    <n v="0.15877011954962686"/>
    <x v="6"/>
    <n v="2022"/>
  </r>
  <r>
    <s v="O02244"/>
    <d v="2023-06-01T00:00:00"/>
    <x v="563"/>
    <x v="2"/>
    <x v="0"/>
    <s v="Paper"/>
    <s v="Product_372"/>
    <n v="3978.17"/>
    <n v="-500.91"/>
    <n v="0.18"/>
    <x v="0"/>
    <n v="-0.12591467936262152"/>
    <x v="8"/>
    <n v="2023"/>
  </r>
  <r>
    <s v="O02245"/>
    <d v="2023-11-12T00:00:00"/>
    <x v="716"/>
    <x v="0"/>
    <x v="1"/>
    <s v="Copiers"/>
    <s v="Product_137"/>
    <n v="4722.0200000000004"/>
    <n v="513.55999999999995"/>
    <n v="0.2"/>
    <x v="1"/>
    <n v="0.10875853977746809"/>
    <x v="9"/>
    <n v="2023"/>
  </r>
  <r>
    <s v="O02246"/>
    <d v="2022-04-01T00:00:00"/>
    <x v="49"/>
    <x v="2"/>
    <x v="2"/>
    <s v="Bookcases"/>
    <s v="Product_58"/>
    <n v="1837.74"/>
    <n v="-468.27"/>
    <n v="0.21"/>
    <x v="0"/>
    <n v="-0.25480753534232264"/>
    <x v="0"/>
    <n v="2022"/>
  </r>
  <r>
    <s v="O02247"/>
    <d v="2022-07-01T00:00:00"/>
    <x v="558"/>
    <x v="3"/>
    <x v="1"/>
    <s v="Accessories"/>
    <s v="Product_346"/>
    <n v="315.7"/>
    <n v="-26.71"/>
    <n v="0.27"/>
    <x v="0"/>
    <n v="-8.4605638264174859E-2"/>
    <x v="2"/>
    <n v="2022"/>
  </r>
  <r>
    <s v="O02248"/>
    <d v="2022-04-20T00:00:00"/>
    <x v="707"/>
    <x v="2"/>
    <x v="0"/>
    <s v="Storage"/>
    <s v="Product_298"/>
    <n v="2835.12"/>
    <n v="-208.57"/>
    <n v="0.1"/>
    <x v="0"/>
    <n v="-7.3566550974914643E-2"/>
    <x v="0"/>
    <n v="2022"/>
  </r>
  <r>
    <s v="O02249"/>
    <d v="2023-09-12T00:00:00"/>
    <x v="359"/>
    <x v="3"/>
    <x v="0"/>
    <s v="Storage"/>
    <s v="Product_428"/>
    <n v="3241.77"/>
    <n v="434.39"/>
    <n v="0.05"/>
    <x v="1"/>
    <n v="0.13399778516057587"/>
    <x v="7"/>
    <n v="2023"/>
  </r>
  <r>
    <s v="O02250"/>
    <d v="2023-09-19T00:00:00"/>
    <x v="753"/>
    <x v="0"/>
    <x v="0"/>
    <s v="Paper"/>
    <s v="Product_137"/>
    <n v="1980.28"/>
    <n v="-220.01"/>
    <n v="7.0000000000000007E-2"/>
    <x v="0"/>
    <n v="-0.11110045044135172"/>
    <x v="7"/>
    <n v="2023"/>
  </r>
  <r>
    <s v="O02251"/>
    <d v="2023-07-29T00:00:00"/>
    <x v="324"/>
    <x v="0"/>
    <x v="1"/>
    <s v="Copiers"/>
    <s v="Product_198"/>
    <n v="1630.73"/>
    <n v="-347.4"/>
    <n v="0.02"/>
    <x v="0"/>
    <n v="-0.21303342674753023"/>
    <x v="2"/>
    <n v="2023"/>
  </r>
  <r>
    <s v="O02252"/>
    <d v="2023-10-08T00:00:00"/>
    <x v="214"/>
    <x v="3"/>
    <x v="2"/>
    <s v="Chairs"/>
    <s v="Product_278"/>
    <n v="4908.01"/>
    <n v="716.71"/>
    <n v="0.11"/>
    <x v="1"/>
    <n v="0.14602863482348244"/>
    <x v="5"/>
    <n v="2023"/>
  </r>
  <r>
    <s v="O02253"/>
    <d v="2022-08-16T00:00:00"/>
    <x v="438"/>
    <x v="2"/>
    <x v="0"/>
    <s v="Binders"/>
    <s v="Product_273"/>
    <n v="101.68"/>
    <n v="8.75"/>
    <n v="0.28999999999999998"/>
    <x v="1"/>
    <n v="8.6054287962234452E-2"/>
    <x v="3"/>
    <n v="2022"/>
  </r>
  <r>
    <s v="O02254"/>
    <d v="2022-09-22T00:00:00"/>
    <x v="414"/>
    <x v="2"/>
    <x v="0"/>
    <s v="Storage"/>
    <s v="Product_78"/>
    <n v="1216.97"/>
    <n v="62.73"/>
    <n v="0.01"/>
    <x v="1"/>
    <n v="5.1546052901879254E-2"/>
    <x v="7"/>
    <n v="2022"/>
  </r>
  <r>
    <s v="O02255"/>
    <d v="2022-03-06T00:00:00"/>
    <x v="416"/>
    <x v="3"/>
    <x v="0"/>
    <s v="Paper"/>
    <s v="Product_38"/>
    <n v="3049.52"/>
    <n v="-630.54"/>
    <n v="0.02"/>
    <x v="0"/>
    <n v="-0.20676696660458038"/>
    <x v="6"/>
    <n v="2022"/>
  </r>
  <r>
    <s v="O02256"/>
    <d v="2023-01-02T00:00:00"/>
    <x v="734"/>
    <x v="1"/>
    <x v="2"/>
    <s v="Chairs"/>
    <s v="Product_421"/>
    <n v="2973.84"/>
    <n v="14.46"/>
    <n v="0.23"/>
    <x v="1"/>
    <n v="4.8624001291259784E-3"/>
    <x v="1"/>
    <n v="2023"/>
  </r>
  <r>
    <s v="O02257"/>
    <d v="2023-02-22T00:00:00"/>
    <x v="609"/>
    <x v="3"/>
    <x v="2"/>
    <s v="Bookcases"/>
    <s v="Product_96"/>
    <n v="2096.16"/>
    <n v="31.58"/>
    <n v="7.0000000000000007E-2"/>
    <x v="1"/>
    <n v="1.5065643843981376E-2"/>
    <x v="10"/>
    <n v="2023"/>
  </r>
  <r>
    <s v="O02258"/>
    <d v="2023-02-15T00:00:00"/>
    <x v="654"/>
    <x v="0"/>
    <x v="2"/>
    <s v="Chairs"/>
    <s v="Product_466"/>
    <n v="4599.92"/>
    <n v="30.48"/>
    <n v="0.1"/>
    <x v="1"/>
    <n v="6.6262021948207796E-3"/>
    <x v="10"/>
    <n v="2023"/>
  </r>
  <r>
    <s v="O02259"/>
    <d v="2022-05-29T00:00:00"/>
    <x v="688"/>
    <x v="0"/>
    <x v="2"/>
    <s v="Tables"/>
    <s v="Product_316"/>
    <n v="4541.5"/>
    <n v="-448.46"/>
    <n v="0.08"/>
    <x v="0"/>
    <n v="-9.8747109985687545E-2"/>
    <x v="11"/>
    <n v="2022"/>
  </r>
  <r>
    <s v="O02260"/>
    <d v="2022-10-24T00:00:00"/>
    <x v="574"/>
    <x v="0"/>
    <x v="2"/>
    <s v="Tables"/>
    <s v="Product_404"/>
    <n v="1657.63"/>
    <n v="-155.9"/>
    <n v="0.01"/>
    <x v="0"/>
    <n v="-9.4049938768000094E-2"/>
    <x v="5"/>
    <n v="2022"/>
  </r>
  <r>
    <s v="O02261"/>
    <d v="2023-05-11T00:00:00"/>
    <x v="30"/>
    <x v="0"/>
    <x v="0"/>
    <s v="Paper"/>
    <s v="Product_396"/>
    <n v="2070.12"/>
    <n v="483.09"/>
    <n v="0.02"/>
    <x v="1"/>
    <n v="0.23336328328792533"/>
    <x v="11"/>
    <n v="2023"/>
  </r>
  <r>
    <s v="O02262"/>
    <d v="2023-07-14T00:00:00"/>
    <x v="353"/>
    <x v="0"/>
    <x v="0"/>
    <s v="Binders"/>
    <s v="Product_280"/>
    <n v="3530.95"/>
    <n v="-127.32"/>
    <n v="0.18"/>
    <x v="0"/>
    <n v="-3.6058284597629532E-2"/>
    <x v="2"/>
    <n v="2023"/>
  </r>
  <r>
    <s v="O02263"/>
    <d v="2022-05-29T00:00:00"/>
    <x v="203"/>
    <x v="3"/>
    <x v="0"/>
    <s v="Storage"/>
    <s v="Product_41"/>
    <n v="113.97"/>
    <n v="20.51"/>
    <n v="0.12"/>
    <x v="1"/>
    <n v="0.17995963850136001"/>
    <x v="11"/>
    <n v="2022"/>
  </r>
  <r>
    <s v="O02264"/>
    <d v="2022-08-20T00:00:00"/>
    <x v="590"/>
    <x v="1"/>
    <x v="1"/>
    <s v="Accessories"/>
    <s v="Product_471"/>
    <n v="2127.13"/>
    <n v="-823.73"/>
    <n v="0.25"/>
    <x v="0"/>
    <n v="-0.38724948639716422"/>
    <x v="3"/>
    <n v="2022"/>
  </r>
  <r>
    <s v="O02265"/>
    <d v="2023-11-11T00:00:00"/>
    <x v="64"/>
    <x v="1"/>
    <x v="1"/>
    <s v="Copiers"/>
    <s v="Product_358"/>
    <n v="1945.01"/>
    <n v="-51.91"/>
    <n v="0.08"/>
    <x v="0"/>
    <n v="-2.6688808797898211E-2"/>
    <x v="9"/>
    <n v="2023"/>
  </r>
  <r>
    <s v="O02266"/>
    <d v="2023-06-03T00:00:00"/>
    <x v="423"/>
    <x v="3"/>
    <x v="0"/>
    <s v="Paper"/>
    <s v="Product_353"/>
    <n v="3512.75"/>
    <n v="-607.80999999999995"/>
    <n v="0.16"/>
    <x v="0"/>
    <n v="-0.17302967760301757"/>
    <x v="8"/>
    <n v="2023"/>
  </r>
  <r>
    <s v="O02267"/>
    <d v="2023-11-07T00:00:00"/>
    <x v="144"/>
    <x v="0"/>
    <x v="2"/>
    <s v="Tables"/>
    <s v="Product_64"/>
    <n v="1767.4"/>
    <n v="-162.37"/>
    <n v="0.08"/>
    <x v="0"/>
    <n v="-9.1869412696616498E-2"/>
    <x v="9"/>
    <n v="2023"/>
  </r>
  <r>
    <s v="O02268"/>
    <d v="2023-12-05T00:00:00"/>
    <x v="179"/>
    <x v="2"/>
    <x v="0"/>
    <s v="Binders"/>
    <s v="Product_185"/>
    <n v="3639.67"/>
    <n v="-1327.92"/>
    <n v="0.2"/>
    <x v="0"/>
    <n v="-0.36484626353488092"/>
    <x v="4"/>
    <n v="2023"/>
  </r>
  <r>
    <s v="O02269"/>
    <d v="2022-04-27T00:00:00"/>
    <x v="477"/>
    <x v="2"/>
    <x v="2"/>
    <s v="Bookcases"/>
    <s v="Product_41"/>
    <n v="4650.87"/>
    <n v="-2061.7600000000002"/>
    <n v="0.27"/>
    <x v="0"/>
    <n v="-0.44330630613197108"/>
    <x v="0"/>
    <n v="2022"/>
  </r>
  <r>
    <s v="O02270"/>
    <d v="2023-07-23T00:00:00"/>
    <x v="414"/>
    <x v="1"/>
    <x v="1"/>
    <s v="Copiers"/>
    <s v="Product_216"/>
    <n v="3668.17"/>
    <n v="321.35000000000002"/>
    <n v="7.0000000000000007E-2"/>
    <x v="1"/>
    <n v="8.7604991044580818E-2"/>
    <x v="2"/>
    <n v="2023"/>
  </r>
  <r>
    <s v="O02271"/>
    <d v="2023-06-12T00:00:00"/>
    <x v="585"/>
    <x v="3"/>
    <x v="1"/>
    <s v="Phones"/>
    <s v="Product_168"/>
    <n v="2112.87"/>
    <n v="-706.84"/>
    <n v="0.21"/>
    <x v="0"/>
    <n v="-0.3345402225409041"/>
    <x v="8"/>
    <n v="2023"/>
  </r>
  <r>
    <s v="O02272"/>
    <d v="2023-09-01T00:00:00"/>
    <x v="665"/>
    <x v="3"/>
    <x v="1"/>
    <s v="Copiers"/>
    <s v="Product_414"/>
    <n v="373.48"/>
    <n v="-119.7"/>
    <n v="0.15"/>
    <x v="0"/>
    <n v="-0.32049908964335438"/>
    <x v="7"/>
    <n v="2023"/>
  </r>
  <r>
    <s v="O02273"/>
    <d v="2022-10-28T00:00:00"/>
    <x v="754"/>
    <x v="2"/>
    <x v="2"/>
    <s v="Tables"/>
    <s v="Product_350"/>
    <n v="2698.73"/>
    <n v="-708.8"/>
    <n v="0.17"/>
    <x v="0"/>
    <n v="-0.26264205756040804"/>
    <x v="5"/>
    <n v="2022"/>
  </r>
  <r>
    <s v="O02274"/>
    <d v="2023-02-25T00:00:00"/>
    <x v="58"/>
    <x v="3"/>
    <x v="1"/>
    <s v="Copiers"/>
    <s v="Product_405"/>
    <n v="4321.66"/>
    <n v="-523.77"/>
    <n v="0.18"/>
    <x v="0"/>
    <n v="-0.12119648468412601"/>
    <x v="10"/>
    <n v="2023"/>
  </r>
  <r>
    <s v="O02275"/>
    <d v="2022-11-19T00:00:00"/>
    <x v="19"/>
    <x v="3"/>
    <x v="1"/>
    <s v="Accessories"/>
    <s v="Product_251"/>
    <n v="892.96"/>
    <n v="97.19"/>
    <n v="0.25"/>
    <x v="1"/>
    <n v="0.10884026160186346"/>
    <x v="9"/>
    <n v="2022"/>
  </r>
  <r>
    <s v="O02276"/>
    <d v="2022-11-12T00:00:00"/>
    <x v="698"/>
    <x v="3"/>
    <x v="1"/>
    <s v="Accessories"/>
    <s v="Product_494"/>
    <n v="2733.84"/>
    <n v="165.05"/>
    <n v="0.01"/>
    <x v="1"/>
    <n v="6.0372955257074298E-2"/>
    <x v="9"/>
    <n v="2022"/>
  </r>
  <r>
    <s v="O02277"/>
    <d v="2022-05-14T00:00:00"/>
    <x v="700"/>
    <x v="3"/>
    <x v="2"/>
    <s v="Chairs"/>
    <s v="Product_133"/>
    <n v="3928.17"/>
    <n v="-1660.3"/>
    <n v="0.24"/>
    <x v="0"/>
    <n v="-0.42266500686070102"/>
    <x v="11"/>
    <n v="2022"/>
  </r>
  <r>
    <s v="O02278"/>
    <d v="2023-03-05T00:00:00"/>
    <x v="599"/>
    <x v="3"/>
    <x v="1"/>
    <s v="Accessories"/>
    <s v="Product_28"/>
    <n v="3938.07"/>
    <n v="-1375.98"/>
    <n v="0.26"/>
    <x v="0"/>
    <n v="-0.34940465761146955"/>
    <x v="6"/>
    <n v="2023"/>
  </r>
  <r>
    <s v="O02279"/>
    <d v="2022-02-24T00:00:00"/>
    <x v="281"/>
    <x v="2"/>
    <x v="2"/>
    <s v="Tables"/>
    <s v="Product_83"/>
    <n v="3199.86"/>
    <n v="-549.69000000000005"/>
    <n v="0.18"/>
    <x v="0"/>
    <n v="-0.1717856406217772"/>
    <x v="10"/>
    <n v="2022"/>
  </r>
  <r>
    <s v="O02280"/>
    <d v="2023-04-08T00:00:00"/>
    <x v="742"/>
    <x v="2"/>
    <x v="2"/>
    <s v="Chairs"/>
    <s v="Product_356"/>
    <n v="957.05"/>
    <n v="275.60000000000002"/>
    <n v="0.09"/>
    <x v="1"/>
    <n v="0.28796823572436137"/>
    <x v="0"/>
    <n v="2023"/>
  </r>
  <r>
    <s v="O02281"/>
    <d v="2022-03-10T00:00:00"/>
    <x v="533"/>
    <x v="0"/>
    <x v="0"/>
    <s v="Paper"/>
    <s v="Product_54"/>
    <n v="1622.02"/>
    <n v="-81.739999999999995"/>
    <n v="0.04"/>
    <x v="0"/>
    <n v="-5.0393953218825907E-2"/>
    <x v="6"/>
    <n v="2022"/>
  </r>
  <r>
    <s v="O02282"/>
    <d v="2023-05-31T00:00:00"/>
    <x v="264"/>
    <x v="2"/>
    <x v="2"/>
    <s v="Chairs"/>
    <s v="Product_31"/>
    <n v="1476.56"/>
    <n v="-656.51"/>
    <n v="0.3"/>
    <x v="0"/>
    <n v="-0.44462128189846672"/>
    <x v="11"/>
    <n v="2023"/>
  </r>
  <r>
    <s v="O02283"/>
    <d v="2023-02-10T00:00:00"/>
    <x v="580"/>
    <x v="2"/>
    <x v="2"/>
    <s v="Bookcases"/>
    <s v="Product_287"/>
    <n v="173.57"/>
    <n v="-5.25"/>
    <n v="0.14000000000000001"/>
    <x v="0"/>
    <n v="-3.0247162528086652E-2"/>
    <x v="10"/>
    <n v="2023"/>
  </r>
  <r>
    <s v="O02284"/>
    <d v="2023-01-02T00:00:00"/>
    <x v="111"/>
    <x v="0"/>
    <x v="2"/>
    <s v="Chairs"/>
    <s v="Product_477"/>
    <n v="4385.63"/>
    <n v="470.64"/>
    <n v="0.05"/>
    <x v="1"/>
    <n v="0.10731411450578365"/>
    <x v="1"/>
    <n v="2023"/>
  </r>
  <r>
    <s v="O02285"/>
    <d v="2022-06-18T00:00:00"/>
    <x v="426"/>
    <x v="2"/>
    <x v="1"/>
    <s v="Accessories"/>
    <s v="Product_39"/>
    <n v="761.06"/>
    <n v="42.25"/>
    <n v="0.22"/>
    <x v="1"/>
    <n v="5.5514676898010672E-2"/>
    <x v="8"/>
    <n v="2022"/>
  </r>
  <r>
    <s v="O02286"/>
    <d v="2022-09-15T00:00:00"/>
    <x v="293"/>
    <x v="2"/>
    <x v="2"/>
    <s v="Bookcases"/>
    <s v="Product_176"/>
    <n v="643.45000000000005"/>
    <n v="-82.15"/>
    <n v="0.05"/>
    <x v="0"/>
    <n v="-0.1276711477193255"/>
    <x v="7"/>
    <n v="2022"/>
  </r>
  <r>
    <s v="O02287"/>
    <d v="2023-06-30T00:00:00"/>
    <x v="565"/>
    <x v="2"/>
    <x v="2"/>
    <s v="Tables"/>
    <s v="Product_284"/>
    <n v="1794.02"/>
    <n v="-266.37"/>
    <n v="0.18"/>
    <x v="0"/>
    <n v="-0.14847660561197756"/>
    <x v="8"/>
    <n v="2023"/>
  </r>
  <r>
    <s v="O02288"/>
    <d v="2022-06-29T00:00:00"/>
    <x v="468"/>
    <x v="1"/>
    <x v="1"/>
    <s v="Copiers"/>
    <s v="Product_64"/>
    <n v="927.14"/>
    <n v="63.78"/>
    <n v="0.3"/>
    <x v="1"/>
    <n v="6.8792199667795595E-2"/>
    <x v="8"/>
    <n v="2022"/>
  </r>
  <r>
    <s v="O02289"/>
    <d v="2022-09-17T00:00:00"/>
    <x v="151"/>
    <x v="3"/>
    <x v="0"/>
    <s v="Storage"/>
    <s v="Product_25"/>
    <n v="3504.11"/>
    <n v="-264.27999999999997"/>
    <n v="7.0000000000000007E-2"/>
    <x v="0"/>
    <n v="-7.5420006792024208E-2"/>
    <x v="7"/>
    <n v="2022"/>
  </r>
  <r>
    <s v="O02290"/>
    <d v="2022-10-20T00:00:00"/>
    <x v="94"/>
    <x v="2"/>
    <x v="2"/>
    <s v="Bookcases"/>
    <s v="Product_174"/>
    <n v="4728.41"/>
    <n v="528.13"/>
    <n v="0.08"/>
    <x v="1"/>
    <n v="0.11169293694920703"/>
    <x v="5"/>
    <n v="2022"/>
  </r>
  <r>
    <s v="O02291"/>
    <d v="2022-05-24T00:00:00"/>
    <x v="165"/>
    <x v="1"/>
    <x v="0"/>
    <s v="Binders"/>
    <s v="Product_479"/>
    <n v="4362.3599999999997"/>
    <n v="-1762.3"/>
    <n v="0.25"/>
    <x v="0"/>
    <n v="-0.40397858040143408"/>
    <x v="11"/>
    <n v="2022"/>
  </r>
  <r>
    <s v="O02292"/>
    <d v="2023-05-19T00:00:00"/>
    <x v="755"/>
    <x v="0"/>
    <x v="0"/>
    <s v="Paper"/>
    <s v="Product_231"/>
    <n v="1498.78"/>
    <n v="148.69"/>
    <n v="0.16"/>
    <x v="1"/>
    <n v="9.9207355315656734E-2"/>
    <x v="11"/>
    <n v="2023"/>
  </r>
  <r>
    <s v="O02293"/>
    <d v="2023-10-19T00:00:00"/>
    <x v="740"/>
    <x v="1"/>
    <x v="1"/>
    <s v="Accessories"/>
    <s v="Product_251"/>
    <n v="3844.37"/>
    <n v="-361.06"/>
    <n v="7.0000000000000007E-2"/>
    <x v="0"/>
    <n v="-9.3919159706271765E-2"/>
    <x v="5"/>
    <n v="2023"/>
  </r>
  <r>
    <s v="O02294"/>
    <d v="2023-12-03T00:00:00"/>
    <x v="247"/>
    <x v="0"/>
    <x v="2"/>
    <s v="Chairs"/>
    <s v="Product_460"/>
    <n v="1038.98"/>
    <n v="-131.6"/>
    <n v="0.25"/>
    <x v="0"/>
    <n v="-0.12666268840593659"/>
    <x v="4"/>
    <n v="2023"/>
  </r>
  <r>
    <s v="O02295"/>
    <d v="2022-03-10T00:00:00"/>
    <x v="691"/>
    <x v="2"/>
    <x v="1"/>
    <s v="Accessories"/>
    <s v="Product_493"/>
    <n v="3599.66"/>
    <n v="-1308.5999999999999"/>
    <n v="0.2"/>
    <x v="0"/>
    <n v="-0.36353433379819206"/>
    <x v="6"/>
    <n v="2022"/>
  </r>
  <r>
    <s v="O02296"/>
    <d v="2023-01-31T00:00:00"/>
    <x v="298"/>
    <x v="1"/>
    <x v="2"/>
    <s v="Chairs"/>
    <s v="Product_167"/>
    <n v="1349.16"/>
    <n v="-395.82"/>
    <n v="0.21"/>
    <x v="0"/>
    <n v="-0.29338254914168815"/>
    <x v="1"/>
    <n v="2023"/>
  </r>
  <r>
    <s v="O02297"/>
    <d v="2022-08-23T00:00:00"/>
    <x v="22"/>
    <x v="1"/>
    <x v="0"/>
    <s v="Storage"/>
    <s v="Product_452"/>
    <n v="2564.9"/>
    <n v="344.92"/>
    <n v="0.04"/>
    <x v="1"/>
    <n v="0.13447697765994776"/>
    <x v="3"/>
    <n v="2022"/>
  </r>
  <r>
    <s v="O02298"/>
    <d v="2023-10-12T00:00:00"/>
    <x v="212"/>
    <x v="0"/>
    <x v="1"/>
    <s v="Phones"/>
    <s v="Product_264"/>
    <n v="275.24"/>
    <n v="-16.510000000000002"/>
    <n v="0.28000000000000003"/>
    <x v="0"/>
    <n v="-5.9984013951460545E-2"/>
    <x v="5"/>
    <n v="2023"/>
  </r>
  <r>
    <s v="O02299"/>
    <d v="2023-06-11T00:00:00"/>
    <x v="723"/>
    <x v="2"/>
    <x v="2"/>
    <s v="Bookcases"/>
    <s v="Product_177"/>
    <n v="4375.68"/>
    <n v="-117.73"/>
    <n v="0.13"/>
    <x v="0"/>
    <n v="-2.6905532397250256E-2"/>
    <x v="8"/>
    <n v="2023"/>
  </r>
  <r>
    <s v="O02300"/>
    <d v="2022-09-25T00:00:00"/>
    <x v="688"/>
    <x v="2"/>
    <x v="2"/>
    <s v="Tables"/>
    <s v="Product_28"/>
    <n v="1345.1"/>
    <n v="125.51"/>
    <n v="0.28000000000000003"/>
    <x v="1"/>
    <n v="9.3309047654449487E-2"/>
    <x v="7"/>
    <n v="2022"/>
  </r>
  <r>
    <s v="O02301"/>
    <d v="2023-05-02T00:00:00"/>
    <x v="160"/>
    <x v="1"/>
    <x v="0"/>
    <s v="Binders"/>
    <s v="Product_231"/>
    <n v="4115.3"/>
    <n v="-193.17"/>
    <n v="0.26"/>
    <x v="0"/>
    <n v="-4.6939469783490867E-2"/>
    <x v="11"/>
    <n v="2023"/>
  </r>
  <r>
    <s v="O02302"/>
    <d v="2023-11-17T00:00:00"/>
    <x v="182"/>
    <x v="1"/>
    <x v="0"/>
    <s v="Storage"/>
    <s v="Product_330"/>
    <n v="625.04999999999995"/>
    <n v="0.34"/>
    <n v="0.19"/>
    <x v="1"/>
    <n v="5.4395648348132155E-4"/>
    <x v="9"/>
    <n v="2023"/>
  </r>
  <r>
    <s v="O02303"/>
    <d v="2023-11-08T00:00:00"/>
    <x v="596"/>
    <x v="2"/>
    <x v="0"/>
    <s v="Binders"/>
    <s v="Product_412"/>
    <n v="820.71"/>
    <n v="-31.68"/>
    <n v="0.14000000000000001"/>
    <x v="0"/>
    <n v="-3.8600723763570564E-2"/>
    <x v="9"/>
    <n v="2023"/>
  </r>
  <r>
    <s v="O02304"/>
    <d v="2022-06-08T00:00:00"/>
    <x v="147"/>
    <x v="0"/>
    <x v="0"/>
    <s v="Storage"/>
    <s v="Product_157"/>
    <n v="2938.47"/>
    <n v="-538.87"/>
    <n v="0.3"/>
    <x v="0"/>
    <n v="-0.18338455046333638"/>
    <x v="8"/>
    <n v="2022"/>
  </r>
  <r>
    <s v="O02305"/>
    <d v="2022-10-08T00:00:00"/>
    <x v="555"/>
    <x v="1"/>
    <x v="1"/>
    <s v="Accessories"/>
    <s v="Product_130"/>
    <n v="2936"/>
    <n v="139.77000000000001"/>
    <n v="0.04"/>
    <x v="1"/>
    <n v="4.7605585831062676E-2"/>
    <x v="5"/>
    <n v="2022"/>
  </r>
  <r>
    <s v="O02306"/>
    <d v="2023-09-05T00:00:00"/>
    <x v="27"/>
    <x v="2"/>
    <x v="1"/>
    <s v="Phones"/>
    <s v="Product_364"/>
    <n v="278.5"/>
    <n v="57.74"/>
    <n v="0.03"/>
    <x v="1"/>
    <n v="0.2073249551166966"/>
    <x v="7"/>
    <n v="2023"/>
  </r>
  <r>
    <s v="O02307"/>
    <d v="2023-10-27T00:00:00"/>
    <x v="85"/>
    <x v="2"/>
    <x v="1"/>
    <s v="Phones"/>
    <s v="Product_84"/>
    <n v="1412.22"/>
    <n v="40.93"/>
    <n v="0.27"/>
    <x v="1"/>
    <n v="2.8982736400844061E-2"/>
    <x v="5"/>
    <n v="2023"/>
  </r>
  <r>
    <s v="O02308"/>
    <d v="2022-04-26T00:00:00"/>
    <x v="336"/>
    <x v="2"/>
    <x v="0"/>
    <s v="Binders"/>
    <s v="Product_16"/>
    <n v="1267.51"/>
    <n v="-442.91"/>
    <n v="0.24"/>
    <x v="0"/>
    <n v="-0.34943314056693836"/>
    <x v="0"/>
    <n v="2022"/>
  </r>
  <r>
    <s v="O02309"/>
    <d v="2023-06-14T00:00:00"/>
    <x v="178"/>
    <x v="0"/>
    <x v="1"/>
    <s v="Phones"/>
    <s v="Product_365"/>
    <n v="4724.1400000000003"/>
    <n v="1039.52"/>
    <n v="0.17"/>
    <x v="1"/>
    <n v="0.22004428319228472"/>
    <x v="8"/>
    <n v="2023"/>
  </r>
  <r>
    <s v="O02310"/>
    <d v="2022-04-30T00:00:00"/>
    <x v="657"/>
    <x v="1"/>
    <x v="0"/>
    <s v="Storage"/>
    <s v="Product_118"/>
    <n v="4628.2"/>
    <n v="-820.69"/>
    <n v="0.05"/>
    <x v="0"/>
    <n v="-0.1773237975886954"/>
    <x v="0"/>
    <n v="2022"/>
  </r>
  <r>
    <s v="O02311"/>
    <d v="2023-03-21T00:00:00"/>
    <x v="756"/>
    <x v="0"/>
    <x v="2"/>
    <s v="Chairs"/>
    <s v="Product_24"/>
    <n v="179.76"/>
    <n v="-32.08"/>
    <n v="0.21"/>
    <x v="0"/>
    <n v="-0.17846016911437473"/>
    <x v="6"/>
    <n v="2023"/>
  </r>
  <r>
    <s v="O02312"/>
    <d v="2023-11-24T00:00:00"/>
    <x v="580"/>
    <x v="2"/>
    <x v="2"/>
    <s v="Bookcases"/>
    <s v="Product_63"/>
    <n v="4222.25"/>
    <n v="594.08000000000004"/>
    <n v="0.18"/>
    <x v="1"/>
    <n v="0.14070223222215644"/>
    <x v="9"/>
    <n v="2023"/>
  </r>
  <r>
    <s v="O02313"/>
    <d v="2022-04-06T00:00:00"/>
    <x v="88"/>
    <x v="0"/>
    <x v="2"/>
    <s v="Bookcases"/>
    <s v="Product_470"/>
    <n v="509.7"/>
    <n v="-33.840000000000003"/>
    <n v="0.09"/>
    <x v="0"/>
    <n v="-6.6391995291347858E-2"/>
    <x v="0"/>
    <n v="2022"/>
  </r>
  <r>
    <s v="O02314"/>
    <d v="2022-09-07T00:00:00"/>
    <x v="606"/>
    <x v="0"/>
    <x v="0"/>
    <s v="Binders"/>
    <s v="Product_302"/>
    <n v="4498.93"/>
    <n v="-442.72"/>
    <n v="0.09"/>
    <x v="0"/>
    <n v="-9.8405620892078785E-2"/>
    <x v="7"/>
    <n v="2022"/>
  </r>
  <r>
    <s v="O02315"/>
    <d v="2023-07-18T00:00:00"/>
    <x v="606"/>
    <x v="1"/>
    <x v="0"/>
    <s v="Binders"/>
    <s v="Product_100"/>
    <n v="3952.23"/>
    <n v="750.22"/>
    <n v="0.08"/>
    <x v="1"/>
    <n v="0.18982194862141122"/>
    <x v="2"/>
    <n v="2023"/>
  </r>
  <r>
    <s v="O02316"/>
    <d v="2023-11-24T00:00:00"/>
    <x v="383"/>
    <x v="0"/>
    <x v="1"/>
    <s v="Accessories"/>
    <s v="Product_2"/>
    <n v="2102.4699999999998"/>
    <n v="-631.09"/>
    <n v="0.28999999999999998"/>
    <x v="0"/>
    <n v="-0.30016599523417697"/>
    <x v="9"/>
    <n v="2023"/>
  </r>
  <r>
    <s v="O02317"/>
    <d v="2023-02-18T00:00:00"/>
    <x v="419"/>
    <x v="0"/>
    <x v="2"/>
    <s v="Bookcases"/>
    <s v="Product_190"/>
    <n v="3888.16"/>
    <n v="1132.1600000000001"/>
    <n v="0.01"/>
    <x v="1"/>
    <n v="0.2911814328628452"/>
    <x v="10"/>
    <n v="2023"/>
  </r>
  <r>
    <s v="O02318"/>
    <d v="2022-03-18T00:00:00"/>
    <x v="319"/>
    <x v="0"/>
    <x v="1"/>
    <s v="Accessories"/>
    <s v="Product_463"/>
    <n v="4767.2299999999996"/>
    <n v="-560.04999999999995"/>
    <n v="0.18"/>
    <x v="0"/>
    <n v="-0.11747912309664103"/>
    <x v="6"/>
    <n v="2022"/>
  </r>
  <r>
    <s v="O02319"/>
    <d v="2023-03-09T00:00:00"/>
    <x v="421"/>
    <x v="0"/>
    <x v="0"/>
    <s v="Binders"/>
    <s v="Product_38"/>
    <n v="2235.9699999999998"/>
    <n v="-198.86"/>
    <n v="0.28999999999999998"/>
    <x v="0"/>
    <n v="-8.8936792532994649E-2"/>
    <x v="6"/>
    <n v="2023"/>
  </r>
  <r>
    <s v="O02320"/>
    <d v="2023-12-27T00:00:00"/>
    <x v="156"/>
    <x v="1"/>
    <x v="2"/>
    <s v="Bookcases"/>
    <s v="Product_145"/>
    <n v="2025.64"/>
    <n v="426.4"/>
    <n v="0.11"/>
    <x v="1"/>
    <n v="0.21050137240575817"/>
    <x v="4"/>
    <n v="2023"/>
  </r>
  <r>
    <s v="O02321"/>
    <d v="2023-08-29T00:00:00"/>
    <x v="421"/>
    <x v="2"/>
    <x v="2"/>
    <s v="Tables"/>
    <s v="Product_22"/>
    <n v="2754.1"/>
    <n v="381.36"/>
    <n v="0.03"/>
    <x v="1"/>
    <n v="0.13846991757743002"/>
    <x v="3"/>
    <n v="2023"/>
  </r>
  <r>
    <s v="O02322"/>
    <d v="2023-03-17T00:00:00"/>
    <x v="674"/>
    <x v="1"/>
    <x v="0"/>
    <s v="Storage"/>
    <s v="Product_151"/>
    <n v="173.72"/>
    <n v="4.54"/>
    <n v="0.23"/>
    <x v="1"/>
    <n v="2.6134008749712181E-2"/>
    <x v="6"/>
    <n v="2023"/>
  </r>
  <r>
    <s v="O02323"/>
    <d v="2023-02-19T00:00:00"/>
    <x v="708"/>
    <x v="2"/>
    <x v="0"/>
    <s v="Binders"/>
    <s v="Product_311"/>
    <n v="1951.81"/>
    <n v="-158.56"/>
    <n v="0.22"/>
    <x v="0"/>
    <n v="-8.12374155271261E-2"/>
    <x v="10"/>
    <n v="2023"/>
  </r>
  <r>
    <s v="O02324"/>
    <d v="2023-06-17T00:00:00"/>
    <x v="716"/>
    <x v="0"/>
    <x v="1"/>
    <s v="Phones"/>
    <s v="Product_242"/>
    <n v="2686.98"/>
    <n v="-67.66"/>
    <n v="0.16"/>
    <x v="0"/>
    <n v="-2.5180686123454584E-2"/>
    <x v="8"/>
    <n v="2023"/>
  </r>
  <r>
    <s v="O02325"/>
    <d v="2023-01-08T00:00:00"/>
    <x v="142"/>
    <x v="3"/>
    <x v="0"/>
    <s v="Storage"/>
    <s v="Product_412"/>
    <n v="3336.02"/>
    <n v="62.11"/>
    <n v="0.15"/>
    <x v="1"/>
    <n v="1.8617993896919083E-2"/>
    <x v="1"/>
    <n v="2023"/>
  </r>
  <r>
    <s v="O02326"/>
    <d v="2023-04-11T00:00:00"/>
    <x v="242"/>
    <x v="0"/>
    <x v="0"/>
    <s v="Paper"/>
    <s v="Product_355"/>
    <n v="984.99"/>
    <n v="-289.07"/>
    <n v="0.14000000000000001"/>
    <x v="0"/>
    <n v="-0.29347506066051432"/>
    <x v="0"/>
    <n v="2023"/>
  </r>
  <r>
    <s v="O02327"/>
    <d v="2023-12-20T00:00:00"/>
    <x v="147"/>
    <x v="3"/>
    <x v="0"/>
    <s v="Binders"/>
    <s v="Product_233"/>
    <n v="719.87"/>
    <n v="-288.22000000000003"/>
    <n v="0.28000000000000003"/>
    <x v="0"/>
    <n v="-0.40037784599997223"/>
    <x v="4"/>
    <n v="2023"/>
  </r>
  <r>
    <s v="O02328"/>
    <d v="2022-01-16T00:00:00"/>
    <x v="116"/>
    <x v="0"/>
    <x v="0"/>
    <s v="Storage"/>
    <s v="Product_284"/>
    <n v="2928.83"/>
    <n v="-989.76"/>
    <n v="0.25"/>
    <x v="0"/>
    <n v="-0.33793699190461723"/>
    <x v="1"/>
    <n v="2022"/>
  </r>
  <r>
    <s v="O02329"/>
    <d v="2023-04-18T00:00:00"/>
    <x v="556"/>
    <x v="3"/>
    <x v="2"/>
    <s v="Bookcases"/>
    <s v="Product_262"/>
    <n v="1905.86"/>
    <n v="-374.11"/>
    <n v="0.04"/>
    <x v="0"/>
    <n v="-0.1962945861710724"/>
    <x v="0"/>
    <n v="2023"/>
  </r>
  <r>
    <s v="O02330"/>
    <d v="2023-11-19T00:00:00"/>
    <x v="30"/>
    <x v="1"/>
    <x v="1"/>
    <s v="Phones"/>
    <s v="Product_250"/>
    <n v="2356.8000000000002"/>
    <n v="197.12"/>
    <n v="0.14000000000000001"/>
    <x v="1"/>
    <n v="8.3638832315003395E-2"/>
    <x v="9"/>
    <n v="2023"/>
  </r>
  <r>
    <s v="O02331"/>
    <d v="2023-11-21T00:00:00"/>
    <x v="583"/>
    <x v="1"/>
    <x v="1"/>
    <s v="Accessories"/>
    <s v="Product_144"/>
    <n v="3050.4"/>
    <n v="-1165.43"/>
    <n v="0.24"/>
    <x v="0"/>
    <n v="-0.38205809074219776"/>
    <x v="9"/>
    <n v="2023"/>
  </r>
  <r>
    <s v="O02332"/>
    <d v="2022-09-30T00:00:00"/>
    <x v="570"/>
    <x v="1"/>
    <x v="2"/>
    <s v="Bookcases"/>
    <s v="Product_73"/>
    <n v="3592.57"/>
    <n v="-852.65"/>
    <n v="0.12"/>
    <x v="0"/>
    <n v="-0.2373370595423332"/>
    <x v="7"/>
    <n v="2022"/>
  </r>
  <r>
    <s v="O02333"/>
    <d v="2023-12-26T00:00:00"/>
    <x v="357"/>
    <x v="3"/>
    <x v="0"/>
    <s v="Paper"/>
    <s v="Product_137"/>
    <n v="1737.91"/>
    <n v="-191.92"/>
    <n v="0.18"/>
    <x v="0"/>
    <n v="-0.11043149530182804"/>
    <x v="4"/>
    <n v="2023"/>
  </r>
  <r>
    <s v="O02334"/>
    <d v="2023-05-13T00:00:00"/>
    <x v="228"/>
    <x v="3"/>
    <x v="2"/>
    <s v="Chairs"/>
    <s v="Product_223"/>
    <n v="4134.21"/>
    <n v="-511.86"/>
    <n v="0.1"/>
    <x v="0"/>
    <n v="-0.12381083689507789"/>
    <x v="11"/>
    <n v="2023"/>
  </r>
  <r>
    <s v="O02335"/>
    <d v="2023-01-11T00:00:00"/>
    <x v="313"/>
    <x v="0"/>
    <x v="0"/>
    <s v="Binders"/>
    <s v="Product_364"/>
    <n v="114.14"/>
    <n v="-33.58"/>
    <n v="0.17"/>
    <x v="0"/>
    <n v="-0.29420010513404588"/>
    <x v="1"/>
    <n v="2023"/>
  </r>
  <r>
    <s v="O02336"/>
    <d v="2022-08-13T00:00:00"/>
    <x v="338"/>
    <x v="3"/>
    <x v="0"/>
    <s v="Binders"/>
    <s v="Product_210"/>
    <n v="4696.67"/>
    <n v="795.01"/>
    <n v="0.01"/>
    <x v="1"/>
    <n v="0.1692709941298835"/>
    <x v="3"/>
    <n v="2022"/>
  </r>
  <r>
    <s v="O02337"/>
    <d v="2023-04-27T00:00:00"/>
    <x v="570"/>
    <x v="1"/>
    <x v="1"/>
    <s v="Phones"/>
    <s v="Product_471"/>
    <n v="2350.85"/>
    <n v="-419.37"/>
    <n v="0.06"/>
    <x v="0"/>
    <n v="-0.1783907948188953"/>
    <x v="0"/>
    <n v="2023"/>
  </r>
  <r>
    <s v="O02338"/>
    <d v="2022-01-06T00:00:00"/>
    <x v="314"/>
    <x v="0"/>
    <x v="0"/>
    <s v="Storage"/>
    <s v="Product_249"/>
    <n v="1707.68"/>
    <n v="89.7"/>
    <n v="0.22"/>
    <x v="1"/>
    <n v="5.2527405602923266E-2"/>
    <x v="1"/>
    <n v="2022"/>
  </r>
  <r>
    <s v="O02339"/>
    <d v="2023-12-07T00:00:00"/>
    <x v="688"/>
    <x v="2"/>
    <x v="0"/>
    <s v="Storage"/>
    <s v="Product_124"/>
    <n v="4732.07"/>
    <n v="-1610.51"/>
    <n v="0.25"/>
    <x v="0"/>
    <n v="-0.34033942862214633"/>
    <x v="4"/>
    <n v="2023"/>
  </r>
  <r>
    <s v="O02340"/>
    <d v="2023-07-10T00:00:00"/>
    <x v="693"/>
    <x v="3"/>
    <x v="2"/>
    <s v="Chairs"/>
    <s v="Product_4"/>
    <n v="4969.0600000000004"/>
    <n v="1714.12"/>
    <n v="0.02"/>
    <x v="1"/>
    <n v="0.34495860384056537"/>
    <x v="2"/>
    <n v="2023"/>
  </r>
  <r>
    <s v="O02341"/>
    <d v="2023-12-16T00:00:00"/>
    <x v="650"/>
    <x v="0"/>
    <x v="1"/>
    <s v="Phones"/>
    <s v="Product_47"/>
    <n v="388.7"/>
    <n v="10.68"/>
    <n v="0.11"/>
    <x v="1"/>
    <n v="2.7476202727038847E-2"/>
    <x v="4"/>
    <n v="2023"/>
  </r>
  <r>
    <s v="O02342"/>
    <d v="2023-04-20T00:00:00"/>
    <x v="271"/>
    <x v="0"/>
    <x v="2"/>
    <s v="Bookcases"/>
    <s v="Product_162"/>
    <n v="1921.83"/>
    <n v="-179.11"/>
    <n v="0"/>
    <x v="0"/>
    <n v="-9.319762934286592E-2"/>
    <x v="0"/>
    <n v="2023"/>
  </r>
  <r>
    <s v="O02343"/>
    <d v="2022-08-21T00:00:00"/>
    <x v="757"/>
    <x v="0"/>
    <x v="2"/>
    <s v="Tables"/>
    <s v="Product_421"/>
    <n v="496.27"/>
    <n v="-6.79"/>
    <n v="0.26"/>
    <x v="0"/>
    <n v="-1.3682068228988252E-2"/>
    <x v="3"/>
    <n v="2022"/>
  </r>
  <r>
    <s v="O02344"/>
    <d v="2023-03-17T00:00:00"/>
    <x v="205"/>
    <x v="3"/>
    <x v="0"/>
    <s v="Binders"/>
    <s v="Product_349"/>
    <n v="1078.0899999999999"/>
    <n v="-180.55"/>
    <n v="0.01"/>
    <x v="0"/>
    <n v="-0.16747210344219873"/>
    <x v="6"/>
    <n v="2023"/>
  </r>
  <r>
    <s v="O02345"/>
    <d v="2023-11-01T00:00:00"/>
    <x v="189"/>
    <x v="3"/>
    <x v="2"/>
    <s v="Chairs"/>
    <s v="Product_288"/>
    <n v="4789.21"/>
    <n v="672.39"/>
    <n v="0.08"/>
    <x v="1"/>
    <n v="0.14039685042000663"/>
    <x v="9"/>
    <n v="2023"/>
  </r>
  <r>
    <s v="O02346"/>
    <d v="2023-08-05T00:00:00"/>
    <x v="746"/>
    <x v="2"/>
    <x v="0"/>
    <s v="Paper"/>
    <s v="Product_212"/>
    <n v="3525.72"/>
    <n v="414.33"/>
    <n v="7.0000000000000007E-2"/>
    <x v="1"/>
    <n v="0.11751642217759777"/>
    <x v="3"/>
    <n v="2023"/>
  </r>
  <r>
    <s v="O02347"/>
    <d v="2022-05-15T00:00:00"/>
    <x v="59"/>
    <x v="3"/>
    <x v="0"/>
    <s v="Storage"/>
    <s v="Product_143"/>
    <n v="2908.11"/>
    <n v="-618.63"/>
    <n v="0.26"/>
    <x v="0"/>
    <n v="-0.21272579097764527"/>
    <x v="11"/>
    <n v="2022"/>
  </r>
  <r>
    <s v="O02348"/>
    <d v="2023-06-12T00:00:00"/>
    <x v="594"/>
    <x v="2"/>
    <x v="1"/>
    <s v="Phones"/>
    <s v="Product_104"/>
    <n v="2125.7600000000002"/>
    <n v="330.77"/>
    <n v="0.22"/>
    <x v="1"/>
    <n v="0.15560082041246423"/>
    <x v="8"/>
    <n v="2023"/>
  </r>
  <r>
    <s v="O02349"/>
    <d v="2022-03-14T00:00:00"/>
    <x v="303"/>
    <x v="3"/>
    <x v="1"/>
    <s v="Copiers"/>
    <s v="Product_171"/>
    <n v="504.95"/>
    <n v="-17.57"/>
    <n v="0.27"/>
    <x v="0"/>
    <n v="-3.4795524309337557E-2"/>
    <x v="6"/>
    <n v="2022"/>
  </r>
  <r>
    <s v="O02350"/>
    <d v="2022-08-16T00:00:00"/>
    <x v="418"/>
    <x v="1"/>
    <x v="2"/>
    <s v="Chairs"/>
    <s v="Product_36"/>
    <n v="1823.8"/>
    <n v="-6.45"/>
    <n v="0.17"/>
    <x v="0"/>
    <n v="-3.5365719925430422E-3"/>
    <x v="3"/>
    <n v="2022"/>
  </r>
  <r>
    <s v="O02351"/>
    <d v="2023-01-04T00:00:00"/>
    <x v="494"/>
    <x v="3"/>
    <x v="1"/>
    <s v="Accessories"/>
    <s v="Product_269"/>
    <n v="1145.3499999999999"/>
    <n v="16.489999999999998"/>
    <n v="0.26"/>
    <x v="1"/>
    <n v="1.439734578949666E-2"/>
    <x v="1"/>
    <n v="2023"/>
  </r>
  <r>
    <s v="O02352"/>
    <d v="2023-02-20T00:00:00"/>
    <x v="758"/>
    <x v="2"/>
    <x v="2"/>
    <s v="Tables"/>
    <s v="Product_20"/>
    <n v="4369.6499999999996"/>
    <n v="296.98"/>
    <n v="0.05"/>
    <x v="1"/>
    <n v="6.7964253429908583E-2"/>
    <x v="10"/>
    <n v="2023"/>
  </r>
  <r>
    <s v="O02353"/>
    <d v="2022-09-15T00:00:00"/>
    <x v="613"/>
    <x v="1"/>
    <x v="0"/>
    <s v="Paper"/>
    <s v="Product_281"/>
    <n v="2294.2399999999998"/>
    <n v="-570.30999999999995"/>
    <n v="0.18"/>
    <x v="0"/>
    <n v="-0.24858340888485947"/>
    <x v="7"/>
    <n v="2022"/>
  </r>
  <r>
    <s v="O02354"/>
    <d v="2023-10-08T00:00:00"/>
    <x v="463"/>
    <x v="2"/>
    <x v="1"/>
    <s v="Phones"/>
    <s v="Product_469"/>
    <n v="1657.81"/>
    <n v="468.63"/>
    <n v="7.0000000000000007E-2"/>
    <x v="1"/>
    <n v="0.28268016238290278"/>
    <x v="5"/>
    <n v="2023"/>
  </r>
  <r>
    <s v="O02355"/>
    <d v="2023-03-31T00:00:00"/>
    <x v="343"/>
    <x v="0"/>
    <x v="2"/>
    <s v="Bookcases"/>
    <s v="Product_202"/>
    <n v="332.42"/>
    <n v="-10.87"/>
    <n v="0.1"/>
    <x v="0"/>
    <n v="-3.2699596895493649E-2"/>
    <x v="6"/>
    <n v="2023"/>
  </r>
  <r>
    <s v="O02356"/>
    <d v="2023-02-11T00:00:00"/>
    <x v="708"/>
    <x v="1"/>
    <x v="1"/>
    <s v="Accessories"/>
    <s v="Product_290"/>
    <n v="3137.39"/>
    <n v="-286.97000000000003"/>
    <n v="0.11"/>
    <x v="0"/>
    <n v="-9.1467748670072901E-2"/>
    <x v="10"/>
    <n v="2023"/>
  </r>
  <r>
    <s v="O02357"/>
    <d v="2022-12-08T00:00:00"/>
    <x v="601"/>
    <x v="3"/>
    <x v="2"/>
    <s v="Bookcases"/>
    <s v="Product_55"/>
    <n v="4140.79"/>
    <n v="-229.79"/>
    <n v="0.18"/>
    <x v="0"/>
    <n v="-5.5494241437020468E-2"/>
    <x v="4"/>
    <n v="2022"/>
  </r>
  <r>
    <s v="O02358"/>
    <d v="2023-09-07T00:00:00"/>
    <x v="605"/>
    <x v="1"/>
    <x v="2"/>
    <s v="Tables"/>
    <s v="Product_52"/>
    <n v="3181.83"/>
    <n v="-870.12"/>
    <n v="0.09"/>
    <x v="0"/>
    <n v="-0.27346526998614007"/>
    <x v="7"/>
    <n v="2023"/>
  </r>
  <r>
    <s v="O02359"/>
    <d v="2023-09-08T00:00:00"/>
    <x v="51"/>
    <x v="0"/>
    <x v="2"/>
    <s v="Chairs"/>
    <s v="Product_73"/>
    <n v="2367.23"/>
    <n v="-277.58"/>
    <n v="0.15"/>
    <x v="0"/>
    <n v="-0.11725941290030964"/>
    <x v="7"/>
    <n v="2023"/>
  </r>
  <r>
    <s v="O02360"/>
    <d v="2023-12-05T00:00:00"/>
    <x v="482"/>
    <x v="1"/>
    <x v="1"/>
    <s v="Accessories"/>
    <s v="Product_87"/>
    <n v="3550.38"/>
    <n v="-342.83"/>
    <n v="0.13"/>
    <x v="0"/>
    <n v="-9.6561494825905952E-2"/>
    <x v="4"/>
    <n v="2023"/>
  </r>
  <r>
    <s v="O02361"/>
    <d v="2022-11-19T00:00:00"/>
    <x v="536"/>
    <x v="0"/>
    <x v="0"/>
    <s v="Binders"/>
    <s v="Product_350"/>
    <n v="2090"/>
    <n v="337.8"/>
    <n v="0.19"/>
    <x v="1"/>
    <n v="0.1616267942583732"/>
    <x v="9"/>
    <n v="2022"/>
  </r>
  <r>
    <s v="O02362"/>
    <d v="2022-11-18T00:00:00"/>
    <x v="489"/>
    <x v="3"/>
    <x v="2"/>
    <s v="Chairs"/>
    <s v="Product_447"/>
    <n v="4475.55"/>
    <n v="-1300.8399999999999"/>
    <n v="0.2"/>
    <x v="0"/>
    <n v="-0.29065477985945859"/>
    <x v="9"/>
    <n v="2022"/>
  </r>
  <r>
    <s v="O02363"/>
    <d v="2022-02-21T00:00:00"/>
    <x v="473"/>
    <x v="3"/>
    <x v="2"/>
    <s v="Chairs"/>
    <s v="Product_57"/>
    <n v="873.75"/>
    <n v="137.59"/>
    <n v="0.13"/>
    <x v="1"/>
    <n v="0.15747067238912732"/>
    <x v="10"/>
    <n v="2022"/>
  </r>
  <r>
    <s v="O02364"/>
    <d v="2022-12-22T00:00:00"/>
    <x v="598"/>
    <x v="3"/>
    <x v="1"/>
    <s v="Phones"/>
    <s v="Product_226"/>
    <n v="4327.84"/>
    <n v="276.56"/>
    <n v="0.28000000000000003"/>
    <x v="1"/>
    <n v="6.3902547229102741E-2"/>
    <x v="4"/>
    <n v="2022"/>
  </r>
  <r>
    <s v="O02365"/>
    <d v="2023-05-20T00:00:00"/>
    <x v="108"/>
    <x v="2"/>
    <x v="0"/>
    <s v="Storage"/>
    <s v="Product_361"/>
    <n v="1764.94"/>
    <n v="-536.02"/>
    <n v="0.13"/>
    <x v="0"/>
    <n v="-0.30370437521955418"/>
    <x v="11"/>
    <n v="2023"/>
  </r>
  <r>
    <s v="O02366"/>
    <d v="2023-12-27T00:00:00"/>
    <x v="38"/>
    <x v="3"/>
    <x v="2"/>
    <s v="Chairs"/>
    <s v="Product_330"/>
    <n v="2372.11"/>
    <n v="447.02"/>
    <n v="0.17"/>
    <x v="1"/>
    <n v="0.18844825914481197"/>
    <x v="4"/>
    <n v="2023"/>
  </r>
  <r>
    <s v="O02367"/>
    <d v="2023-02-07T00:00:00"/>
    <x v="99"/>
    <x v="1"/>
    <x v="2"/>
    <s v="Chairs"/>
    <s v="Product_497"/>
    <n v="3365.49"/>
    <n v="-1417.25"/>
    <n v="0.25"/>
    <x v="0"/>
    <n v="-0.42111252744771194"/>
    <x v="10"/>
    <n v="2023"/>
  </r>
  <r>
    <s v="O02368"/>
    <d v="2022-01-04T00:00:00"/>
    <x v="648"/>
    <x v="3"/>
    <x v="1"/>
    <s v="Copiers"/>
    <s v="Product_65"/>
    <n v="159.80000000000001"/>
    <n v="-10.01"/>
    <n v="0.21"/>
    <x v="0"/>
    <n v="-6.2640801001251564E-2"/>
    <x v="1"/>
    <n v="2022"/>
  </r>
  <r>
    <s v="O02369"/>
    <d v="2022-10-19T00:00:00"/>
    <x v="588"/>
    <x v="0"/>
    <x v="2"/>
    <s v="Chairs"/>
    <s v="Product_278"/>
    <n v="2199.1999999999998"/>
    <n v="152.27000000000001"/>
    <n v="0.15"/>
    <x v="1"/>
    <n v="6.9238814114223363E-2"/>
    <x v="5"/>
    <n v="2022"/>
  </r>
  <r>
    <s v="O02370"/>
    <d v="2023-11-01T00:00:00"/>
    <x v="599"/>
    <x v="1"/>
    <x v="1"/>
    <s v="Copiers"/>
    <s v="Product_492"/>
    <n v="3105.81"/>
    <n v="-301.8"/>
    <n v="0.03"/>
    <x v="0"/>
    <n v="-9.717271822809509E-2"/>
    <x v="9"/>
    <n v="2023"/>
  </r>
  <r>
    <s v="O02371"/>
    <d v="2023-12-04T00:00:00"/>
    <x v="382"/>
    <x v="3"/>
    <x v="0"/>
    <s v="Paper"/>
    <s v="Product_76"/>
    <n v="1795.93"/>
    <n v="207.58"/>
    <n v="0.23"/>
    <x v="1"/>
    <n v="0.11558356951551564"/>
    <x v="4"/>
    <n v="2023"/>
  </r>
  <r>
    <s v="O02372"/>
    <d v="2023-05-14T00:00:00"/>
    <x v="32"/>
    <x v="0"/>
    <x v="2"/>
    <s v="Tables"/>
    <s v="Product_330"/>
    <n v="2000.82"/>
    <n v="69.099999999999994"/>
    <n v="0.01"/>
    <x v="1"/>
    <n v="3.4535840305474755E-2"/>
    <x v="11"/>
    <n v="2023"/>
  </r>
  <r>
    <s v="O02373"/>
    <d v="2023-07-15T00:00:00"/>
    <x v="28"/>
    <x v="0"/>
    <x v="2"/>
    <s v="Tables"/>
    <s v="Product_280"/>
    <n v="2898.85"/>
    <n v="189.29"/>
    <n v="0.28000000000000003"/>
    <x v="1"/>
    <n v="6.529830794970419E-2"/>
    <x v="2"/>
    <n v="2023"/>
  </r>
  <r>
    <s v="O02374"/>
    <d v="2022-09-05T00:00:00"/>
    <x v="243"/>
    <x v="3"/>
    <x v="1"/>
    <s v="Copiers"/>
    <s v="Product_356"/>
    <n v="2252.2399999999998"/>
    <n v="421.12"/>
    <n v="0.08"/>
    <x v="1"/>
    <n v="0.18697829716193659"/>
    <x v="7"/>
    <n v="2022"/>
  </r>
  <r>
    <s v="O02375"/>
    <d v="2023-08-07T00:00:00"/>
    <x v="88"/>
    <x v="3"/>
    <x v="0"/>
    <s v="Binders"/>
    <s v="Product_298"/>
    <n v="3611.62"/>
    <n v="-334.7"/>
    <n v="0.28999999999999998"/>
    <x v="0"/>
    <n v="-9.2673094068589715E-2"/>
    <x v="3"/>
    <n v="2023"/>
  </r>
  <r>
    <s v="O02376"/>
    <d v="2023-04-15T00:00:00"/>
    <x v="242"/>
    <x v="1"/>
    <x v="0"/>
    <s v="Paper"/>
    <s v="Product_172"/>
    <n v="4323.25"/>
    <n v="110.58"/>
    <n v="0.01"/>
    <x v="1"/>
    <n v="2.5577979529289308E-2"/>
    <x v="0"/>
    <n v="2023"/>
  </r>
  <r>
    <s v="O02377"/>
    <d v="2022-03-16T00:00:00"/>
    <x v="188"/>
    <x v="1"/>
    <x v="1"/>
    <s v="Phones"/>
    <s v="Product_195"/>
    <n v="1168.03"/>
    <n v="125.06"/>
    <n v="0.19"/>
    <x v="1"/>
    <n v="0.10706916774397918"/>
    <x v="6"/>
    <n v="2022"/>
  </r>
  <r>
    <s v="O02378"/>
    <d v="2023-04-16T00:00:00"/>
    <x v="35"/>
    <x v="3"/>
    <x v="1"/>
    <s v="Accessories"/>
    <s v="Product_95"/>
    <n v="737.04"/>
    <n v="-109.43"/>
    <n v="0.12"/>
    <x v="0"/>
    <n v="-0.14847226744817107"/>
    <x v="0"/>
    <n v="2023"/>
  </r>
  <r>
    <s v="O02379"/>
    <d v="2022-06-03T00:00:00"/>
    <x v="394"/>
    <x v="1"/>
    <x v="0"/>
    <s v="Binders"/>
    <s v="Product_158"/>
    <n v="3175.91"/>
    <n v="-179.09"/>
    <n v="0.2"/>
    <x v="0"/>
    <n v="-5.639013700010391E-2"/>
    <x v="8"/>
    <n v="2022"/>
  </r>
  <r>
    <s v="O02380"/>
    <d v="2022-02-10T00:00:00"/>
    <x v="176"/>
    <x v="2"/>
    <x v="1"/>
    <s v="Phones"/>
    <s v="Product_430"/>
    <n v="441.75"/>
    <n v="-177.07"/>
    <n v="0.22"/>
    <x v="0"/>
    <n v="-0.4008375778155065"/>
    <x v="10"/>
    <n v="2022"/>
  </r>
  <r>
    <s v="O02381"/>
    <d v="2023-07-08T00:00:00"/>
    <x v="759"/>
    <x v="2"/>
    <x v="0"/>
    <s v="Binders"/>
    <s v="Product_262"/>
    <n v="1845.23"/>
    <n v="477.15"/>
    <n v="0"/>
    <x v="1"/>
    <n v="0.25858565056930571"/>
    <x v="2"/>
    <n v="2023"/>
  </r>
  <r>
    <s v="O02382"/>
    <d v="2023-01-29T00:00:00"/>
    <x v="452"/>
    <x v="2"/>
    <x v="1"/>
    <s v="Phones"/>
    <s v="Product_113"/>
    <n v="168.33"/>
    <n v="-67.33"/>
    <n v="0.27"/>
    <x v="0"/>
    <n v="-0.39998811857660543"/>
    <x v="1"/>
    <n v="2023"/>
  </r>
  <r>
    <s v="O02383"/>
    <d v="2023-04-13T00:00:00"/>
    <x v="737"/>
    <x v="2"/>
    <x v="2"/>
    <s v="Bookcases"/>
    <s v="Product_166"/>
    <n v="4644.84"/>
    <n v="589.91"/>
    <n v="0.08"/>
    <x v="1"/>
    <n v="0.12700329828368684"/>
    <x v="0"/>
    <n v="2023"/>
  </r>
  <r>
    <s v="O02384"/>
    <d v="2023-03-10T00:00:00"/>
    <x v="521"/>
    <x v="1"/>
    <x v="0"/>
    <s v="Binders"/>
    <s v="Product_203"/>
    <n v="529.86"/>
    <n v="-12.63"/>
    <n v="0.18"/>
    <x v="0"/>
    <n v="-2.383648510927415E-2"/>
    <x v="6"/>
    <n v="2023"/>
  </r>
  <r>
    <s v="O02385"/>
    <d v="2022-07-03T00:00:00"/>
    <x v="37"/>
    <x v="1"/>
    <x v="2"/>
    <s v="Chairs"/>
    <s v="Product_235"/>
    <n v="4770.93"/>
    <n v="632.73"/>
    <n v="7.0000000000000007E-2"/>
    <x v="1"/>
    <n v="0.13262194163402102"/>
    <x v="2"/>
    <n v="2022"/>
  </r>
  <r>
    <s v="O02386"/>
    <d v="2023-04-20T00:00:00"/>
    <x v="507"/>
    <x v="1"/>
    <x v="1"/>
    <s v="Accessories"/>
    <s v="Product_1"/>
    <n v="2651.24"/>
    <n v="151.56"/>
    <n v="0.02"/>
    <x v="1"/>
    <n v="5.7165703595298809E-2"/>
    <x v="0"/>
    <n v="2023"/>
  </r>
  <r>
    <s v="O02387"/>
    <d v="2024-01-01T00:00:00"/>
    <x v="582"/>
    <x v="0"/>
    <x v="1"/>
    <s v="Phones"/>
    <s v="Product_93"/>
    <n v="545.09"/>
    <n v="-110.51"/>
    <n v="0.1"/>
    <x v="0"/>
    <n v="-0.20273716267038472"/>
    <x v="1"/>
    <n v="2024"/>
  </r>
  <r>
    <s v="O02388"/>
    <d v="2023-09-15T00:00:00"/>
    <x v="262"/>
    <x v="1"/>
    <x v="2"/>
    <s v="Tables"/>
    <s v="Product_35"/>
    <n v="3532.08"/>
    <n v="488.21"/>
    <n v="0.05"/>
    <x v="1"/>
    <n v="0.13822167108332767"/>
    <x v="7"/>
    <n v="2023"/>
  </r>
  <r>
    <s v="O02389"/>
    <d v="2022-01-05T00:00:00"/>
    <x v="429"/>
    <x v="3"/>
    <x v="1"/>
    <s v="Copiers"/>
    <s v="Product_290"/>
    <n v="3949.81"/>
    <n v="734.33"/>
    <n v="0.16"/>
    <x v="1"/>
    <n v="0.185915271873837"/>
    <x v="1"/>
    <n v="2022"/>
  </r>
  <r>
    <s v="O02390"/>
    <d v="2023-07-03T00:00:00"/>
    <x v="300"/>
    <x v="3"/>
    <x v="2"/>
    <s v="Tables"/>
    <s v="Product_282"/>
    <n v="621.44000000000005"/>
    <n v="19.84"/>
    <n v="0.03"/>
    <x v="1"/>
    <n v="3.1925849639546859E-2"/>
    <x v="2"/>
    <n v="2023"/>
  </r>
  <r>
    <s v="O02391"/>
    <d v="2023-04-20T00:00:00"/>
    <x v="183"/>
    <x v="2"/>
    <x v="0"/>
    <s v="Binders"/>
    <s v="Product_86"/>
    <n v="3678.62"/>
    <n v="-436.34"/>
    <n v="0.26"/>
    <x v="0"/>
    <n v="-0.11861513284873132"/>
    <x v="0"/>
    <n v="2023"/>
  </r>
  <r>
    <s v="O02392"/>
    <d v="2022-02-21T00:00:00"/>
    <x v="567"/>
    <x v="3"/>
    <x v="0"/>
    <s v="Storage"/>
    <s v="Product_470"/>
    <n v="561.55999999999995"/>
    <n v="-192.8"/>
    <n v="0.17"/>
    <x v="0"/>
    <n v="-0.34332929695847286"/>
    <x v="10"/>
    <n v="2022"/>
  </r>
  <r>
    <s v="O02393"/>
    <d v="2022-08-10T00:00:00"/>
    <x v="723"/>
    <x v="2"/>
    <x v="2"/>
    <s v="Tables"/>
    <s v="Product_312"/>
    <n v="2721.39"/>
    <n v="-211.39"/>
    <n v="0.24"/>
    <x v="0"/>
    <n v="-7.7677216422489981E-2"/>
    <x v="3"/>
    <n v="2022"/>
  </r>
  <r>
    <s v="O02394"/>
    <d v="2023-06-06T00:00:00"/>
    <x v="442"/>
    <x v="3"/>
    <x v="2"/>
    <s v="Bookcases"/>
    <s v="Product_493"/>
    <n v="4552.21"/>
    <n v="-1076.93"/>
    <n v="0.14000000000000001"/>
    <x v="0"/>
    <n v="-0.23657300519967225"/>
    <x v="8"/>
    <n v="2023"/>
  </r>
  <r>
    <s v="O02395"/>
    <d v="2023-05-04T00:00:00"/>
    <x v="340"/>
    <x v="0"/>
    <x v="1"/>
    <s v="Phones"/>
    <s v="Product_28"/>
    <n v="3321.05"/>
    <n v="-1385.34"/>
    <n v="0.3"/>
    <x v="0"/>
    <n v="-0.41713915779647998"/>
    <x v="11"/>
    <n v="2023"/>
  </r>
  <r>
    <s v="O02396"/>
    <d v="2022-08-23T00:00:00"/>
    <x v="441"/>
    <x v="1"/>
    <x v="2"/>
    <s v="Bookcases"/>
    <s v="Product_31"/>
    <n v="1147.3800000000001"/>
    <n v="-244.99"/>
    <n v="0.09"/>
    <x v="0"/>
    <n v="-0.21352123969391135"/>
    <x v="3"/>
    <n v="2022"/>
  </r>
  <r>
    <s v="O02397"/>
    <d v="2022-08-05T00:00:00"/>
    <x v="218"/>
    <x v="1"/>
    <x v="1"/>
    <s v="Phones"/>
    <s v="Product_474"/>
    <n v="1459.38"/>
    <n v="-266.69"/>
    <n v="0.15"/>
    <x v="0"/>
    <n v="-0.18274198632295904"/>
    <x v="3"/>
    <n v="2022"/>
  </r>
  <r>
    <s v="O02398"/>
    <d v="2023-01-04T00:00:00"/>
    <x v="289"/>
    <x v="1"/>
    <x v="0"/>
    <s v="Storage"/>
    <s v="Product_359"/>
    <n v="3764.09"/>
    <n v="1371.49"/>
    <n v="0.02"/>
    <x v="1"/>
    <n v="0.36436163853680437"/>
    <x v="1"/>
    <n v="2023"/>
  </r>
  <r>
    <s v="O02399"/>
    <d v="2022-02-06T00:00:00"/>
    <x v="537"/>
    <x v="1"/>
    <x v="2"/>
    <s v="Bookcases"/>
    <s v="Product_26"/>
    <n v="720.01"/>
    <n v="-275.17"/>
    <n v="0.19"/>
    <x v="0"/>
    <n v="-0.38217524756600607"/>
    <x v="10"/>
    <n v="2022"/>
  </r>
  <r>
    <s v="O02400"/>
    <d v="2023-03-26T00:00:00"/>
    <x v="355"/>
    <x v="3"/>
    <x v="1"/>
    <s v="Copiers"/>
    <s v="Product_436"/>
    <n v="3509.8"/>
    <n v="-671.35"/>
    <n v="7.0000000000000007E-2"/>
    <x v="0"/>
    <n v="-0.19127870533933558"/>
    <x v="6"/>
    <n v="2023"/>
  </r>
  <r>
    <s v="O02401"/>
    <d v="2022-02-12T00:00:00"/>
    <x v="760"/>
    <x v="1"/>
    <x v="2"/>
    <s v="Bookcases"/>
    <s v="Product_258"/>
    <n v="4391.47"/>
    <n v="705.76"/>
    <n v="7.0000000000000007E-2"/>
    <x v="1"/>
    <n v="0.16071156127674788"/>
    <x v="10"/>
    <n v="2022"/>
  </r>
  <r>
    <s v="O02402"/>
    <d v="2022-07-21T00:00:00"/>
    <x v="356"/>
    <x v="0"/>
    <x v="2"/>
    <s v="Tables"/>
    <s v="Product_177"/>
    <n v="1743.78"/>
    <n v="-101"/>
    <n v="0.01"/>
    <x v="0"/>
    <n v="-5.7920150477697878E-2"/>
    <x v="2"/>
    <n v="2022"/>
  </r>
  <r>
    <s v="O02403"/>
    <d v="2022-12-31T00:00:00"/>
    <x v="326"/>
    <x v="0"/>
    <x v="0"/>
    <s v="Storage"/>
    <s v="Product_313"/>
    <n v="1230.96"/>
    <n v="-216.46"/>
    <n v="0.25"/>
    <x v="0"/>
    <n v="-0.17584649379346201"/>
    <x v="4"/>
    <n v="2022"/>
  </r>
  <r>
    <s v="O02404"/>
    <d v="2022-06-15T00:00:00"/>
    <x v="401"/>
    <x v="0"/>
    <x v="0"/>
    <s v="Binders"/>
    <s v="Product_213"/>
    <n v="746.89"/>
    <n v="-154.05000000000001"/>
    <n v="0.02"/>
    <x v="0"/>
    <n v="-0.20625527186064885"/>
    <x v="8"/>
    <n v="2022"/>
  </r>
  <r>
    <s v="O02405"/>
    <d v="2023-09-15T00:00:00"/>
    <x v="370"/>
    <x v="1"/>
    <x v="0"/>
    <s v="Storage"/>
    <s v="Product_299"/>
    <n v="4893.57"/>
    <n v="-200.04"/>
    <n v="0.02"/>
    <x v="0"/>
    <n v="-4.0878131915963192E-2"/>
    <x v="7"/>
    <n v="2023"/>
  </r>
  <r>
    <s v="O02406"/>
    <d v="2022-09-11T00:00:00"/>
    <x v="593"/>
    <x v="3"/>
    <x v="0"/>
    <s v="Storage"/>
    <s v="Product_35"/>
    <n v="1169.03"/>
    <n v="-540.66999999999996"/>
    <n v="0.28000000000000003"/>
    <x v="0"/>
    <n v="-0.46249454676098983"/>
    <x v="7"/>
    <n v="2022"/>
  </r>
  <r>
    <s v="O02407"/>
    <d v="2022-07-27T00:00:00"/>
    <x v="616"/>
    <x v="2"/>
    <x v="0"/>
    <s v="Paper"/>
    <s v="Product_250"/>
    <n v="2020.22"/>
    <n v="-406.68"/>
    <n v="0.05"/>
    <x v="0"/>
    <n v="-0.20130480838720535"/>
    <x v="2"/>
    <n v="2022"/>
  </r>
  <r>
    <s v="O02408"/>
    <d v="2023-03-04T00:00:00"/>
    <x v="452"/>
    <x v="2"/>
    <x v="2"/>
    <s v="Bookcases"/>
    <s v="Product_489"/>
    <n v="373.8"/>
    <n v="78.83"/>
    <n v="0.12"/>
    <x v="1"/>
    <n v="0.21088817549491706"/>
    <x v="6"/>
    <n v="2023"/>
  </r>
  <r>
    <s v="O02409"/>
    <d v="2023-08-08T00:00:00"/>
    <x v="381"/>
    <x v="2"/>
    <x v="2"/>
    <s v="Tables"/>
    <s v="Product_186"/>
    <n v="1245.95"/>
    <n v="-284.35000000000002"/>
    <n v="0.12"/>
    <x v="0"/>
    <n v="-0.22821943095629843"/>
    <x v="3"/>
    <n v="2023"/>
  </r>
  <r>
    <s v="O02410"/>
    <d v="2022-09-18T00:00:00"/>
    <x v="34"/>
    <x v="0"/>
    <x v="1"/>
    <s v="Phones"/>
    <s v="Product_226"/>
    <n v="1585.66"/>
    <n v="266.14"/>
    <n v="0.09"/>
    <x v="1"/>
    <n v="0.16784178197091429"/>
    <x v="7"/>
    <n v="2022"/>
  </r>
  <r>
    <s v="O02411"/>
    <d v="2022-07-13T00:00:00"/>
    <x v="761"/>
    <x v="1"/>
    <x v="1"/>
    <s v="Accessories"/>
    <s v="Product_291"/>
    <n v="4900.51"/>
    <n v="-231.33"/>
    <n v="0.21"/>
    <x v="0"/>
    <n v="-4.7205290877888217E-2"/>
    <x v="2"/>
    <n v="2022"/>
  </r>
  <r>
    <s v="O02412"/>
    <d v="2023-04-10T00:00:00"/>
    <x v="129"/>
    <x v="1"/>
    <x v="1"/>
    <s v="Accessories"/>
    <s v="Product_434"/>
    <n v="141.83000000000001"/>
    <n v="-23.24"/>
    <n v="0.19"/>
    <x v="0"/>
    <n v="-0.16385814002679261"/>
    <x v="0"/>
    <n v="2023"/>
  </r>
  <r>
    <s v="O02413"/>
    <d v="2022-10-30T00:00:00"/>
    <x v="167"/>
    <x v="3"/>
    <x v="2"/>
    <s v="Tables"/>
    <s v="Product_111"/>
    <n v="759.98"/>
    <n v="-296.02999999999997"/>
    <n v="0.26"/>
    <x v="0"/>
    <n v="-0.38952340851075024"/>
    <x v="5"/>
    <n v="2022"/>
  </r>
  <r>
    <s v="O02414"/>
    <d v="2023-11-02T00:00:00"/>
    <x v="78"/>
    <x v="3"/>
    <x v="1"/>
    <s v="Copiers"/>
    <s v="Product_137"/>
    <n v="773.48"/>
    <n v="-188.64"/>
    <n v="0.25"/>
    <x v="0"/>
    <n v="-0.24388478047266895"/>
    <x v="9"/>
    <n v="2023"/>
  </r>
  <r>
    <s v="O02415"/>
    <d v="2022-02-10T00:00:00"/>
    <x v="193"/>
    <x v="2"/>
    <x v="0"/>
    <s v="Binders"/>
    <s v="Product_486"/>
    <n v="596.91999999999996"/>
    <n v="-25.1"/>
    <n v="0.15"/>
    <x v="0"/>
    <n v="-4.2049185820545475E-2"/>
    <x v="10"/>
    <n v="2022"/>
  </r>
  <r>
    <s v="O02416"/>
    <d v="2022-06-01T00:00:00"/>
    <x v="490"/>
    <x v="1"/>
    <x v="0"/>
    <s v="Storage"/>
    <s v="Product_371"/>
    <n v="3126.73"/>
    <n v="432.06"/>
    <n v="0.22"/>
    <x v="1"/>
    <n v="0.13818270205614172"/>
    <x v="8"/>
    <n v="2022"/>
  </r>
  <r>
    <s v="O02417"/>
    <d v="2022-09-27T00:00:00"/>
    <x v="625"/>
    <x v="1"/>
    <x v="1"/>
    <s v="Copiers"/>
    <s v="Product_287"/>
    <n v="514.71"/>
    <n v="15.25"/>
    <n v="0.18"/>
    <x v="1"/>
    <n v="2.962833440189621E-2"/>
    <x v="7"/>
    <n v="2022"/>
  </r>
  <r>
    <s v="O02418"/>
    <d v="2022-10-16T00:00:00"/>
    <x v="632"/>
    <x v="1"/>
    <x v="1"/>
    <s v="Phones"/>
    <s v="Product_456"/>
    <n v="4448.07"/>
    <n v="700.32"/>
    <n v="0.22"/>
    <x v="1"/>
    <n v="0.15744356541151558"/>
    <x v="5"/>
    <n v="2022"/>
  </r>
  <r>
    <s v="O02419"/>
    <d v="2022-09-24T00:00:00"/>
    <x v="718"/>
    <x v="0"/>
    <x v="1"/>
    <s v="Copiers"/>
    <s v="Product_415"/>
    <n v="382.26"/>
    <n v="-86.03"/>
    <n v="0.16"/>
    <x v="0"/>
    <n v="-0.22505624444095643"/>
    <x v="7"/>
    <n v="2022"/>
  </r>
  <r>
    <s v="O02420"/>
    <d v="2023-11-16T00:00:00"/>
    <x v="13"/>
    <x v="2"/>
    <x v="0"/>
    <s v="Binders"/>
    <s v="Product_208"/>
    <n v="479.99"/>
    <n v="-91.43"/>
    <n v="0.21"/>
    <x v="0"/>
    <n v="-0.19048313506531386"/>
    <x v="9"/>
    <n v="2023"/>
  </r>
  <r>
    <s v="O02421"/>
    <d v="2023-02-04T00:00:00"/>
    <x v="183"/>
    <x v="3"/>
    <x v="2"/>
    <s v="Tables"/>
    <s v="Product_256"/>
    <n v="4902.68"/>
    <n v="1167.53"/>
    <n v="0.08"/>
    <x v="1"/>
    <n v="0.23814117992608122"/>
    <x v="10"/>
    <n v="2023"/>
  </r>
  <r>
    <s v="O02422"/>
    <d v="2022-10-02T00:00:00"/>
    <x v="250"/>
    <x v="3"/>
    <x v="1"/>
    <s v="Accessories"/>
    <s v="Product_485"/>
    <n v="2066.75"/>
    <n v="46.15"/>
    <n v="0.21"/>
    <x v="1"/>
    <n v="2.2329744768356113E-2"/>
    <x v="5"/>
    <n v="2022"/>
  </r>
  <r>
    <s v="O02423"/>
    <d v="2022-10-05T00:00:00"/>
    <x v="452"/>
    <x v="2"/>
    <x v="2"/>
    <s v="Tables"/>
    <s v="Product_477"/>
    <n v="4838.57"/>
    <n v="41.57"/>
    <n v="0.13"/>
    <x v="1"/>
    <n v="8.591381337874621E-3"/>
    <x v="5"/>
    <n v="2022"/>
  </r>
  <r>
    <s v="O02424"/>
    <d v="2023-03-18T00:00:00"/>
    <x v="699"/>
    <x v="3"/>
    <x v="0"/>
    <s v="Storage"/>
    <s v="Product_65"/>
    <n v="3906.91"/>
    <n v="680.33"/>
    <n v="0.11"/>
    <x v="1"/>
    <n v="0.17413505814057659"/>
    <x v="6"/>
    <n v="2023"/>
  </r>
  <r>
    <s v="O02425"/>
    <d v="2022-01-09T00:00:00"/>
    <x v="329"/>
    <x v="3"/>
    <x v="2"/>
    <s v="Chairs"/>
    <s v="Product_474"/>
    <n v="1781.96"/>
    <n v="20.12"/>
    <n v="0.11"/>
    <x v="1"/>
    <n v="1.1290938068194572E-2"/>
    <x v="1"/>
    <n v="2022"/>
  </r>
  <r>
    <s v="O02426"/>
    <d v="2023-02-13T00:00:00"/>
    <x v="77"/>
    <x v="1"/>
    <x v="0"/>
    <s v="Paper"/>
    <s v="Product_166"/>
    <n v="2589.42"/>
    <n v="-851.35"/>
    <n v="0.24"/>
    <x v="0"/>
    <n v="-0.32878019015841387"/>
    <x v="10"/>
    <n v="2023"/>
  </r>
  <r>
    <s v="O02427"/>
    <d v="2022-04-26T00:00:00"/>
    <x v="762"/>
    <x v="0"/>
    <x v="1"/>
    <s v="Copiers"/>
    <s v="Product_233"/>
    <n v="1968.31"/>
    <n v="-43.28"/>
    <n v="0.09"/>
    <x v="0"/>
    <n v="-2.1988406297788459E-2"/>
    <x v="0"/>
    <n v="2022"/>
  </r>
  <r>
    <s v="O02428"/>
    <d v="2022-05-02T00:00:00"/>
    <x v="438"/>
    <x v="1"/>
    <x v="1"/>
    <s v="Phones"/>
    <s v="Product_198"/>
    <n v="1274.03"/>
    <n v="-97.97"/>
    <n v="0.23"/>
    <x v="0"/>
    <n v="-7.6897718264091114E-2"/>
    <x v="11"/>
    <n v="2022"/>
  </r>
  <r>
    <s v="O02429"/>
    <d v="2023-07-12T00:00:00"/>
    <x v="11"/>
    <x v="1"/>
    <x v="2"/>
    <s v="Tables"/>
    <s v="Product_127"/>
    <n v="357.93"/>
    <n v="-86.31"/>
    <n v="0.2"/>
    <x v="0"/>
    <n v="-0.24113653507669097"/>
    <x v="2"/>
    <n v="2023"/>
  </r>
  <r>
    <s v="O02430"/>
    <d v="2022-11-13T00:00:00"/>
    <x v="373"/>
    <x v="0"/>
    <x v="2"/>
    <s v="Tables"/>
    <s v="Product_232"/>
    <n v="4101.2299999999996"/>
    <n v="-409.96"/>
    <n v="0.09"/>
    <x v="0"/>
    <n v="-9.9960255825691319E-2"/>
    <x v="9"/>
    <n v="2022"/>
  </r>
  <r>
    <s v="O02431"/>
    <d v="2023-11-29T00:00:00"/>
    <x v="763"/>
    <x v="0"/>
    <x v="0"/>
    <s v="Paper"/>
    <s v="Product_274"/>
    <n v="1178.05"/>
    <n v="-346.81"/>
    <n v="0.23"/>
    <x v="0"/>
    <n v="-0.29439327702559315"/>
    <x v="9"/>
    <n v="2023"/>
  </r>
  <r>
    <s v="O02432"/>
    <d v="2022-12-31T00:00:00"/>
    <x v="395"/>
    <x v="1"/>
    <x v="0"/>
    <s v="Storage"/>
    <s v="Product_478"/>
    <n v="3681.27"/>
    <n v="-115.97"/>
    <n v="0.15"/>
    <x v="0"/>
    <n v="-3.1502715095605593E-2"/>
    <x v="4"/>
    <n v="2022"/>
  </r>
  <r>
    <s v="O02433"/>
    <d v="2023-07-25T00:00:00"/>
    <x v="268"/>
    <x v="3"/>
    <x v="2"/>
    <s v="Chairs"/>
    <s v="Product_81"/>
    <n v="1904.97"/>
    <n v="-580.20000000000005"/>
    <n v="0.16"/>
    <x v="0"/>
    <n v="-0.30457172553898487"/>
    <x v="2"/>
    <n v="2023"/>
  </r>
  <r>
    <s v="O02434"/>
    <d v="2022-06-30T00:00:00"/>
    <x v="719"/>
    <x v="2"/>
    <x v="2"/>
    <s v="Tables"/>
    <s v="Product_133"/>
    <n v="4096.66"/>
    <n v="178.1"/>
    <n v="0.2"/>
    <x v="1"/>
    <n v="4.3474440153686171E-2"/>
    <x v="8"/>
    <n v="2022"/>
  </r>
  <r>
    <s v="O02435"/>
    <d v="2023-05-25T00:00:00"/>
    <x v="165"/>
    <x v="1"/>
    <x v="1"/>
    <s v="Copiers"/>
    <s v="Product_446"/>
    <n v="3287.39"/>
    <n v="-1219.08"/>
    <n v="0.2"/>
    <x v="0"/>
    <n v="-0.37083522186293683"/>
    <x v="11"/>
    <n v="2023"/>
  </r>
  <r>
    <s v="O02436"/>
    <d v="2022-06-01T00:00:00"/>
    <x v="747"/>
    <x v="2"/>
    <x v="0"/>
    <s v="Storage"/>
    <s v="Product_237"/>
    <n v="224.04"/>
    <n v="26.43"/>
    <n v="0.16"/>
    <x v="1"/>
    <n v="0.1179700053561864"/>
    <x v="8"/>
    <n v="2022"/>
  </r>
  <r>
    <s v="O02437"/>
    <d v="2022-07-12T00:00:00"/>
    <x v="511"/>
    <x v="2"/>
    <x v="1"/>
    <s v="Phones"/>
    <s v="Product_2"/>
    <n v="2928.79"/>
    <n v="-368.01"/>
    <n v="0.12"/>
    <x v="0"/>
    <n v="-0.12565257324697229"/>
    <x v="2"/>
    <n v="2022"/>
  </r>
  <r>
    <s v="O02438"/>
    <d v="2023-10-07T00:00:00"/>
    <x v="308"/>
    <x v="3"/>
    <x v="2"/>
    <s v="Tables"/>
    <s v="Product_418"/>
    <n v="4564.03"/>
    <n v="-1652.25"/>
    <n v="0.19"/>
    <x v="0"/>
    <n v="-0.36201558710175002"/>
    <x v="5"/>
    <n v="2023"/>
  </r>
  <r>
    <s v="O02439"/>
    <d v="2023-01-12T00:00:00"/>
    <x v="670"/>
    <x v="0"/>
    <x v="2"/>
    <s v="Tables"/>
    <s v="Product_19"/>
    <n v="4668.8999999999996"/>
    <n v="1571.29"/>
    <n v="0.02"/>
    <x v="1"/>
    <n v="0.33654393968600743"/>
    <x v="1"/>
    <n v="2023"/>
  </r>
  <r>
    <s v="O02440"/>
    <d v="2022-03-09T00:00:00"/>
    <x v="415"/>
    <x v="1"/>
    <x v="2"/>
    <s v="Chairs"/>
    <s v="Product_164"/>
    <n v="2470.84"/>
    <n v="93.13"/>
    <n v="0.2"/>
    <x v="1"/>
    <n v="3.7691635233361928E-2"/>
    <x v="6"/>
    <n v="2022"/>
  </r>
  <r>
    <s v="O02441"/>
    <d v="2023-09-11T00:00:00"/>
    <x v="371"/>
    <x v="1"/>
    <x v="1"/>
    <s v="Copiers"/>
    <s v="Product_496"/>
    <n v="4248.74"/>
    <n v="-20.170000000000002"/>
    <n v="0.06"/>
    <x v="0"/>
    <n v="-4.7472897847361814E-3"/>
    <x v="7"/>
    <n v="2023"/>
  </r>
  <r>
    <s v="O02442"/>
    <d v="2023-02-12T00:00:00"/>
    <x v="13"/>
    <x v="0"/>
    <x v="0"/>
    <s v="Storage"/>
    <s v="Product_254"/>
    <n v="3979.63"/>
    <n v="-1191.6199999999999"/>
    <n v="0.23"/>
    <x v="0"/>
    <n v="-0.29942984649326693"/>
    <x v="10"/>
    <n v="2023"/>
  </r>
  <r>
    <s v="O02443"/>
    <d v="2022-12-26T00:00:00"/>
    <x v="100"/>
    <x v="1"/>
    <x v="2"/>
    <s v="Chairs"/>
    <s v="Product_266"/>
    <n v="1072.45"/>
    <n v="121.68"/>
    <n v="0.06"/>
    <x v="1"/>
    <n v="0.11345983495734067"/>
    <x v="4"/>
    <n v="2022"/>
  </r>
  <r>
    <s v="O02444"/>
    <d v="2023-08-13T00:00:00"/>
    <x v="104"/>
    <x v="2"/>
    <x v="1"/>
    <s v="Phones"/>
    <s v="Product_402"/>
    <n v="4541.7700000000004"/>
    <n v="803.55"/>
    <n v="0.01"/>
    <x v="1"/>
    <n v="0.17692441493074285"/>
    <x v="3"/>
    <n v="2023"/>
  </r>
  <r>
    <s v="O02445"/>
    <d v="2023-11-07T00:00:00"/>
    <x v="7"/>
    <x v="1"/>
    <x v="2"/>
    <s v="Tables"/>
    <s v="Product_466"/>
    <n v="726.32"/>
    <n v="43.01"/>
    <n v="0.11"/>
    <x v="1"/>
    <n v="5.9216323383632551E-2"/>
    <x v="9"/>
    <n v="2023"/>
  </r>
  <r>
    <s v="O02446"/>
    <d v="2023-03-30T00:00:00"/>
    <x v="453"/>
    <x v="1"/>
    <x v="2"/>
    <s v="Chairs"/>
    <s v="Product_458"/>
    <n v="927.98"/>
    <n v="67.290000000000006"/>
    <n v="0.19"/>
    <x v="1"/>
    <n v="7.2512338627987671E-2"/>
    <x v="6"/>
    <n v="2023"/>
  </r>
  <r>
    <s v="O02447"/>
    <d v="2023-05-01T00:00:00"/>
    <x v="410"/>
    <x v="1"/>
    <x v="0"/>
    <s v="Storage"/>
    <s v="Product_401"/>
    <n v="3078.83"/>
    <n v="55.89"/>
    <n v="0"/>
    <x v="1"/>
    <n v="1.8152999678449282E-2"/>
    <x v="11"/>
    <n v="2023"/>
  </r>
  <r>
    <s v="O02448"/>
    <d v="2022-12-25T00:00:00"/>
    <x v="506"/>
    <x v="2"/>
    <x v="1"/>
    <s v="Phones"/>
    <s v="Product_204"/>
    <n v="733.09"/>
    <n v="-203.61"/>
    <n v="0.13"/>
    <x v="0"/>
    <n v="-0.27774215989851181"/>
    <x v="4"/>
    <n v="2022"/>
  </r>
  <r>
    <s v="O02449"/>
    <d v="2023-02-03T00:00:00"/>
    <x v="691"/>
    <x v="2"/>
    <x v="2"/>
    <s v="Chairs"/>
    <s v="Product_404"/>
    <n v="2801.01"/>
    <n v="-92.8"/>
    <n v="0.14000000000000001"/>
    <x v="0"/>
    <n v="-3.3130906351637443E-2"/>
    <x v="10"/>
    <n v="2023"/>
  </r>
  <r>
    <s v="O02450"/>
    <d v="2022-02-09T00:00:00"/>
    <x v="729"/>
    <x v="0"/>
    <x v="2"/>
    <s v="Bookcases"/>
    <s v="Product_252"/>
    <n v="4053.94"/>
    <n v="-1338.04"/>
    <n v="0.25"/>
    <x v="0"/>
    <n v="-0.33005915233081889"/>
    <x v="10"/>
    <n v="2022"/>
  </r>
  <r>
    <s v="O02451"/>
    <d v="2023-07-21T00:00:00"/>
    <x v="747"/>
    <x v="1"/>
    <x v="2"/>
    <s v="Chairs"/>
    <s v="Product_362"/>
    <n v="2042.49"/>
    <n v="402.76"/>
    <n v="0.11"/>
    <x v="1"/>
    <n v="0.1971906839201171"/>
    <x v="2"/>
    <n v="2023"/>
  </r>
  <r>
    <s v="O02452"/>
    <d v="2023-12-26T00:00:00"/>
    <x v="446"/>
    <x v="3"/>
    <x v="2"/>
    <s v="Tables"/>
    <s v="Product_274"/>
    <n v="3364.48"/>
    <n v="-636.41"/>
    <n v="0.25"/>
    <x v="0"/>
    <n v="-0.18915553072094349"/>
    <x v="4"/>
    <n v="2023"/>
  </r>
  <r>
    <s v="O02453"/>
    <d v="2022-05-15T00:00:00"/>
    <x v="412"/>
    <x v="1"/>
    <x v="1"/>
    <s v="Accessories"/>
    <s v="Product_497"/>
    <n v="2444.5300000000002"/>
    <n v="372.18"/>
    <n v="0.1"/>
    <x v="1"/>
    <n v="0.15225012579105185"/>
    <x v="11"/>
    <n v="2022"/>
  </r>
  <r>
    <s v="O02454"/>
    <d v="2023-12-31T00:00:00"/>
    <x v="31"/>
    <x v="0"/>
    <x v="2"/>
    <s v="Bookcases"/>
    <s v="Product_325"/>
    <n v="4914.1099999999997"/>
    <n v="-703.55"/>
    <n v="0.04"/>
    <x v="0"/>
    <n v="-0.14316936332316532"/>
    <x v="4"/>
    <n v="2023"/>
  </r>
  <r>
    <s v="O02455"/>
    <d v="2023-11-18T00:00:00"/>
    <x v="212"/>
    <x v="1"/>
    <x v="2"/>
    <s v="Bookcases"/>
    <s v="Product_368"/>
    <n v="1530.98"/>
    <n v="-447.56"/>
    <n v="0.3"/>
    <x v="0"/>
    <n v="-0.29233562815974079"/>
    <x v="9"/>
    <n v="2023"/>
  </r>
  <r>
    <s v="O02456"/>
    <d v="2022-12-29T00:00:00"/>
    <x v="65"/>
    <x v="0"/>
    <x v="0"/>
    <s v="Storage"/>
    <s v="Product_194"/>
    <n v="3193.54"/>
    <n v="576.6"/>
    <n v="0.06"/>
    <x v="1"/>
    <n v="0.18055198932845684"/>
    <x v="4"/>
    <n v="2022"/>
  </r>
  <r>
    <s v="O02457"/>
    <d v="2022-02-20T00:00:00"/>
    <x v="255"/>
    <x v="1"/>
    <x v="2"/>
    <s v="Bookcases"/>
    <s v="Product_427"/>
    <n v="4965.22"/>
    <n v="-382.55"/>
    <n v="0.1"/>
    <x v="0"/>
    <n v="-7.7045931499510598E-2"/>
    <x v="10"/>
    <n v="2022"/>
  </r>
  <r>
    <s v="O02458"/>
    <d v="2023-10-26T00:00:00"/>
    <x v="135"/>
    <x v="0"/>
    <x v="0"/>
    <s v="Storage"/>
    <s v="Product_140"/>
    <n v="2446.06"/>
    <n v="-978.42"/>
    <n v="0.24"/>
    <x v="0"/>
    <n v="-0.39999836471713696"/>
    <x v="5"/>
    <n v="2023"/>
  </r>
  <r>
    <s v="O02459"/>
    <d v="2022-01-07T00:00:00"/>
    <x v="334"/>
    <x v="3"/>
    <x v="1"/>
    <s v="Copiers"/>
    <s v="Product_118"/>
    <n v="3985.62"/>
    <n v="863.3"/>
    <n v="0.08"/>
    <x v="1"/>
    <n v="0.21660369026650808"/>
    <x v="1"/>
    <n v="2022"/>
  </r>
  <r>
    <s v="O02460"/>
    <d v="2022-01-14T00:00:00"/>
    <x v="450"/>
    <x v="0"/>
    <x v="0"/>
    <s v="Paper"/>
    <s v="Product_113"/>
    <n v="3883.63"/>
    <n v="-798.57"/>
    <n v="0.2"/>
    <x v="0"/>
    <n v="-0.20562463468456058"/>
    <x v="1"/>
    <n v="2022"/>
  </r>
  <r>
    <s v="O02461"/>
    <d v="2023-11-11T00:00:00"/>
    <x v="752"/>
    <x v="1"/>
    <x v="1"/>
    <s v="Phones"/>
    <s v="Product_293"/>
    <n v="2066.33"/>
    <n v="518.08000000000004"/>
    <n v="0.02"/>
    <x v="1"/>
    <n v="0.25072471483257758"/>
    <x v="9"/>
    <n v="2023"/>
  </r>
  <r>
    <s v="O02462"/>
    <d v="2022-10-11T00:00:00"/>
    <x v="132"/>
    <x v="0"/>
    <x v="0"/>
    <s v="Paper"/>
    <s v="Product_186"/>
    <n v="3318.57"/>
    <n v="-437.06"/>
    <n v="0.12"/>
    <x v="0"/>
    <n v="-0.1317013050802002"/>
    <x v="5"/>
    <n v="2022"/>
  </r>
  <r>
    <s v="O02463"/>
    <d v="2023-11-07T00:00:00"/>
    <x v="723"/>
    <x v="3"/>
    <x v="1"/>
    <s v="Accessories"/>
    <s v="Product_45"/>
    <n v="2886.52"/>
    <n v="352.36"/>
    <n v="0.24"/>
    <x v="1"/>
    <n v="0.12207086734198967"/>
    <x v="9"/>
    <n v="2023"/>
  </r>
  <r>
    <s v="O02464"/>
    <d v="2023-11-21T00:00:00"/>
    <x v="323"/>
    <x v="3"/>
    <x v="1"/>
    <s v="Copiers"/>
    <s v="Product_220"/>
    <n v="1411.57"/>
    <n v="338.57"/>
    <n v="0.02"/>
    <x v="1"/>
    <n v="0.23985349646138698"/>
    <x v="9"/>
    <n v="2023"/>
  </r>
  <r>
    <s v="O02465"/>
    <d v="2023-01-20T00:00:00"/>
    <x v="764"/>
    <x v="1"/>
    <x v="1"/>
    <s v="Phones"/>
    <s v="Product_303"/>
    <n v="2890.92"/>
    <n v="-156.86000000000001"/>
    <n v="0.2"/>
    <x v="0"/>
    <n v="-5.425954367467796E-2"/>
    <x v="1"/>
    <n v="2023"/>
  </r>
  <r>
    <s v="O02466"/>
    <d v="2023-05-04T00:00:00"/>
    <x v="609"/>
    <x v="1"/>
    <x v="1"/>
    <s v="Accessories"/>
    <s v="Product_10"/>
    <n v="2780.9"/>
    <n v="-553.63"/>
    <n v="0.11"/>
    <x v="0"/>
    <n v="-0.19908303067352295"/>
    <x v="11"/>
    <n v="2023"/>
  </r>
  <r>
    <s v="O02467"/>
    <d v="2023-09-30T00:00:00"/>
    <x v="94"/>
    <x v="2"/>
    <x v="1"/>
    <s v="Phones"/>
    <s v="Product_50"/>
    <n v="2229.52"/>
    <n v="-537.44000000000005"/>
    <n v="0.05"/>
    <x v="0"/>
    <n v="-0.24105637087803655"/>
    <x v="7"/>
    <n v="2023"/>
  </r>
  <r>
    <s v="O02468"/>
    <d v="2022-07-26T00:00:00"/>
    <x v="304"/>
    <x v="1"/>
    <x v="2"/>
    <s v="Bookcases"/>
    <s v="Product_385"/>
    <n v="3342"/>
    <n v="-655.12"/>
    <n v="0.04"/>
    <x v="0"/>
    <n v="-0.1960263315380012"/>
    <x v="2"/>
    <n v="2022"/>
  </r>
  <r>
    <s v="O02469"/>
    <d v="2023-08-04T00:00:00"/>
    <x v="241"/>
    <x v="2"/>
    <x v="0"/>
    <s v="Paper"/>
    <s v="Product_208"/>
    <n v="4539.09"/>
    <n v="-509.95"/>
    <n v="0.19"/>
    <x v="0"/>
    <n v="-0.11234630729948072"/>
    <x v="3"/>
    <n v="2023"/>
  </r>
  <r>
    <s v="O02470"/>
    <d v="2023-03-13T00:00:00"/>
    <x v="765"/>
    <x v="2"/>
    <x v="2"/>
    <s v="Bookcases"/>
    <s v="Product_119"/>
    <n v="4778.97"/>
    <n v="-1412.11"/>
    <n v="0.14000000000000001"/>
    <x v="0"/>
    <n v="-0.29548417336790139"/>
    <x v="6"/>
    <n v="2023"/>
  </r>
  <r>
    <s v="O02471"/>
    <d v="2023-02-03T00:00:00"/>
    <x v="766"/>
    <x v="0"/>
    <x v="2"/>
    <s v="Bookcases"/>
    <s v="Product_236"/>
    <n v="4926.9399999999996"/>
    <n v="13.35"/>
    <n v="0.06"/>
    <x v="1"/>
    <n v="2.7095925665829097E-3"/>
    <x v="10"/>
    <n v="2023"/>
  </r>
  <r>
    <s v="O02472"/>
    <d v="2023-10-27T00:00:00"/>
    <x v="642"/>
    <x v="2"/>
    <x v="1"/>
    <s v="Copiers"/>
    <s v="Product_181"/>
    <n v="2926.2"/>
    <n v="37.99"/>
    <n v="0.16"/>
    <x v="1"/>
    <n v="1.2982707948875677E-2"/>
    <x v="5"/>
    <n v="2023"/>
  </r>
  <r>
    <s v="O02473"/>
    <d v="2023-12-17T00:00:00"/>
    <x v="222"/>
    <x v="3"/>
    <x v="2"/>
    <s v="Bookcases"/>
    <s v="Product_104"/>
    <n v="4686.25"/>
    <n v="-323.52999999999997"/>
    <n v="0.28000000000000003"/>
    <x v="0"/>
    <n v="-6.9038143504934646E-2"/>
    <x v="4"/>
    <n v="2023"/>
  </r>
  <r>
    <s v="O02474"/>
    <d v="2022-07-12T00:00:00"/>
    <x v="142"/>
    <x v="3"/>
    <x v="2"/>
    <s v="Bookcases"/>
    <s v="Product_94"/>
    <n v="549.30999999999995"/>
    <n v="-127.83"/>
    <n v="0.23"/>
    <x v="0"/>
    <n v="-0.23271012725055071"/>
    <x v="2"/>
    <n v="2022"/>
  </r>
  <r>
    <s v="O02475"/>
    <d v="2022-12-27T00:00:00"/>
    <x v="714"/>
    <x v="3"/>
    <x v="2"/>
    <s v="Chairs"/>
    <s v="Product_249"/>
    <n v="809.19"/>
    <n v="82.26"/>
    <n v="0.05"/>
    <x v="1"/>
    <n v="0.10165721276832387"/>
    <x v="4"/>
    <n v="2022"/>
  </r>
  <r>
    <s v="O02476"/>
    <d v="2022-10-18T00:00:00"/>
    <x v="366"/>
    <x v="0"/>
    <x v="1"/>
    <s v="Accessories"/>
    <s v="Product_365"/>
    <n v="4966.62"/>
    <n v="-478.5"/>
    <n v="0.17"/>
    <x v="0"/>
    <n v="-9.634318711719439E-2"/>
    <x v="5"/>
    <n v="2022"/>
  </r>
  <r>
    <s v="O02477"/>
    <d v="2022-11-10T00:00:00"/>
    <x v="415"/>
    <x v="2"/>
    <x v="2"/>
    <s v="Chairs"/>
    <s v="Product_255"/>
    <n v="787.37"/>
    <n v="-166.48"/>
    <n v="0.28999999999999998"/>
    <x v="0"/>
    <n v="-0.21143807866695452"/>
    <x v="9"/>
    <n v="2022"/>
  </r>
  <r>
    <s v="O02478"/>
    <d v="2022-04-02T00:00:00"/>
    <x v="674"/>
    <x v="1"/>
    <x v="1"/>
    <s v="Accessories"/>
    <s v="Product_198"/>
    <n v="2904.74"/>
    <n v="505.47"/>
    <n v="0.18"/>
    <x v="1"/>
    <n v="0.17401557454367692"/>
    <x v="0"/>
    <n v="2022"/>
  </r>
  <r>
    <s v="O02479"/>
    <d v="2022-02-03T00:00:00"/>
    <x v="502"/>
    <x v="2"/>
    <x v="1"/>
    <s v="Accessories"/>
    <s v="Product_126"/>
    <n v="3484.07"/>
    <n v="1061.74"/>
    <n v="0.01"/>
    <x v="1"/>
    <n v="0.30474129394644767"/>
    <x v="10"/>
    <n v="2022"/>
  </r>
  <r>
    <s v="O02480"/>
    <d v="2023-01-31T00:00:00"/>
    <x v="301"/>
    <x v="2"/>
    <x v="1"/>
    <s v="Accessories"/>
    <s v="Product_316"/>
    <n v="3525.25"/>
    <n v="-1118.98"/>
    <n v="0.14000000000000001"/>
    <x v="0"/>
    <n v="-0.31741862279270971"/>
    <x v="1"/>
    <n v="2023"/>
  </r>
  <r>
    <s v="O02481"/>
    <d v="2023-10-28T00:00:00"/>
    <x v="664"/>
    <x v="1"/>
    <x v="2"/>
    <s v="Tables"/>
    <s v="Product_292"/>
    <n v="2262.7600000000002"/>
    <n v="341.66"/>
    <n v="0.03"/>
    <x v="1"/>
    <n v="0.15099259311637114"/>
    <x v="5"/>
    <n v="2023"/>
  </r>
  <r>
    <s v="O02482"/>
    <d v="2023-08-31T00:00:00"/>
    <x v="245"/>
    <x v="0"/>
    <x v="0"/>
    <s v="Paper"/>
    <s v="Product_92"/>
    <n v="1191.43"/>
    <n v="186.86"/>
    <n v="0.06"/>
    <x v="1"/>
    <n v="0.15683674240198753"/>
    <x v="3"/>
    <n v="2023"/>
  </r>
  <r>
    <s v="O02483"/>
    <d v="2023-11-22T00:00:00"/>
    <x v="287"/>
    <x v="2"/>
    <x v="1"/>
    <s v="Accessories"/>
    <s v="Product_154"/>
    <n v="639.6"/>
    <n v="-52.7"/>
    <n v="0.16"/>
    <x v="0"/>
    <n v="-8.2395247029393368E-2"/>
    <x v="9"/>
    <n v="2023"/>
  </r>
  <r>
    <s v="O02484"/>
    <d v="2023-09-28T00:00:00"/>
    <x v="361"/>
    <x v="3"/>
    <x v="2"/>
    <s v="Chairs"/>
    <s v="Product_314"/>
    <n v="4281.29"/>
    <n v="726.53"/>
    <n v="0.18"/>
    <x v="1"/>
    <n v="0.16969885244867786"/>
    <x v="7"/>
    <n v="2023"/>
  </r>
  <r>
    <s v="O02485"/>
    <d v="2022-11-02T00:00:00"/>
    <x v="22"/>
    <x v="3"/>
    <x v="1"/>
    <s v="Accessories"/>
    <s v="Product_448"/>
    <n v="4620.76"/>
    <n v="-273.67"/>
    <n v="0.12"/>
    <x v="0"/>
    <n v="-5.9226187899826005E-2"/>
    <x v="9"/>
    <n v="2022"/>
  </r>
  <r>
    <s v="O02486"/>
    <d v="2022-11-09T00:00:00"/>
    <x v="461"/>
    <x v="0"/>
    <x v="1"/>
    <s v="Copiers"/>
    <s v="Product_203"/>
    <n v="1184.8900000000001"/>
    <n v="72.680000000000007"/>
    <n v="0.21"/>
    <x v="1"/>
    <n v="6.1339027251474824E-2"/>
    <x v="9"/>
    <n v="2022"/>
  </r>
  <r>
    <s v="O02487"/>
    <d v="2023-12-24T00:00:00"/>
    <x v="331"/>
    <x v="3"/>
    <x v="0"/>
    <s v="Storage"/>
    <s v="Product_297"/>
    <n v="2986.53"/>
    <n v="-849.74"/>
    <n v="0.23"/>
    <x v="0"/>
    <n v="-0.28452418023592596"/>
    <x v="4"/>
    <n v="2023"/>
  </r>
  <r>
    <s v="O02488"/>
    <d v="2022-09-28T00:00:00"/>
    <x v="378"/>
    <x v="1"/>
    <x v="1"/>
    <s v="Accessories"/>
    <s v="Product_75"/>
    <n v="1209.43"/>
    <n v="80.12"/>
    <n v="0.26"/>
    <x v="1"/>
    <n v="6.6246082865482087E-2"/>
    <x v="7"/>
    <n v="2022"/>
  </r>
  <r>
    <s v="O02489"/>
    <d v="2023-05-04T00:00:00"/>
    <x v="443"/>
    <x v="1"/>
    <x v="2"/>
    <s v="Chairs"/>
    <s v="Product_295"/>
    <n v="3007.27"/>
    <n v="-821.04"/>
    <n v="0.15"/>
    <x v="0"/>
    <n v="-0.27301838544593598"/>
    <x v="11"/>
    <n v="2023"/>
  </r>
  <r>
    <s v="O02490"/>
    <d v="2022-10-04T00:00:00"/>
    <x v="108"/>
    <x v="1"/>
    <x v="0"/>
    <s v="Storage"/>
    <s v="Product_81"/>
    <n v="3248.47"/>
    <n v="-358.69"/>
    <n v="0.26"/>
    <x v="0"/>
    <n v="-0.11041813530677519"/>
    <x v="5"/>
    <n v="2022"/>
  </r>
  <r>
    <s v="O02491"/>
    <d v="2022-03-04T00:00:00"/>
    <x v="410"/>
    <x v="1"/>
    <x v="2"/>
    <s v="Chairs"/>
    <s v="Product_59"/>
    <n v="4988.76"/>
    <n v="-811.54"/>
    <n v="0.23"/>
    <x v="0"/>
    <n v="-0.16267369045614541"/>
    <x v="6"/>
    <n v="2022"/>
  </r>
  <r>
    <s v="O02492"/>
    <d v="2022-12-23T00:00:00"/>
    <x v="646"/>
    <x v="3"/>
    <x v="1"/>
    <s v="Phones"/>
    <s v="Product_323"/>
    <n v="2446.7600000000002"/>
    <n v="540.66999999999996"/>
    <n v="0.09"/>
    <x v="1"/>
    <n v="0.22097385930781929"/>
    <x v="4"/>
    <n v="2022"/>
  </r>
  <r>
    <s v="O02493"/>
    <d v="2022-05-09T00:00:00"/>
    <x v="216"/>
    <x v="1"/>
    <x v="0"/>
    <s v="Paper"/>
    <s v="Product_6"/>
    <n v="1915.67"/>
    <n v="21.77"/>
    <n v="0.14000000000000001"/>
    <x v="1"/>
    <n v="1.1364170238089022E-2"/>
    <x v="11"/>
    <n v="2022"/>
  </r>
  <r>
    <s v="O02494"/>
    <d v="2022-03-07T00:00:00"/>
    <x v="57"/>
    <x v="1"/>
    <x v="2"/>
    <s v="Tables"/>
    <s v="Product_291"/>
    <n v="1462.87"/>
    <n v="-215.58"/>
    <n v="0.13"/>
    <x v="0"/>
    <n v="-0.1473678453997963"/>
    <x v="6"/>
    <n v="2022"/>
  </r>
  <r>
    <s v="O02495"/>
    <d v="2022-05-20T00:00:00"/>
    <x v="707"/>
    <x v="0"/>
    <x v="2"/>
    <s v="Chairs"/>
    <s v="Product_105"/>
    <n v="793.03"/>
    <n v="-163.79"/>
    <n v="0.22"/>
    <x v="0"/>
    <n v="-0.20653695320479679"/>
    <x v="11"/>
    <n v="2022"/>
  </r>
  <r>
    <s v="O02496"/>
    <d v="2023-12-25T00:00:00"/>
    <x v="59"/>
    <x v="2"/>
    <x v="0"/>
    <s v="Paper"/>
    <s v="Product_98"/>
    <n v="1733.26"/>
    <n v="-184.17"/>
    <n v="0.12"/>
    <x v="0"/>
    <n v="-0.10625641854078441"/>
    <x v="4"/>
    <n v="2023"/>
  </r>
  <r>
    <s v="O02497"/>
    <d v="2022-01-03T00:00:00"/>
    <x v="78"/>
    <x v="2"/>
    <x v="1"/>
    <s v="Copiers"/>
    <s v="Product_498"/>
    <n v="1753.17"/>
    <n v="-205.45"/>
    <n v="0.2"/>
    <x v="0"/>
    <n v="-0.11718772281068007"/>
    <x v="1"/>
    <n v="2022"/>
  </r>
  <r>
    <s v="O02498"/>
    <d v="2023-01-05T00:00:00"/>
    <x v="87"/>
    <x v="3"/>
    <x v="2"/>
    <s v="Bookcases"/>
    <s v="Product_97"/>
    <n v="3086.47"/>
    <n v="-998"/>
    <n v="0.28000000000000003"/>
    <x v="0"/>
    <n v="-0.32334673591513935"/>
    <x v="1"/>
    <n v="2023"/>
  </r>
  <r>
    <s v="O02499"/>
    <d v="2022-08-17T00:00:00"/>
    <x v="317"/>
    <x v="3"/>
    <x v="1"/>
    <s v="Copiers"/>
    <s v="Product_25"/>
    <n v="1703.55"/>
    <n v="-458.62"/>
    <n v="0.12"/>
    <x v="0"/>
    <n v="-0.26921428781074813"/>
    <x v="3"/>
    <n v="2022"/>
  </r>
  <r>
    <s v="O02500"/>
    <d v="2023-11-18T00:00:00"/>
    <x v="212"/>
    <x v="1"/>
    <x v="2"/>
    <s v="Tables"/>
    <s v="Product_18"/>
    <n v="4462.22"/>
    <n v="-69.44"/>
    <n v="0.06"/>
    <x v="0"/>
    <n v="-1.5561760737928653E-2"/>
    <x v="9"/>
    <n v="2023"/>
  </r>
  <r>
    <s v="O02501"/>
    <d v="2022-08-01T00:00:00"/>
    <x v="665"/>
    <x v="0"/>
    <x v="2"/>
    <s v="Chairs"/>
    <s v="Product_10"/>
    <n v="1619.13"/>
    <n v="-211.99"/>
    <n v="0.09"/>
    <x v="0"/>
    <n v="-0.13092833805809292"/>
    <x v="3"/>
    <n v="2022"/>
  </r>
  <r>
    <s v="O02502"/>
    <d v="2023-12-11T00:00:00"/>
    <x v="219"/>
    <x v="2"/>
    <x v="1"/>
    <s v="Phones"/>
    <s v="Product_401"/>
    <n v="3350.1"/>
    <n v="-537.99"/>
    <n v="0.21"/>
    <x v="0"/>
    <n v="-0.16058923614220472"/>
    <x v="4"/>
    <n v="2023"/>
  </r>
  <r>
    <s v="O02503"/>
    <d v="2023-10-29T00:00:00"/>
    <x v="360"/>
    <x v="1"/>
    <x v="0"/>
    <s v="Binders"/>
    <s v="Product_292"/>
    <n v="260.08"/>
    <n v="39.83"/>
    <n v="0.24"/>
    <x v="1"/>
    <n v="0.15314518609658567"/>
    <x v="5"/>
    <n v="2023"/>
  </r>
  <r>
    <s v="O02504"/>
    <d v="2023-11-01T00:00:00"/>
    <x v="416"/>
    <x v="2"/>
    <x v="1"/>
    <s v="Accessories"/>
    <s v="Product_225"/>
    <n v="3790.99"/>
    <n v="-1509.59"/>
    <n v="0.28999999999999998"/>
    <x v="0"/>
    <n v="-0.39820469059533264"/>
    <x v="9"/>
    <n v="2023"/>
  </r>
  <r>
    <s v="O02505"/>
    <d v="2022-08-01T00:00:00"/>
    <x v="267"/>
    <x v="0"/>
    <x v="1"/>
    <s v="Phones"/>
    <s v="Product_80"/>
    <n v="2382.5"/>
    <n v="-565.79"/>
    <n v="0.06"/>
    <x v="0"/>
    <n v="-0.23747743966421825"/>
    <x v="3"/>
    <n v="2022"/>
  </r>
  <r>
    <s v="O02506"/>
    <d v="2022-06-17T00:00:00"/>
    <x v="491"/>
    <x v="3"/>
    <x v="2"/>
    <s v="Bookcases"/>
    <s v="Product_217"/>
    <n v="3990.3"/>
    <n v="472.25"/>
    <n v="0.25"/>
    <x v="1"/>
    <n v="0.11834949753151391"/>
    <x v="8"/>
    <n v="2022"/>
  </r>
  <r>
    <s v="O02507"/>
    <d v="2022-06-13T00:00:00"/>
    <x v="424"/>
    <x v="1"/>
    <x v="1"/>
    <s v="Accessories"/>
    <s v="Product_69"/>
    <n v="987.75"/>
    <n v="7.8"/>
    <n v="0.23"/>
    <x v="1"/>
    <n v="7.8967350037965067E-3"/>
    <x v="8"/>
    <n v="2022"/>
  </r>
  <r>
    <s v="O02508"/>
    <d v="2022-05-18T00:00:00"/>
    <x v="22"/>
    <x v="2"/>
    <x v="0"/>
    <s v="Binders"/>
    <s v="Product_294"/>
    <n v="3155.68"/>
    <n v="-593.98"/>
    <n v="7.0000000000000007E-2"/>
    <x v="0"/>
    <n v="-0.18822567560715917"/>
    <x v="11"/>
    <n v="2022"/>
  </r>
  <r>
    <s v="O02509"/>
    <d v="2022-07-22T00:00:00"/>
    <x v="767"/>
    <x v="2"/>
    <x v="2"/>
    <s v="Chairs"/>
    <s v="Product_240"/>
    <n v="1101.6099999999999"/>
    <n v="-205.8"/>
    <n v="0"/>
    <x v="0"/>
    <n v="-0.18681747623932246"/>
    <x v="2"/>
    <n v="2022"/>
  </r>
  <r>
    <s v="O02510"/>
    <d v="2023-04-13T00:00:00"/>
    <x v="120"/>
    <x v="0"/>
    <x v="1"/>
    <s v="Phones"/>
    <s v="Product_225"/>
    <n v="3696.91"/>
    <n v="1111.08"/>
    <n v="0.04"/>
    <x v="1"/>
    <n v="0.3005428858154513"/>
    <x v="0"/>
    <n v="2023"/>
  </r>
  <r>
    <s v="O02511"/>
    <d v="2022-11-19T00:00:00"/>
    <x v="309"/>
    <x v="0"/>
    <x v="1"/>
    <s v="Phones"/>
    <s v="Product_89"/>
    <n v="3901.94"/>
    <n v="-669.48"/>
    <n v="0.18"/>
    <x v="0"/>
    <n v="-0.1715761903053353"/>
    <x v="9"/>
    <n v="2022"/>
  </r>
  <r>
    <s v="O02512"/>
    <d v="2022-06-27T00:00:00"/>
    <x v="248"/>
    <x v="3"/>
    <x v="1"/>
    <s v="Copiers"/>
    <s v="Product_418"/>
    <n v="1913.96"/>
    <n v="660.2"/>
    <n v="0.02"/>
    <x v="1"/>
    <n v="0.34493928817739139"/>
    <x v="8"/>
    <n v="2022"/>
  </r>
  <r>
    <s v="O02513"/>
    <d v="2022-05-15T00:00:00"/>
    <x v="390"/>
    <x v="1"/>
    <x v="1"/>
    <s v="Phones"/>
    <s v="Product_277"/>
    <n v="1251.44"/>
    <n v="200.28"/>
    <n v="7.0000000000000007E-2"/>
    <x v="1"/>
    <n v="0.16003963434123888"/>
    <x v="11"/>
    <n v="2022"/>
  </r>
  <r>
    <s v="O02514"/>
    <d v="2022-01-17T00:00:00"/>
    <x v="137"/>
    <x v="2"/>
    <x v="1"/>
    <s v="Accessories"/>
    <s v="Product_368"/>
    <n v="433.7"/>
    <n v="-61.19"/>
    <n v="0.28999999999999998"/>
    <x v="0"/>
    <n v="-0.14108830989163015"/>
    <x v="1"/>
    <n v="2022"/>
  </r>
  <r>
    <s v="O02515"/>
    <d v="2023-01-18T00:00:00"/>
    <x v="314"/>
    <x v="2"/>
    <x v="2"/>
    <s v="Chairs"/>
    <s v="Product_417"/>
    <n v="3343.4"/>
    <n v="-697.86"/>
    <n v="0.04"/>
    <x v="0"/>
    <n v="-0.20872764251959083"/>
    <x v="1"/>
    <n v="2023"/>
  </r>
  <r>
    <s v="O02516"/>
    <d v="2023-04-19T00:00:00"/>
    <x v="696"/>
    <x v="0"/>
    <x v="0"/>
    <s v="Paper"/>
    <s v="Product_426"/>
    <n v="4589.83"/>
    <n v="1146.81"/>
    <n v="0.08"/>
    <x v="1"/>
    <n v="0.24985892723695649"/>
    <x v="0"/>
    <n v="2023"/>
  </r>
  <r>
    <s v="O02517"/>
    <d v="2023-02-28T00:00:00"/>
    <x v="73"/>
    <x v="1"/>
    <x v="1"/>
    <s v="Copiers"/>
    <s v="Product_474"/>
    <n v="3216.71"/>
    <n v="466.11"/>
    <n v="0.15"/>
    <x v="1"/>
    <n v="0.14490271115518652"/>
    <x v="10"/>
    <n v="2023"/>
  </r>
  <r>
    <s v="O02518"/>
    <d v="2023-03-28T00:00:00"/>
    <x v="377"/>
    <x v="2"/>
    <x v="1"/>
    <s v="Phones"/>
    <s v="Product_323"/>
    <n v="1992.95"/>
    <n v="-505.34"/>
    <n v="0.19"/>
    <x v="0"/>
    <n v="-0.2535638124388469"/>
    <x v="6"/>
    <n v="2023"/>
  </r>
  <r>
    <s v="O02519"/>
    <d v="2022-11-21T00:00:00"/>
    <x v="488"/>
    <x v="0"/>
    <x v="2"/>
    <s v="Tables"/>
    <s v="Product_411"/>
    <n v="2578.37"/>
    <n v="-959.34"/>
    <n v="0.28000000000000003"/>
    <x v="0"/>
    <n v="-0.37207227822228778"/>
    <x v="9"/>
    <n v="2022"/>
  </r>
  <r>
    <s v="O02520"/>
    <d v="2023-12-31T00:00:00"/>
    <x v="114"/>
    <x v="1"/>
    <x v="0"/>
    <s v="Storage"/>
    <s v="Product_485"/>
    <n v="1781.89"/>
    <n v="0.47"/>
    <n v="0.12"/>
    <x v="1"/>
    <n v="2.6376487886457632E-4"/>
    <x v="4"/>
    <n v="2023"/>
  </r>
  <r>
    <s v="O02521"/>
    <d v="2022-03-20T00:00:00"/>
    <x v="681"/>
    <x v="0"/>
    <x v="2"/>
    <s v="Tables"/>
    <s v="Product_67"/>
    <n v="1320.61"/>
    <n v="110.99"/>
    <n v="0.06"/>
    <x v="1"/>
    <n v="8.404449458962146E-2"/>
    <x v="6"/>
    <n v="2022"/>
  </r>
  <r>
    <s v="O02522"/>
    <d v="2023-06-10T00:00:00"/>
    <x v="705"/>
    <x v="1"/>
    <x v="2"/>
    <s v="Chairs"/>
    <s v="Product_357"/>
    <n v="4898.7"/>
    <n v="170.15"/>
    <n v="0.04"/>
    <x v="1"/>
    <n v="3.473370486047319E-2"/>
    <x v="8"/>
    <n v="2023"/>
  </r>
  <r>
    <s v="O02523"/>
    <d v="2022-02-21T00:00:00"/>
    <x v="561"/>
    <x v="0"/>
    <x v="1"/>
    <s v="Copiers"/>
    <s v="Product_233"/>
    <n v="2808.71"/>
    <n v="15.86"/>
    <n v="0.24"/>
    <x v="1"/>
    <n v="5.6467203805305637E-3"/>
    <x v="10"/>
    <n v="2022"/>
  </r>
  <r>
    <s v="O02524"/>
    <d v="2022-08-19T00:00:00"/>
    <x v="401"/>
    <x v="1"/>
    <x v="2"/>
    <s v="Tables"/>
    <s v="Product_181"/>
    <n v="1527.61"/>
    <n v="255.98"/>
    <n v="0.01"/>
    <x v="1"/>
    <n v="0.16756894757169696"/>
    <x v="3"/>
    <n v="2022"/>
  </r>
  <r>
    <s v="O02525"/>
    <d v="2022-07-02T00:00:00"/>
    <x v="401"/>
    <x v="3"/>
    <x v="2"/>
    <s v="Bookcases"/>
    <s v="Product_377"/>
    <n v="4860.96"/>
    <n v="129.63"/>
    <n v="0.19"/>
    <x v="1"/>
    <n v="2.6667571837661695E-2"/>
    <x v="2"/>
    <n v="2022"/>
  </r>
  <r>
    <s v="O02526"/>
    <d v="2023-02-02T00:00:00"/>
    <x v="695"/>
    <x v="3"/>
    <x v="2"/>
    <s v="Tables"/>
    <s v="Product_128"/>
    <n v="599.91999999999996"/>
    <n v="175.89"/>
    <n v="0.05"/>
    <x v="1"/>
    <n v="0.29318909187891717"/>
    <x v="10"/>
    <n v="2023"/>
  </r>
  <r>
    <s v="O02527"/>
    <d v="2022-10-24T00:00:00"/>
    <x v="333"/>
    <x v="1"/>
    <x v="2"/>
    <s v="Bookcases"/>
    <s v="Product_58"/>
    <n v="2326.58"/>
    <n v="-78.099999999999994"/>
    <n v="0.05"/>
    <x v="0"/>
    <n v="-3.3568585649322177E-2"/>
    <x v="5"/>
    <n v="2022"/>
  </r>
  <r>
    <s v="O02528"/>
    <d v="2023-08-29T00:00:00"/>
    <x v="336"/>
    <x v="2"/>
    <x v="1"/>
    <s v="Phones"/>
    <s v="Product_436"/>
    <n v="1946.73"/>
    <n v="363.15"/>
    <n v="0.1"/>
    <x v="1"/>
    <n v="0.18654358847914193"/>
    <x v="3"/>
    <n v="2023"/>
  </r>
  <r>
    <s v="O02529"/>
    <d v="2022-07-20T00:00:00"/>
    <x v="718"/>
    <x v="3"/>
    <x v="2"/>
    <s v="Chairs"/>
    <s v="Product_151"/>
    <n v="3726.19"/>
    <n v="461.11"/>
    <n v="0"/>
    <x v="1"/>
    <n v="0.12374838642151903"/>
    <x v="2"/>
    <n v="2022"/>
  </r>
  <r>
    <s v="O02530"/>
    <d v="2023-06-16T00:00:00"/>
    <x v="302"/>
    <x v="3"/>
    <x v="1"/>
    <s v="Accessories"/>
    <s v="Product_7"/>
    <n v="4398.32"/>
    <n v="-1175.06"/>
    <n v="0.25"/>
    <x v="0"/>
    <n v="-0.2671610978737336"/>
    <x v="8"/>
    <n v="2023"/>
  </r>
  <r>
    <s v="O02531"/>
    <d v="2023-09-21T00:00:00"/>
    <x v="7"/>
    <x v="2"/>
    <x v="1"/>
    <s v="Accessories"/>
    <s v="Product_393"/>
    <n v="201.97"/>
    <n v="53.75"/>
    <n v="0.05"/>
    <x v="1"/>
    <n v="0.26612863296529188"/>
    <x v="7"/>
    <n v="2023"/>
  </r>
  <r>
    <s v="O02532"/>
    <d v="2022-07-14T00:00:00"/>
    <x v="755"/>
    <x v="2"/>
    <x v="0"/>
    <s v="Storage"/>
    <s v="Product_255"/>
    <n v="1811.87"/>
    <n v="262.67"/>
    <n v="0.18"/>
    <x v="1"/>
    <n v="0.14497176949781168"/>
    <x v="2"/>
    <n v="2022"/>
  </r>
  <r>
    <s v="O02533"/>
    <d v="2023-11-05T00:00:00"/>
    <x v="286"/>
    <x v="1"/>
    <x v="1"/>
    <s v="Copiers"/>
    <s v="Product_486"/>
    <n v="3539.75"/>
    <n v="22.24"/>
    <n v="0.05"/>
    <x v="1"/>
    <n v="6.2829295854226986E-3"/>
    <x v="9"/>
    <n v="2023"/>
  </r>
  <r>
    <s v="O02534"/>
    <d v="2023-05-25T00:00:00"/>
    <x v="728"/>
    <x v="3"/>
    <x v="0"/>
    <s v="Storage"/>
    <s v="Product_407"/>
    <n v="1651.01"/>
    <n v="-262.52"/>
    <n v="7.0000000000000007E-2"/>
    <x v="0"/>
    <n v="-0.15900569954149277"/>
    <x v="11"/>
    <n v="2023"/>
  </r>
  <r>
    <s v="O02535"/>
    <d v="2022-03-24T00:00:00"/>
    <x v="752"/>
    <x v="3"/>
    <x v="2"/>
    <s v="Chairs"/>
    <s v="Product_278"/>
    <n v="4569.04"/>
    <n v="-1642.47"/>
    <n v="0.17"/>
    <x v="0"/>
    <n v="-0.35947813982806015"/>
    <x v="6"/>
    <n v="2022"/>
  </r>
  <r>
    <s v="O02536"/>
    <d v="2023-08-10T00:00:00"/>
    <x v="262"/>
    <x v="1"/>
    <x v="2"/>
    <s v="Chairs"/>
    <s v="Product_78"/>
    <n v="4066.65"/>
    <n v="620.04999999999995"/>
    <n v="0.04"/>
    <x v="1"/>
    <n v="0.15247193636039491"/>
    <x v="3"/>
    <n v="2023"/>
  </r>
  <r>
    <s v="O02537"/>
    <d v="2023-02-25T00:00:00"/>
    <x v="622"/>
    <x v="0"/>
    <x v="0"/>
    <s v="Paper"/>
    <s v="Product_78"/>
    <n v="673.43"/>
    <n v="147.35"/>
    <n v="0.1"/>
    <x v="1"/>
    <n v="0.21880522103262404"/>
    <x v="10"/>
    <n v="2023"/>
  </r>
  <r>
    <s v="O02538"/>
    <d v="2022-08-27T00:00:00"/>
    <x v="149"/>
    <x v="1"/>
    <x v="0"/>
    <s v="Paper"/>
    <s v="Product_238"/>
    <n v="1647.44"/>
    <n v="-84.12"/>
    <n v="0.2"/>
    <x v="0"/>
    <n v="-5.1061040159277427E-2"/>
    <x v="3"/>
    <n v="2022"/>
  </r>
  <r>
    <s v="O02539"/>
    <d v="2023-09-30T00:00:00"/>
    <x v="443"/>
    <x v="3"/>
    <x v="0"/>
    <s v="Storage"/>
    <s v="Product_341"/>
    <n v="4080.58"/>
    <n v="-1169.43"/>
    <n v="0.19"/>
    <x v="0"/>
    <n v="-0.28658426008067484"/>
    <x v="7"/>
    <n v="2023"/>
  </r>
  <r>
    <s v="O02540"/>
    <d v="2023-10-01T00:00:00"/>
    <x v="768"/>
    <x v="0"/>
    <x v="2"/>
    <s v="Chairs"/>
    <s v="Product_331"/>
    <n v="2214.1799999999998"/>
    <n v="394.01"/>
    <n v="0.02"/>
    <x v="1"/>
    <n v="0.17794849560559667"/>
    <x v="5"/>
    <n v="2023"/>
  </r>
  <r>
    <s v="O02541"/>
    <d v="2022-08-17T00:00:00"/>
    <x v="598"/>
    <x v="0"/>
    <x v="0"/>
    <s v="Storage"/>
    <s v="Product_23"/>
    <n v="1764.25"/>
    <n v="307.52999999999997"/>
    <n v="0.06"/>
    <x v="1"/>
    <n v="0.17431203060790704"/>
    <x v="3"/>
    <n v="2022"/>
  </r>
  <r>
    <s v="O02542"/>
    <d v="2022-06-10T00:00:00"/>
    <x v="588"/>
    <x v="0"/>
    <x v="1"/>
    <s v="Copiers"/>
    <s v="Product_91"/>
    <n v="2718.72"/>
    <n v="-101.62"/>
    <n v="0.26"/>
    <x v="0"/>
    <n v="-3.7377883709981172E-2"/>
    <x v="8"/>
    <n v="2022"/>
  </r>
  <r>
    <s v="O02543"/>
    <d v="2022-10-31T00:00:00"/>
    <x v="50"/>
    <x v="0"/>
    <x v="2"/>
    <s v="Chairs"/>
    <s v="Product_365"/>
    <n v="4753.8100000000004"/>
    <n v="-970.91"/>
    <n v="0.05"/>
    <x v="0"/>
    <n v="-0.20423828466009367"/>
    <x v="5"/>
    <n v="2022"/>
  </r>
  <r>
    <s v="O02544"/>
    <d v="2023-05-27T00:00:00"/>
    <x v="204"/>
    <x v="3"/>
    <x v="1"/>
    <s v="Copiers"/>
    <s v="Product_458"/>
    <n v="852.9"/>
    <n v="-67.98"/>
    <n v="0.13"/>
    <x v="0"/>
    <n v="-7.9704537460429131E-2"/>
    <x v="11"/>
    <n v="2023"/>
  </r>
  <r>
    <s v="O02545"/>
    <d v="2023-07-24T00:00:00"/>
    <x v="35"/>
    <x v="0"/>
    <x v="2"/>
    <s v="Chairs"/>
    <s v="Product_200"/>
    <n v="3841.52"/>
    <n v="-130.5"/>
    <n v="0.03"/>
    <x v="0"/>
    <n v="-3.397092817426435E-2"/>
    <x v="2"/>
    <n v="2023"/>
  </r>
  <r>
    <s v="O02546"/>
    <d v="2022-02-13T00:00:00"/>
    <x v="639"/>
    <x v="1"/>
    <x v="1"/>
    <s v="Accessories"/>
    <s v="Product_292"/>
    <n v="3775.38"/>
    <n v="-172.79"/>
    <n v="0.25"/>
    <x v="0"/>
    <n v="-4.5767578362972731E-2"/>
    <x v="10"/>
    <n v="2022"/>
  </r>
  <r>
    <s v="O02547"/>
    <d v="2022-11-18T00:00:00"/>
    <x v="466"/>
    <x v="3"/>
    <x v="0"/>
    <s v="Paper"/>
    <s v="Product_398"/>
    <n v="2267"/>
    <n v="-483.48"/>
    <n v="0.16"/>
    <x v="0"/>
    <n v="-0.21326863696515219"/>
    <x v="9"/>
    <n v="2022"/>
  </r>
  <r>
    <s v="O02548"/>
    <d v="2022-11-15T00:00:00"/>
    <x v="539"/>
    <x v="0"/>
    <x v="0"/>
    <s v="Paper"/>
    <s v="Product_306"/>
    <n v="3225.25"/>
    <n v="780.93"/>
    <n v="0.08"/>
    <x v="1"/>
    <n v="0.24213006743663279"/>
    <x v="9"/>
    <n v="2022"/>
  </r>
  <r>
    <s v="O02549"/>
    <d v="2023-09-18T00:00:00"/>
    <x v="594"/>
    <x v="2"/>
    <x v="1"/>
    <s v="Copiers"/>
    <s v="Product_415"/>
    <n v="733.58"/>
    <n v="-133.38"/>
    <n v="0.09"/>
    <x v="0"/>
    <n v="-0.18182066032334576"/>
    <x v="7"/>
    <n v="2023"/>
  </r>
  <r>
    <s v="O02550"/>
    <d v="2022-03-07T00:00:00"/>
    <x v="228"/>
    <x v="3"/>
    <x v="2"/>
    <s v="Chairs"/>
    <s v="Product_84"/>
    <n v="468.01"/>
    <n v="-31.18"/>
    <n v="0.05"/>
    <x v="0"/>
    <n v="-6.6622508066066968E-2"/>
    <x v="6"/>
    <n v="2022"/>
  </r>
  <r>
    <s v="O02551"/>
    <d v="2023-05-13T00:00:00"/>
    <x v="50"/>
    <x v="0"/>
    <x v="0"/>
    <s v="Paper"/>
    <s v="Product_47"/>
    <n v="2706.3"/>
    <n v="-1007.66"/>
    <n v="0.24"/>
    <x v="0"/>
    <n v="-0.37233861730037315"/>
    <x v="11"/>
    <n v="2023"/>
  </r>
  <r>
    <s v="O02552"/>
    <d v="2023-09-17T00:00:00"/>
    <x v="266"/>
    <x v="3"/>
    <x v="1"/>
    <s v="Copiers"/>
    <s v="Product_295"/>
    <n v="2287.92"/>
    <n v="-471.88"/>
    <n v="0.25"/>
    <x v="0"/>
    <n v="-0.20624847022623169"/>
    <x v="7"/>
    <n v="2023"/>
  </r>
  <r>
    <s v="O02553"/>
    <d v="2022-04-24T00:00:00"/>
    <x v="447"/>
    <x v="0"/>
    <x v="0"/>
    <s v="Storage"/>
    <s v="Product_30"/>
    <n v="573.02"/>
    <n v="96.83"/>
    <n v="0.05"/>
    <x v="1"/>
    <n v="0.16898188544902448"/>
    <x v="0"/>
    <n v="2022"/>
  </r>
  <r>
    <s v="O02554"/>
    <d v="2022-06-22T00:00:00"/>
    <x v="432"/>
    <x v="0"/>
    <x v="2"/>
    <s v="Tables"/>
    <s v="Product_32"/>
    <n v="2169.02"/>
    <n v="440.12"/>
    <n v="0.01"/>
    <x v="1"/>
    <n v="0.20291191413633808"/>
    <x v="8"/>
    <n v="2022"/>
  </r>
  <r>
    <s v="O02555"/>
    <d v="2022-07-18T00:00:00"/>
    <x v="642"/>
    <x v="2"/>
    <x v="2"/>
    <s v="Tables"/>
    <s v="Product_97"/>
    <n v="4687.6099999999997"/>
    <n v="-452.14"/>
    <n v="0.22"/>
    <x v="0"/>
    <n v="-9.6454269873133644E-2"/>
    <x v="2"/>
    <n v="2022"/>
  </r>
  <r>
    <s v="O02556"/>
    <d v="2022-10-04T00:00:00"/>
    <x v="581"/>
    <x v="1"/>
    <x v="2"/>
    <s v="Chairs"/>
    <s v="Product_282"/>
    <n v="1676.65"/>
    <n v="462.37"/>
    <n v="0.01"/>
    <x v="1"/>
    <n v="0.27577013688008828"/>
    <x v="5"/>
    <n v="2022"/>
  </r>
  <r>
    <s v="O02557"/>
    <d v="2023-03-04T00:00:00"/>
    <x v="127"/>
    <x v="1"/>
    <x v="0"/>
    <s v="Binders"/>
    <s v="Product_338"/>
    <n v="4683.0600000000004"/>
    <n v="-1277.99"/>
    <n v="0.17"/>
    <x v="0"/>
    <n v="-0.27289635409326379"/>
    <x v="6"/>
    <n v="2023"/>
  </r>
  <r>
    <s v="O02558"/>
    <d v="2023-03-19T00:00:00"/>
    <x v="629"/>
    <x v="2"/>
    <x v="0"/>
    <s v="Storage"/>
    <s v="Product_388"/>
    <n v="405.99"/>
    <n v="-7.96"/>
    <n v="0.14000000000000001"/>
    <x v="0"/>
    <n v="-1.96063942461637E-2"/>
    <x v="6"/>
    <n v="2023"/>
  </r>
  <r>
    <s v="O02559"/>
    <d v="2022-07-31T00:00:00"/>
    <x v="617"/>
    <x v="2"/>
    <x v="1"/>
    <s v="Phones"/>
    <s v="Product_345"/>
    <n v="4303.1899999999996"/>
    <n v="359.26"/>
    <n v="0.05"/>
    <x v="1"/>
    <n v="8.3486901577666806E-2"/>
    <x v="2"/>
    <n v="2022"/>
  </r>
  <r>
    <s v="O02560"/>
    <d v="2023-06-02T00:00:00"/>
    <x v="599"/>
    <x v="0"/>
    <x v="2"/>
    <s v="Chairs"/>
    <s v="Product_453"/>
    <n v="4091.33"/>
    <n v="524.47"/>
    <n v="0.12"/>
    <x v="1"/>
    <n v="0.12819058839057226"/>
    <x v="8"/>
    <n v="2023"/>
  </r>
  <r>
    <s v="O02561"/>
    <d v="2022-07-01T00:00:00"/>
    <x v="326"/>
    <x v="2"/>
    <x v="0"/>
    <s v="Storage"/>
    <s v="Product_54"/>
    <n v="4573.95"/>
    <n v="140.78"/>
    <n v="0.23"/>
    <x v="1"/>
    <n v="3.07786486516031E-2"/>
    <x v="2"/>
    <n v="2022"/>
  </r>
  <r>
    <s v="O02562"/>
    <d v="2022-03-18T00:00:00"/>
    <x v="129"/>
    <x v="1"/>
    <x v="2"/>
    <s v="Tables"/>
    <s v="Product_340"/>
    <n v="2805.53"/>
    <n v="-1191.8"/>
    <n v="0.28999999999999998"/>
    <x v="0"/>
    <n v="-0.4248038695005934"/>
    <x v="6"/>
    <n v="2022"/>
  </r>
  <r>
    <s v="O02563"/>
    <d v="2022-04-12T00:00:00"/>
    <x v="270"/>
    <x v="1"/>
    <x v="0"/>
    <s v="Binders"/>
    <s v="Product_179"/>
    <n v="1085.51"/>
    <n v="103.41"/>
    <n v="7.0000000000000007E-2"/>
    <x v="1"/>
    <n v="9.5263977300992161E-2"/>
    <x v="0"/>
    <n v="2022"/>
  </r>
  <r>
    <s v="O02564"/>
    <d v="2023-05-04T00:00:00"/>
    <x v="670"/>
    <x v="0"/>
    <x v="2"/>
    <s v="Tables"/>
    <s v="Product_208"/>
    <n v="3712.15"/>
    <n v="-1418.11"/>
    <n v="0.22"/>
    <x v="0"/>
    <n v="-0.3820185067952534"/>
    <x v="11"/>
    <n v="2023"/>
  </r>
  <r>
    <s v="O02565"/>
    <d v="2023-10-07T00:00:00"/>
    <x v="443"/>
    <x v="3"/>
    <x v="1"/>
    <s v="Accessories"/>
    <s v="Product_423"/>
    <n v="1989.65"/>
    <n v="-291.49"/>
    <n v="0.2"/>
    <x v="0"/>
    <n v="-0.1465031538210238"/>
    <x v="5"/>
    <n v="2023"/>
  </r>
  <r>
    <s v="O02566"/>
    <d v="2022-04-13T00:00:00"/>
    <x v="231"/>
    <x v="3"/>
    <x v="0"/>
    <s v="Binders"/>
    <s v="Product_127"/>
    <n v="130.74"/>
    <n v="-19.23"/>
    <n v="0.27"/>
    <x v="0"/>
    <n v="-0.1470858191831115"/>
    <x v="0"/>
    <n v="2022"/>
  </r>
  <r>
    <s v="O02567"/>
    <d v="2022-04-30T00:00:00"/>
    <x v="632"/>
    <x v="0"/>
    <x v="2"/>
    <s v="Bookcases"/>
    <s v="Product_181"/>
    <n v="724.43"/>
    <n v="140.47999999999999"/>
    <n v="0.18"/>
    <x v="1"/>
    <n v="0.1939179768921773"/>
    <x v="0"/>
    <n v="2022"/>
  </r>
  <r>
    <s v="O02568"/>
    <d v="2023-12-11T00:00:00"/>
    <x v="613"/>
    <x v="3"/>
    <x v="0"/>
    <s v="Paper"/>
    <s v="Product_339"/>
    <n v="2939.82"/>
    <n v="-622.74"/>
    <n v="0.16"/>
    <x v="0"/>
    <n v="-0.21182929567116354"/>
    <x v="4"/>
    <n v="2023"/>
  </r>
  <r>
    <s v="O02569"/>
    <d v="2022-06-04T00:00:00"/>
    <x v="299"/>
    <x v="2"/>
    <x v="1"/>
    <s v="Phones"/>
    <s v="Product_193"/>
    <n v="3698.68"/>
    <n v="849.64"/>
    <n v="0"/>
    <x v="1"/>
    <n v="0.22971438459125959"/>
    <x v="8"/>
    <n v="2022"/>
  </r>
  <r>
    <s v="O02570"/>
    <d v="2022-06-24T00:00:00"/>
    <x v="461"/>
    <x v="3"/>
    <x v="1"/>
    <s v="Copiers"/>
    <s v="Product_295"/>
    <n v="4771.37"/>
    <n v="-426.16"/>
    <n v="0.12"/>
    <x v="0"/>
    <n v="-8.9316066454707979E-2"/>
    <x v="8"/>
    <n v="2022"/>
  </r>
  <r>
    <s v="O02571"/>
    <d v="2023-08-31T00:00:00"/>
    <x v="489"/>
    <x v="1"/>
    <x v="2"/>
    <s v="Chairs"/>
    <s v="Product_176"/>
    <n v="1686"/>
    <n v="185.54"/>
    <n v="0.06"/>
    <x v="1"/>
    <n v="0.11004744958481613"/>
    <x v="3"/>
    <n v="2023"/>
  </r>
  <r>
    <s v="O02572"/>
    <d v="2022-01-10T00:00:00"/>
    <x v="147"/>
    <x v="2"/>
    <x v="1"/>
    <s v="Phones"/>
    <s v="Product_378"/>
    <n v="3051.49"/>
    <n v="-70.290000000000006"/>
    <n v="0.2"/>
    <x v="0"/>
    <n v="-2.3034648647054394E-2"/>
    <x v="1"/>
    <n v="2022"/>
  </r>
  <r>
    <s v="O02573"/>
    <d v="2023-10-05T00:00:00"/>
    <x v="512"/>
    <x v="1"/>
    <x v="1"/>
    <s v="Phones"/>
    <s v="Product_392"/>
    <n v="2938.72"/>
    <n v="-331.98"/>
    <n v="0.18"/>
    <x v="0"/>
    <n v="-0.11296755049817608"/>
    <x v="5"/>
    <n v="2023"/>
  </r>
  <r>
    <s v="O02574"/>
    <d v="2023-03-25T00:00:00"/>
    <x v="479"/>
    <x v="2"/>
    <x v="0"/>
    <s v="Paper"/>
    <s v="Product_249"/>
    <n v="2172.9499999999998"/>
    <n v="-689.46"/>
    <n v="0.3"/>
    <x v="0"/>
    <n v="-0.31729216042706926"/>
    <x v="6"/>
    <n v="2023"/>
  </r>
  <r>
    <s v="O02575"/>
    <d v="2023-12-04T00:00:00"/>
    <x v="715"/>
    <x v="2"/>
    <x v="2"/>
    <s v="Bookcases"/>
    <s v="Product_131"/>
    <n v="118.85"/>
    <n v="-18.5"/>
    <n v="0.23"/>
    <x v="0"/>
    <n v="-0.15565839293226758"/>
    <x v="4"/>
    <n v="2023"/>
  </r>
  <r>
    <s v="O02576"/>
    <d v="2022-10-10T00:00:00"/>
    <x v="709"/>
    <x v="1"/>
    <x v="0"/>
    <s v="Paper"/>
    <s v="Product_411"/>
    <n v="3459.36"/>
    <n v="-1001.36"/>
    <n v="0.26"/>
    <x v="0"/>
    <n v="-0.28946394708847878"/>
    <x v="5"/>
    <n v="2022"/>
  </r>
  <r>
    <s v="O02577"/>
    <d v="2022-10-23T00:00:00"/>
    <x v="10"/>
    <x v="3"/>
    <x v="0"/>
    <s v="Storage"/>
    <s v="Product_106"/>
    <n v="4250.2"/>
    <n v="200.72"/>
    <n v="0.03"/>
    <x v="1"/>
    <n v="4.7226012893510895E-2"/>
    <x v="5"/>
    <n v="2022"/>
  </r>
  <r>
    <s v="O02578"/>
    <d v="2023-01-25T00:00:00"/>
    <x v="283"/>
    <x v="0"/>
    <x v="1"/>
    <s v="Copiers"/>
    <s v="Product_136"/>
    <n v="2949.47"/>
    <n v="-1108.73"/>
    <n v="0.24"/>
    <x v="0"/>
    <n v="-0.37590821401811175"/>
    <x v="1"/>
    <n v="2023"/>
  </r>
  <r>
    <s v="O02579"/>
    <d v="2023-06-12T00:00:00"/>
    <x v="628"/>
    <x v="0"/>
    <x v="1"/>
    <s v="Accessories"/>
    <s v="Product_168"/>
    <n v="148.38999999999999"/>
    <n v="2.63"/>
    <n v="0.18"/>
    <x v="1"/>
    <n v="1.7723566278051082E-2"/>
    <x v="8"/>
    <n v="2023"/>
  </r>
  <r>
    <s v="O02580"/>
    <d v="2022-05-23T00:00:00"/>
    <x v="10"/>
    <x v="0"/>
    <x v="2"/>
    <s v="Chairs"/>
    <s v="Product_204"/>
    <n v="4194.8999999999996"/>
    <n v="-1684.61"/>
    <n v="0.3"/>
    <x v="0"/>
    <n v="-0.40158525828982816"/>
    <x v="11"/>
    <n v="2022"/>
  </r>
  <r>
    <s v="O02581"/>
    <d v="2023-07-12T00:00:00"/>
    <x v="45"/>
    <x v="3"/>
    <x v="1"/>
    <s v="Accessories"/>
    <s v="Product_274"/>
    <n v="2809.1"/>
    <n v="-1289.81"/>
    <n v="0.27"/>
    <x v="0"/>
    <n v="-0.45915417749457121"/>
    <x v="2"/>
    <n v="2023"/>
  </r>
  <r>
    <s v="O02582"/>
    <d v="2023-07-07T00:00:00"/>
    <x v="329"/>
    <x v="1"/>
    <x v="1"/>
    <s v="Accessories"/>
    <s v="Product_448"/>
    <n v="2648.41"/>
    <n v="-1137.95"/>
    <n v="0.23"/>
    <x v="0"/>
    <n v="-0.42967289807846976"/>
    <x v="2"/>
    <n v="2023"/>
  </r>
  <r>
    <s v="O02583"/>
    <d v="2023-07-19T00:00:00"/>
    <x v="236"/>
    <x v="2"/>
    <x v="0"/>
    <s v="Binders"/>
    <s v="Product_135"/>
    <n v="1716.41"/>
    <n v="341.36"/>
    <n v="0.09"/>
    <x v="1"/>
    <n v="0.19888022092623558"/>
    <x v="2"/>
    <n v="2023"/>
  </r>
  <r>
    <s v="O02584"/>
    <d v="2022-01-15T00:00:00"/>
    <x v="84"/>
    <x v="2"/>
    <x v="0"/>
    <s v="Binders"/>
    <s v="Product_404"/>
    <n v="2811.33"/>
    <n v="560.29"/>
    <n v="0.12"/>
    <x v="1"/>
    <n v="0.19929712982823075"/>
    <x v="1"/>
    <n v="2022"/>
  </r>
  <r>
    <s v="O02585"/>
    <d v="2023-02-04T00:00:00"/>
    <x v="18"/>
    <x v="2"/>
    <x v="1"/>
    <s v="Phones"/>
    <s v="Product_53"/>
    <n v="331.49"/>
    <n v="48.99"/>
    <n v="0.06"/>
    <x v="1"/>
    <n v="0.14778726356752844"/>
    <x v="10"/>
    <n v="2023"/>
  </r>
  <r>
    <s v="O02586"/>
    <d v="2023-01-02T00:00:00"/>
    <x v="469"/>
    <x v="3"/>
    <x v="0"/>
    <s v="Storage"/>
    <s v="Product_50"/>
    <n v="1843.87"/>
    <n v="528.63"/>
    <n v="0.06"/>
    <x v="1"/>
    <n v="0.28669591674033418"/>
    <x v="1"/>
    <n v="2023"/>
  </r>
  <r>
    <s v="O02587"/>
    <d v="2023-07-09T00:00:00"/>
    <x v="769"/>
    <x v="3"/>
    <x v="0"/>
    <s v="Paper"/>
    <s v="Product_222"/>
    <n v="3859.55"/>
    <n v="11.44"/>
    <n v="0.06"/>
    <x v="1"/>
    <n v="2.9640761228640644E-3"/>
    <x v="2"/>
    <n v="2023"/>
  </r>
  <r>
    <s v="O02588"/>
    <d v="2022-01-20T00:00:00"/>
    <x v="231"/>
    <x v="0"/>
    <x v="1"/>
    <s v="Copiers"/>
    <s v="Product_272"/>
    <n v="353.75"/>
    <n v="41.88"/>
    <n v="0.23"/>
    <x v="1"/>
    <n v="0.11838869257950531"/>
    <x v="1"/>
    <n v="2022"/>
  </r>
  <r>
    <s v="O02589"/>
    <d v="2022-04-26T00:00:00"/>
    <x v="159"/>
    <x v="1"/>
    <x v="1"/>
    <s v="Phones"/>
    <s v="Product_219"/>
    <n v="2130.7800000000002"/>
    <n v="-786.36"/>
    <n v="0.19"/>
    <x v="0"/>
    <n v="-0.36904795427026721"/>
    <x v="0"/>
    <n v="2022"/>
  </r>
  <r>
    <s v="O02590"/>
    <d v="2022-11-07T00:00:00"/>
    <x v="68"/>
    <x v="1"/>
    <x v="1"/>
    <s v="Copiers"/>
    <s v="Product_308"/>
    <n v="702.09"/>
    <n v="197.54"/>
    <n v="7.0000000000000007E-2"/>
    <x v="1"/>
    <n v="0.281359939608882"/>
    <x v="9"/>
    <n v="2022"/>
  </r>
  <r>
    <s v="O02591"/>
    <d v="2023-03-09T00:00:00"/>
    <x v="520"/>
    <x v="2"/>
    <x v="0"/>
    <s v="Binders"/>
    <s v="Product_420"/>
    <n v="2027.63"/>
    <n v="-150.52000000000001"/>
    <n v="0.08"/>
    <x v="0"/>
    <n v="-7.4234451058625098E-2"/>
    <x v="6"/>
    <n v="2023"/>
  </r>
  <r>
    <s v="O02592"/>
    <d v="2022-05-10T00:00:00"/>
    <x v="505"/>
    <x v="3"/>
    <x v="1"/>
    <s v="Phones"/>
    <s v="Product_467"/>
    <n v="1574.33"/>
    <n v="-196.7"/>
    <n v="0.01"/>
    <x v="0"/>
    <n v="-0.12494203883556815"/>
    <x v="11"/>
    <n v="2022"/>
  </r>
  <r>
    <s v="O02593"/>
    <d v="2023-03-12T00:00:00"/>
    <x v="698"/>
    <x v="1"/>
    <x v="1"/>
    <s v="Copiers"/>
    <s v="Product_95"/>
    <n v="3027.05"/>
    <n v="-1143.75"/>
    <n v="0.26"/>
    <x v="0"/>
    <n v="-0.37784311458350539"/>
    <x v="6"/>
    <n v="2023"/>
  </r>
  <r>
    <s v="O02594"/>
    <d v="2023-10-13T00:00:00"/>
    <x v="125"/>
    <x v="3"/>
    <x v="2"/>
    <s v="Chairs"/>
    <s v="Product_226"/>
    <n v="3084.04"/>
    <n v="-526.53"/>
    <n v="0.1"/>
    <x v="0"/>
    <n v="-0.17072735762182073"/>
    <x v="5"/>
    <n v="2023"/>
  </r>
  <r>
    <s v="O02595"/>
    <d v="2023-07-09T00:00:00"/>
    <x v="88"/>
    <x v="3"/>
    <x v="2"/>
    <s v="Tables"/>
    <s v="Product_191"/>
    <n v="2544.63"/>
    <n v="-271.57"/>
    <n v="0.14000000000000001"/>
    <x v="0"/>
    <n v="-0.10672278484494799"/>
    <x v="2"/>
    <n v="2023"/>
  </r>
  <r>
    <s v="O02596"/>
    <d v="2022-08-26T00:00:00"/>
    <x v="624"/>
    <x v="1"/>
    <x v="0"/>
    <s v="Binders"/>
    <s v="Product_161"/>
    <n v="3043.83"/>
    <n v="-737.11"/>
    <n v="0.1"/>
    <x v="0"/>
    <n v="-0.2421652983248079"/>
    <x v="3"/>
    <n v="2022"/>
  </r>
  <r>
    <s v="O02597"/>
    <d v="2022-12-23T00:00:00"/>
    <x v="622"/>
    <x v="0"/>
    <x v="2"/>
    <s v="Tables"/>
    <s v="Product_86"/>
    <n v="4169.1400000000003"/>
    <n v="-1323.78"/>
    <n v="0.28999999999999998"/>
    <x v="0"/>
    <n v="-0.31751872088728128"/>
    <x v="4"/>
    <n v="2022"/>
  </r>
  <r>
    <s v="O02598"/>
    <d v="2023-11-06T00:00:00"/>
    <x v="462"/>
    <x v="0"/>
    <x v="0"/>
    <s v="Storage"/>
    <s v="Product_477"/>
    <n v="376.15"/>
    <n v="-68.97"/>
    <n v="0.22"/>
    <x v="0"/>
    <n v="-0.18335770304399843"/>
    <x v="9"/>
    <n v="2023"/>
  </r>
  <r>
    <s v="O02599"/>
    <d v="2022-05-27T00:00:00"/>
    <x v="288"/>
    <x v="2"/>
    <x v="2"/>
    <s v="Bookcases"/>
    <s v="Product_254"/>
    <n v="3917.75"/>
    <n v="772.9"/>
    <n v="7.0000000000000007E-2"/>
    <x v="1"/>
    <n v="0.19728160296088315"/>
    <x v="11"/>
    <n v="2022"/>
  </r>
  <r>
    <s v="O02600"/>
    <d v="2022-09-10T00:00:00"/>
    <x v="279"/>
    <x v="3"/>
    <x v="2"/>
    <s v="Tables"/>
    <s v="Product_285"/>
    <n v="3884.76"/>
    <n v="-126.85"/>
    <n v="0.16"/>
    <x v="0"/>
    <n v="-3.265323983978418E-2"/>
    <x v="7"/>
    <n v="2022"/>
  </r>
  <r>
    <s v="O02601"/>
    <d v="2023-08-22T00:00:00"/>
    <x v="678"/>
    <x v="3"/>
    <x v="1"/>
    <s v="Copiers"/>
    <s v="Product_88"/>
    <n v="3408.02"/>
    <n v="-911.37"/>
    <n v="0.17"/>
    <x v="0"/>
    <n v="-0.26741920528635393"/>
    <x v="3"/>
    <n v="2023"/>
  </r>
  <r>
    <s v="O02602"/>
    <d v="2022-04-29T00:00:00"/>
    <x v="168"/>
    <x v="3"/>
    <x v="0"/>
    <s v="Paper"/>
    <s v="Product_251"/>
    <n v="785.72"/>
    <n v="-313.63"/>
    <n v="0.26"/>
    <x v="0"/>
    <n v="-0.39916255154507968"/>
    <x v="0"/>
    <n v="2022"/>
  </r>
  <r>
    <s v="O02603"/>
    <d v="2022-02-23T00:00:00"/>
    <x v="13"/>
    <x v="0"/>
    <x v="1"/>
    <s v="Copiers"/>
    <s v="Product_186"/>
    <n v="511.76"/>
    <n v="-9.42"/>
    <n v="0.02"/>
    <x v="0"/>
    <n v="-1.8407065812099423E-2"/>
    <x v="10"/>
    <n v="2022"/>
  </r>
  <r>
    <s v="O02604"/>
    <d v="2023-04-28T00:00:00"/>
    <x v="498"/>
    <x v="3"/>
    <x v="1"/>
    <s v="Copiers"/>
    <s v="Product_327"/>
    <n v="554.46"/>
    <n v="-80.75"/>
    <n v="0.13"/>
    <x v="0"/>
    <n v="-0.14563719655159973"/>
    <x v="0"/>
    <n v="2023"/>
  </r>
  <r>
    <s v="O02605"/>
    <d v="2022-10-30T00:00:00"/>
    <x v="41"/>
    <x v="2"/>
    <x v="2"/>
    <s v="Tables"/>
    <s v="Product_61"/>
    <n v="3884.65"/>
    <n v="910.2"/>
    <n v="0.09"/>
    <x v="1"/>
    <n v="0.23430682300850786"/>
    <x v="5"/>
    <n v="2022"/>
  </r>
  <r>
    <s v="O02606"/>
    <d v="2022-07-24T00:00:00"/>
    <x v="387"/>
    <x v="3"/>
    <x v="1"/>
    <s v="Copiers"/>
    <s v="Product_434"/>
    <n v="1571.37"/>
    <n v="-152.97999999999999"/>
    <n v="0.24"/>
    <x v="0"/>
    <n v="-9.7354537760043783E-2"/>
    <x v="2"/>
    <n v="2022"/>
  </r>
  <r>
    <s v="O02607"/>
    <d v="2022-02-01T00:00:00"/>
    <x v="747"/>
    <x v="1"/>
    <x v="0"/>
    <s v="Binders"/>
    <s v="Product_64"/>
    <n v="279.57"/>
    <n v="10.16"/>
    <n v="7.0000000000000007E-2"/>
    <x v="1"/>
    <n v="3.6341524484029046E-2"/>
    <x v="10"/>
    <n v="2022"/>
  </r>
  <r>
    <s v="O02608"/>
    <d v="2022-07-25T00:00:00"/>
    <x v="762"/>
    <x v="1"/>
    <x v="0"/>
    <s v="Binders"/>
    <s v="Product_219"/>
    <n v="2164.3000000000002"/>
    <n v="-906.43"/>
    <n v="0.26"/>
    <x v="0"/>
    <n v="-0.41880977683315618"/>
    <x v="2"/>
    <n v="2022"/>
  </r>
  <r>
    <s v="O02609"/>
    <d v="2023-07-25T00:00:00"/>
    <x v="527"/>
    <x v="3"/>
    <x v="2"/>
    <s v="Bookcases"/>
    <s v="Product_407"/>
    <n v="2424.73"/>
    <n v="-618.19000000000005"/>
    <n v="0.16"/>
    <x v="0"/>
    <n v="-0.25495209775933819"/>
    <x v="2"/>
    <n v="2023"/>
  </r>
  <r>
    <s v="O02610"/>
    <d v="2023-07-23T00:00:00"/>
    <x v="403"/>
    <x v="1"/>
    <x v="2"/>
    <s v="Tables"/>
    <s v="Product_162"/>
    <n v="2762.19"/>
    <n v="-245.44"/>
    <n v="0.06"/>
    <x v="0"/>
    <n v="-8.8857030110166213E-2"/>
    <x v="2"/>
    <n v="2023"/>
  </r>
  <r>
    <s v="O02611"/>
    <d v="2023-02-23T00:00:00"/>
    <x v="590"/>
    <x v="1"/>
    <x v="0"/>
    <s v="Binders"/>
    <s v="Product_475"/>
    <n v="1635.96"/>
    <n v="286.14"/>
    <n v="0.04"/>
    <x v="1"/>
    <n v="0.1749064769309763"/>
    <x v="10"/>
    <n v="2023"/>
  </r>
  <r>
    <s v="O02612"/>
    <d v="2022-02-21T00:00:00"/>
    <x v="615"/>
    <x v="0"/>
    <x v="1"/>
    <s v="Copiers"/>
    <s v="Product_183"/>
    <n v="1209.49"/>
    <n v="36.950000000000003"/>
    <n v="0.24"/>
    <x v="1"/>
    <n v="3.0550066556978565E-2"/>
    <x v="10"/>
    <n v="2022"/>
  </r>
  <r>
    <s v="O02613"/>
    <d v="2023-05-24T00:00:00"/>
    <x v="717"/>
    <x v="2"/>
    <x v="1"/>
    <s v="Copiers"/>
    <s v="Product_227"/>
    <n v="2443.9899999999998"/>
    <n v="566.05999999999995"/>
    <n v="0.09"/>
    <x v="1"/>
    <n v="0.23161305897323639"/>
    <x v="11"/>
    <n v="2023"/>
  </r>
  <r>
    <s v="O02614"/>
    <d v="2022-03-08T00:00:00"/>
    <x v="468"/>
    <x v="1"/>
    <x v="0"/>
    <s v="Paper"/>
    <s v="Product_108"/>
    <n v="4674.2299999999996"/>
    <n v="-661.43"/>
    <n v="0.18"/>
    <x v="0"/>
    <n v="-0.14150565975572446"/>
    <x v="6"/>
    <n v="2022"/>
  </r>
  <r>
    <s v="O02615"/>
    <d v="2023-10-07T00:00:00"/>
    <x v="42"/>
    <x v="3"/>
    <x v="1"/>
    <s v="Phones"/>
    <s v="Product_498"/>
    <n v="2979.54"/>
    <n v="486.25"/>
    <n v="0.17"/>
    <x v="1"/>
    <n v="0.16319633231975406"/>
    <x v="5"/>
    <n v="2023"/>
  </r>
  <r>
    <s v="O02616"/>
    <d v="2023-12-08T00:00:00"/>
    <x v="724"/>
    <x v="0"/>
    <x v="1"/>
    <s v="Phones"/>
    <s v="Product_25"/>
    <n v="3087"/>
    <n v="321.60000000000002"/>
    <n v="0.17"/>
    <x v="1"/>
    <n v="0.10417881438289603"/>
    <x v="4"/>
    <n v="2023"/>
  </r>
  <r>
    <s v="O02617"/>
    <d v="2023-06-29T00:00:00"/>
    <x v="389"/>
    <x v="3"/>
    <x v="0"/>
    <s v="Storage"/>
    <s v="Product_84"/>
    <n v="2815.11"/>
    <n v="18.2"/>
    <n v="0.14000000000000001"/>
    <x v="1"/>
    <n v="6.4651114876505709E-3"/>
    <x v="8"/>
    <n v="2023"/>
  </r>
  <r>
    <s v="O02618"/>
    <d v="2022-10-25T00:00:00"/>
    <x v="99"/>
    <x v="1"/>
    <x v="2"/>
    <s v="Bookcases"/>
    <s v="Product_334"/>
    <n v="516.41999999999996"/>
    <n v="9.3699999999999992"/>
    <n v="0.18"/>
    <x v="1"/>
    <n v="1.8144146237558577E-2"/>
    <x v="5"/>
    <n v="2022"/>
  </r>
  <r>
    <s v="O02619"/>
    <d v="2022-11-01T00:00:00"/>
    <x v="638"/>
    <x v="2"/>
    <x v="1"/>
    <s v="Accessories"/>
    <s v="Product_299"/>
    <n v="1456.98"/>
    <n v="-20.56"/>
    <n v="0.28000000000000003"/>
    <x v="0"/>
    <n v="-1.4111381075924171E-2"/>
    <x v="9"/>
    <n v="2022"/>
  </r>
  <r>
    <s v="O02620"/>
    <d v="2023-05-18T00:00:00"/>
    <x v="614"/>
    <x v="3"/>
    <x v="1"/>
    <s v="Accessories"/>
    <s v="Product_387"/>
    <n v="936.41"/>
    <n v="-231.7"/>
    <n v="0.27"/>
    <x v="0"/>
    <n v="-0.24743435033799296"/>
    <x v="11"/>
    <n v="2023"/>
  </r>
  <r>
    <s v="O02621"/>
    <d v="2022-02-22T00:00:00"/>
    <x v="45"/>
    <x v="1"/>
    <x v="0"/>
    <s v="Binders"/>
    <s v="Product_37"/>
    <n v="4732.6899999999996"/>
    <n v="404.89"/>
    <n v="0.22"/>
    <x v="1"/>
    <n v="8.5551768655880697E-2"/>
    <x v="10"/>
    <n v="2022"/>
  </r>
  <r>
    <s v="O02622"/>
    <d v="2023-11-10T00:00:00"/>
    <x v="159"/>
    <x v="0"/>
    <x v="1"/>
    <s v="Copiers"/>
    <s v="Product_420"/>
    <n v="2960.65"/>
    <n v="-161.29"/>
    <n v="0.22"/>
    <x v="0"/>
    <n v="-5.4477901812102068E-2"/>
    <x v="9"/>
    <n v="2023"/>
  </r>
  <r>
    <s v="O02623"/>
    <d v="2023-04-08T00:00:00"/>
    <x v="548"/>
    <x v="2"/>
    <x v="2"/>
    <s v="Tables"/>
    <s v="Product_8"/>
    <n v="2691.2"/>
    <n v="282.74"/>
    <n v="0.06"/>
    <x v="1"/>
    <n v="0.10506093935790727"/>
    <x v="0"/>
    <n v="2023"/>
  </r>
  <r>
    <s v="O02624"/>
    <d v="2022-12-03T00:00:00"/>
    <x v="729"/>
    <x v="3"/>
    <x v="1"/>
    <s v="Copiers"/>
    <s v="Product_407"/>
    <n v="2692.69"/>
    <n v="-841.16"/>
    <n v="0.27"/>
    <x v="0"/>
    <n v="-0.31238649826010417"/>
    <x v="4"/>
    <n v="2022"/>
  </r>
  <r>
    <s v="O02625"/>
    <d v="2023-02-05T00:00:00"/>
    <x v="158"/>
    <x v="0"/>
    <x v="2"/>
    <s v="Tables"/>
    <s v="Product_43"/>
    <n v="2532.06"/>
    <n v="-370.08"/>
    <n v="0.26"/>
    <x v="0"/>
    <n v="-0.14615767398876803"/>
    <x v="10"/>
    <n v="2023"/>
  </r>
  <r>
    <s v="O02626"/>
    <d v="2022-12-16T00:00:00"/>
    <x v="374"/>
    <x v="2"/>
    <x v="2"/>
    <s v="Bookcases"/>
    <s v="Product_435"/>
    <n v="1166.43"/>
    <n v="124.69"/>
    <n v="0.01"/>
    <x v="1"/>
    <n v="0.10689882804797544"/>
    <x v="4"/>
    <n v="2022"/>
  </r>
  <r>
    <s v="O02627"/>
    <d v="2023-05-19T00:00:00"/>
    <x v="64"/>
    <x v="0"/>
    <x v="0"/>
    <s v="Binders"/>
    <s v="Product_141"/>
    <n v="3899.27"/>
    <n v="-16.170000000000002"/>
    <n v="0.17"/>
    <x v="0"/>
    <n v="-4.1469300663970442E-3"/>
    <x v="11"/>
    <n v="2023"/>
  </r>
  <r>
    <s v="O02628"/>
    <d v="2023-09-25T00:00:00"/>
    <x v="663"/>
    <x v="1"/>
    <x v="1"/>
    <s v="Copiers"/>
    <s v="Product_427"/>
    <n v="155.65"/>
    <n v="-1.1299999999999999"/>
    <n v="0.25"/>
    <x v="0"/>
    <n v="-7.2598779312560225E-3"/>
    <x v="7"/>
    <n v="2023"/>
  </r>
  <r>
    <s v="O02629"/>
    <d v="2023-07-28T00:00:00"/>
    <x v="80"/>
    <x v="2"/>
    <x v="2"/>
    <s v="Tables"/>
    <s v="Product_300"/>
    <n v="2393.25"/>
    <n v="-49.36"/>
    <n v="0.01"/>
    <x v="0"/>
    <n v="-2.0624673561057141E-2"/>
    <x v="2"/>
    <n v="2023"/>
  </r>
  <r>
    <s v="O02630"/>
    <d v="2023-11-04T00:00:00"/>
    <x v="136"/>
    <x v="0"/>
    <x v="2"/>
    <s v="Chairs"/>
    <s v="Product_387"/>
    <n v="4133.25"/>
    <n v="276.11"/>
    <n v="0.11"/>
    <x v="1"/>
    <n v="6.6802153269219136E-2"/>
    <x v="9"/>
    <n v="2023"/>
  </r>
  <r>
    <s v="O02631"/>
    <d v="2022-11-23T00:00:00"/>
    <x v="511"/>
    <x v="1"/>
    <x v="0"/>
    <s v="Paper"/>
    <s v="Product_345"/>
    <n v="4809.8100000000004"/>
    <n v="1451.03"/>
    <n v="0"/>
    <x v="1"/>
    <n v="0.30168135539657487"/>
    <x v="9"/>
    <n v="2022"/>
  </r>
  <r>
    <s v="O02632"/>
    <d v="2023-08-22T00:00:00"/>
    <x v="413"/>
    <x v="0"/>
    <x v="1"/>
    <s v="Phones"/>
    <s v="Product_128"/>
    <n v="3756.03"/>
    <n v="395.9"/>
    <n v="0.04"/>
    <x v="1"/>
    <n v="0.10540384395225809"/>
    <x v="3"/>
    <n v="2023"/>
  </r>
  <r>
    <s v="O02633"/>
    <d v="2023-10-24T00:00:00"/>
    <x v="296"/>
    <x v="3"/>
    <x v="0"/>
    <s v="Binders"/>
    <s v="Product_63"/>
    <n v="4278.87"/>
    <n v="-1350.31"/>
    <n v="0.3"/>
    <x v="0"/>
    <n v="-0.31557630869832454"/>
    <x v="5"/>
    <n v="2023"/>
  </r>
  <r>
    <s v="O02634"/>
    <d v="2022-12-02T00:00:00"/>
    <x v="624"/>
    <x v="0"/>
    <x v="2"/>
    <s v="Bookcases"/>
    <s v="Product_439"/>
    <n v="2190.3000000000002"/>
    <n v="96.48"/>
    <n v="0.17"/>
    <x v="1"/>
    <n v="4.4048760443774822E-2"/>
    <x v="4"/>
    <n v="2022"/>
  </r>
  <r>
    <s v="O02635"/>
    <d v="2022-05-19T00:00:00"/>
    <x v="613"/>
    <x v="1"/>
    <x v="0"/>
    <s v="Storage"/>
    <s v="Product_366"/>
    <n v="702.78"/>
    <n v="-178.09"/>
    <n v="0.09"/>
    <x v="0"/>
    <n v="-0.25340789436238936"/>
    <x v="11"/>
    <n v="2022"/>
  </r>
  <r>
    <s v="O02636"/>
    <d v="2023-06-28T00:00:00"/>
    <x v="313"/>
    <x v="1"/>
    <x v="1"/>
    <s v="Phones"/>
    <s v="Product_195"/>
    <n v="2062.2600000000002"/>
    <n v="184.78"/>
    <n v="0.27"/>
    <x v="1"/>
    <n v="8.9600729296984857E-2"/>
    <x v="8"/>
    <n v="2023"/>
  </r>
  <r>
    <s v="O02637"/>
    <d v="2023-06-06T00:00:00"/>
    <x v="194"/>
    <x v="2"/>
    <x v="1"/>
    <s v="Phones"/>
    <s v="Product_291"/>
    <n v="4583.5600000000004"/>
    <n v="889.78"/>
    <n v="0.02"/>
    <x v="1"/>
    <n v="0.19412421785686232"/>
    <x v="8"/>
    <n v="2023"/>
  </r>
  <r>
    <s v="O02638"/>
    <d v="2022-01-08T00:00:00"/>
    <x v="543"/>
    <x v="3"/>
    <x v="2"/>
    <s v="Chairs"/>
    <s v="Product_279"/>
    <n v="1830.83"/>
    <n v="-739.27"/>
    <n v="0.24"/>
    <x v="0"/>
    <n v="-0.40378953807835793"/>
    <x v="1"/>
    <n v="2022"/>
  </r>
  <r>
    <s v="O02639"/>
    <d v="2023-11-13T00:00:00"/>
    <x v="385"/>
    <x v="0"/>
    <x v="1"/>
    <s v="Accessories"/>
    <s v="Product_334"/>
    <n v="542.70000000000005"/>
    <n v="-116.6"/>
    <n v="0.19"/>
    <x v="0"/>
    <n v="-0.21485166758798596"/>
    <x v="9"/>
    <n v="2023"/>
  </r>
  <r>
    <s v="O02640"/>
    <d v="2022-07-10T00:00:00"/>
    <x v="509"/>
    <x v="3"/>
    <x v="1"/>
    <s v="Accessories"/>
    <s v="Product_405"/>
    <n v="4120.0200000000004"/>
    <n v="92.31"/>
    <n v="7.0000000000000007E-2"/>
    <x v="1"/>
    <n v="2.2405231042567753E-2"/>
    <x v="2"/>
    <n v="2022"/>
  </r>
  <r>
    <s v="O02641"/>
    <d v="2023-09-21T00:00:00"/>
    <x v="513"/>
    <x v="1"/>
    <x v="2"/>
    <s v="Chairs"/>
    <s v="Product_430"/>
    <n v="1961.17"/>
    <n v="596.02"/>
    <n v="7.0000000000000007E-2"/>
    <x v="1"/>
    <n v="0.30391042082022462"/>
    <x v="7"/>
    <n v="2023"/>
  </r>
  <r>
    <s v="O02642"/>
    <d v="2022-06-12T00:00:00"/>
    <x v="642"/>
    <x v="2"/>
    <x v="0"/>
    <s v="Binders"/>
    <s v="Product_393"/>
    <n v="2410.5300000000002"/>
    <n v="-561.89"/>
    <n v="0.05"/>
    <x v="0"/>
    <n v="-0.23309811535222541"/>
    <x v="8"/>
    <n v="2022"/>
  </r>
  <r>
    <s v="O02643"/>
    <d v="2022-07-01T00:00:00"/>
    <x v="466"/>
    <x v="0"/>
    <x v="0"/>
    <s v="Paper"/>
    <s v="Product_194"/>
    <n v="2108.31"/>
    <n v="-317.04000000000002"/>
    <n v="0.1"/>
    <x v="0"/>
    <n v="-0.150376367801699"/>
    <x v="2"/>
    <n v="2022"/>
  </r>
  <r>
    <s v="O02644"/>
    <d v="2022-02-05T00:00:00"/>
    <x v="676"/>
    <x v="2"/>
    <x v="1"/>
    <s v="Accessories"/>
    <s v="Product_491"/>
    <n v="436.57"/>
    <n v="-71.02"/>
    <n v="0.21"/>
    <x v="0"/>
    <n v="-0.16267723389147215"/>
    <x v="10"/>
    <n v="2022"/>
  </r>
  <r>
    <s v="O02645"/>
    <d v="2023-10-13T00:00:00"/>
    <x v="613"/>
    <x v="2"/>
    <x v="1"/>
    <s v="Copiers"/>
    <s v="Product_425"/>
    <n v="4469.05"/>
    <n v="998.01"/>
    <n v="0.1"/>
    <x v="1"/>
    <n v="0.22331591725310748"/>
    <x v="5"/>
    <n v="2023"/>
  </r>
  <r>
    <s v="O02646"/>
    <d v="2023-11-17T00:00:00"/>
    <x v="361"/>
    <x v="0"/>
    <x v="1"/>
    <s v="Phones"/>
    <s v="Product_70"/>
    <n v="4879.03"/>
    <n v="-2281.02"/>
    <n v="0.28999999999999998"/>
    <x v="0"/>
    <n v="-0.46751505934581261"/>
    <x v="9"/>
    <n v="2023"/>
  </r>
  <r>
    <s v="O02647"/>
    <d v="2023-03-09T00:00:00"/>
    <x v="280"/>
    <x v="0"/>
    <x v="1"/>
    <s v="Phones"/>
    <s v="Product_135"/>
    <n v="140.54"/>
    <n v="1.66"/>
    <n v="0.04"/>
    <x v="1"/>
    <n v="1.1811583890707272E-2"/>
    <x v="6"/>
    <n v="2023"/>
  </r>
  <r>
    <s v="O02648"/>
    <d v="2023-08-16T00:00:00"/>
    <x v="498"/>
    <x v="3"/>
    <x v="0"/>
    <s v="Paper"/>
    <s v="Product_407"/>
    <n v="3414.52"/>
    <n v="-77.44"/>
    <n v="0.14000000000000001"/>
    <x v="0"/>
    <n v="-2.2679615289996836E-2"/>
    <x v="3"/>
    <n v="2023"/>
  </r>
  <r>
    <s v="O02649"/>
    <d v="2023-05-23T00:00:00"/>
    <x v="204"/>
    <x v="3"/>
    <x v="2"/>
    <s v="Chairs"/>
    <s v="Product_356"/>
    <n v="2919.19"/>
    <n v="-1001.45"/>
    <n v="0.17"/>
    <x v="0"/>
    <n v="-0.34305749197551377"/>
    <x v="11"/>
    <n v="2023"/>
  </r>
  <r>
    <s v="O02650"/>
    <d v="2022-06-27T00:00:00"/>
    <x v="154"/>
    <x v="3"/>
    <x v="0"/>
    <s v="Storage"/>
    <s v="Product_481"/>
    <n v="3170.81"/>
    <n v="-1293.19"/>
    <n v="0.21"/>
    <x v="0"/>
    <n v="-0.4078421602051211"/>
    <x v="8"/>
    <n v="2022"/>
  </r>
  <r>
    <s v="O02651"/>
    <d v="2022-12-26T00:00:00"/>
    <x v="41"/>
    <x v="1"/>
    <x v="0"/>
    <s v="Storage"/>
    <s v="Product_426"/>
    <n v="2326.29"/>
    <n v="-204.85"/>
    <n v="0.08"/>
    <x v="0"/>
    <n v="-8.8058668523700825E-2"/>
    <x v="4"/>
    <n v="2022"/>
  </r>
  <r>
    <s v="O02652"/>
    <d v="2022-05-07T00:00:00"/>
    <x v="541"/>
    <x v="3"/>
    <x v="1"/>
    <s v="Copiers"/>
    <s v="Product_455"/>
    <n v="3768.22"/>
    <n v="631.23"/>
    <n v="0.14000000000000001"/>
    <x v="1"/>
    <n v="0.16751410480279816"/>
    <x v="11"/>
    <n v="2022"/>
  </r>
  <r>
    <s v="O02653"/>
    <d v="2023-07-28T00:00:00"/>
    <x v="514"/>
    <x v="0"/>
    <x v="2"/>
    <s v="Chairs"/>
    <s v="Product_388"/>
    <n v="3244.84"/>
    <n v="5.44"/>
    <n v="0.13"/>
    <x v="1"/>
    <n v="1.6765079325945194E-3"/>
    <x v="2"/>
    <n v="2023"/>
  </r>
  <r>
    <s v="O02654"/>
    <d v="2022-11-09T00:00:00"/>
    <x v="699"/>
    <x v="0"/>
    <x v="1"/>
    <s v="Accessories"/>
    <s v="Product_260"/>
    <n v="3900.73"/>
    <n v="-1595.13"/>
    <n v="0.23"/>
    <x v="0"/>
    <n v="-0.40893114878497105"/>
    <x v="9"/>
    <n v="2022"/>
  </r>
  <r>
    <s v="O02655"/>
    <d v="2023-06-09T00:00:00"/>
    <x v="747"/>
    <x v="1"/>
    <x v="1"/>
    <s v="Phones"/>
    <s v="Product_110"/>
    <n v="2787.05"/>
    <n v="330.12"/>
    <n v="0.13"/>
    <x v="1"/>
    <n v="0.11844782117292477"/>
    <x v="8"/>
    <n v="2023"/>
  </r>
  <r>
    <s v="O02656"/>
    <d v="2022-04-07T00:00:00"/>
    <x v="566"/>
    <x v="0"/>
    <x v="1"/>
    <s v="Accessories"/>
    <s v="Product_310"/>
    <n v="3828.81"/>
    <n v="641.86"/>
    <n v="0.13"/>
    <x v="1"/>
    <n v="0.16763955380392342"/>
    <x v="0"/>
    <n v="2022"/>
  </r>
  <r>
    <s v="O02657"/>
    <d v="2023-06-09T00:00:00"/>
    <x v="487"/>
    <x v="2"/>
    <x v="2"/>
    <s v="Bookcases"/>
    <s v="Product_497"/>
    <n v="4574.41"/>
    <n v="-1237.54"/>
    <n v="0.28000000000000003"/>
    <x v="0"/>
    <n v="-0.27053543517087447"/>
    <x v="8"/>
    <n v="2023"/>
  </r>
  <r>
    <s v="O02658"/>
    <d v="2022-06-20T00:00:00"/>
    <x v="608"/>
    <x v="3"/>
    <x v="2"/>
    <s v="Chairs"/>
    <s v="Product_35"/>
    <n v="2770.26"/>
    <n v="-306.92"/>
    <n v="0.12"/>
    <x v="0"/>
    <n v="-0.11079104488387372"/>
    <x v="8"/>
    <n v="2022"/>
  </r>
  <r>
    <s v="O02659"/>
    <d v="2022-02-05T00:00:00"/>
    <x v="123"/>
    <x v="3"/>
    <x v="0"/>
    <s v="Binders"/>
    <s v="Product_231"/>
    <n v="4325.55"/>
    <n v="-947.31"/>
    <n v="7.0000000000000007E-2"/>
    <x v="0"/>
    <n v="-0.2190033637340916"/>
    <x v="10"/>
    <n v="2022"/>
  </r>
  <r>
    <s v="O02660"/>
    <d v="2022-02-27T00:00:00"/>
    <x v="770"/>
    <x v="2"/>
    <x v="1"/>
    <s v="Phones"/>
    <s v="Product_354"/>
    <n v="135.88"/>
    <n v="-53.02"/>
    <n v="0.23"/>
    <x v="0"/>
    <n v="-0.39019723285251695"/>
    <x v="10"/>
    <n v="2022"/>
  </r>
  <r>
    <s v="O02661"/>
    <d v="2023-01-16T00:00:00"/>
    <x v="179"/>
    <x v="1"/>
    <x v="0"/>
    <s v="Storage"/>
    <s v="Product_431"/>
    <n v="1433.35"/>
    <n v="-393.12"/>
    <n v="0.17"/>
    <x v="0"/>
    <n v="-0.27426657829560125"/>
    <x v="1"/>
    <n v="2023"/>
  </r>
  <r>
    <s v="O02662"/>
    <d v="2022-11-13T00:00:00"/>
    <x v="729"/>
    <x v="1"/>
    <x v="0"/>
    <s v="Storage"/>
    <s v="Product_74"/>
    <n v="468.89"/>
    <n v="18.170000000000002"/>
    <n v="0.19"/>
    <x v="1"/>
    <n v="3.8751093006888615E-2"/>
    <x v="9"/>
    <n v="2022"/>
  </r>
  <r>
    <s v="O02663"/>
    <d v="2023-07-26T00:00:00"/>
    <x v="512"/>
    <x v="1"/>
    <x v="1"/>
    <s v="Copiers"/>
    <s v="Product_382"/>
    <n v="4765.38"/>
    <n v="1087.05"/>
    <n v="0.01"/>
    <x v="1"/>
    <n v="0.22811402238646233"/>
    <x v="2"/>
    <n v="2023"/>
  </r>
  <r>
    <s v="O02664"/>
    <d v="2022-07-01T00:00:00"/>
    <x v="16"/>
    <x v="0"/>
    <x v="1"/>
    <s v="Accessories"/>
    <s v="Product_254"/>
    <n v="4341.2"/>
    <n v="-1073.0899999999999"/>
    <n v="0.17"/>
    <x v="0"/>
    <n v="-0.24718741361835436"/>
    <x v="2"/>
    <n v="2022"/>
  </r>
  <r>
    <s v="O02665"/>
    <d v="2023-12-12T00:00:00"/>
    <x v="336"/>
    <x v="1"/>
    <x v="1"/>
    <s v="Phones"/>
    <s v="Product_89"/>
    <n v="1009.06"/>
    <n v="302.14"/>
    <n v="0"/>
    <x v="1"/>
    <n v="0.29942718966166532"/>
    <x v="4"/>
    <n v="2023"/>
  </r>
  <r>
    <s v="O02666"/>
    <d v="2022-07-17T00:00:00"/>
    <x v="341"/>
    <x v="2"/>
    <x v="1"/>
    <s v="Phones"/>
    <s v="Product_270"/>
    <n v="628.62"/>
    <n v="-263.41000000000003"/>
    <n v="0.25"/>
    <x v="0"/>
    <n v="-0.41902898412395412"/>
    <x v="2"/>
    <n v="2022"/>
  </r>
  <r>
    <s v="O02667"/>
    <d v="2022-06-02T00:00:00"/>
    <x v="771"/>
    <x v="2"/>
    <x v="1"/>
    <s v="Phones"/>
    <s v="Product_230"/>
    <n v="3468.96"/>
    <n v="86.5"/>
    <n v="0.06"/>
    <x v="1"/>
    <n v="2.4935427332687606E-2"/>
    <x v="8"/>
    <n v="2022"/>
  </r>
  <r>
    <s v="O02668"/>
    <d v="2022-02-05T00:00:00"/>
    <x v="229"/>
    <x v="3"/>
    <x v="0"/>
    <s v="Storage"/>
    <s v="Product_400"/>
    <n v="932.19"/>
    <n v="-362.75"/>
    <n v="0.28000000000000003"/>
    <x v="0"/>
    <n v="-0.38913740761003657"/>
    <x v="10"/>
    <n v="2022"/>
  </r>
  <r>
    <s v="O02669"/>
    <d v="2023-08-08T00:00:00"/>
    <x v="556"/>
    <x v="1"/>
    <x v="2"/>
    <s v="Tables"/>
    <s v="Product_210"/>
    <n v="4476.99"/>
    <n v="-1068.54"/>
    <n v="0.12"/>
    <x v="0"/>
    <n v="-0.23867375178412281"/>
    <x v="3"/>
    <n v="2023"/>
  </r>
  <r>
    <s v="O02670"/>
    <d v="2022-11-17T00:00:00"/>
    <x v="772"/>
    <x v="0"/>
    <x v="0"/>
    <s v="Storage"/>
    <s v="Product_50"/>
    <n v="252.77"/>
    <n v="-3.67"/>
    <n v="0.1"/>
    <x v="0"/>
    <n v="-1.4519128061083197E-2"/>
    <x v="9"/>
    <n v="2022"/>
  </r>
  <r>
    <s v="O02671"/>
    <d v="2022-01-13T00:00:00"/>
    <x v="185"/>
    <x v="2"/>
    <x v="1"/>
    <s v="Phones"/>
    <s v="Product_111"/>
    <n v="769.15"/>
    <n v="-117.03"/>
    <n v="0.28999999999999998"/>
    <x v="0"/>
    <n v="-0.15215497627250862"/>
    <x v="1"/>
    <n v="2022"/>
  </r>
  <r>
    <s v="O02672"/>
    <d v="2023-04-08T00:00:00"/>
    <x v="253"/>
    <x v="1"/>
    <x v="0"/>
    <s v="Paper"/>
    <s v="Product_48"/>
    <n v="538.42999999999995"/>
    <n v="-220.34"/>
    <n v="0.23"/>
    <x v="0"/>
    <n v="-0.40922682614267414"/>
    <x v="0"/>
    <n v="2023"/>
  </r>
  <r>
    <s v="O02673"/>
    <d v="2023-06-06T00:00:00"/>
    <x v="656"/>
    <x v="0"/>
    <x v="2"/>
    <s v="Chairs"/>
    <s v="Product_336"/>
    <n v="2748.63"/>
    <n v="-784.04"/>
    <n v="0.11"/>
    <x v="0"/>
    <n v="-0.28524755969337451"/>
    <x v="8"/>
    <n v="2023"/>
  </r>
  <r>
    <s v="O02674"/>
    <d v="2022-09-17T00:00:00"/>
    <x v="33"/>
    <x v="3"/>
    <x v="1"/>
    <s v="Accessories"/>
    <s v="Product_381"/>
    <n v="798.42"/>
    <n v="193.66"/>
    <n v="0.04"/>
    <x v="1"/>
    <n v="0.24255404423736882"/>
    <x v="7"/>
    <n v="2022"/>
  </r>
  <r>
    <s v="O02675"/>
    <d v="2022-03-12T00:00:00"/>
    <x v="728"/>
    <x v="0"/>
    <x v="1"/>
    <s v="Phones"/>
    <s v="Product_233"/>
    <n v="4994.09"/>
    <n v="-647.67999999999995"/>
    <n v="0.03"/>
    <x v="0"/>
    <n v="-0.12968929274402341"/>
    <x v="6"/>
    <n v="2022"/>
  </r>
  <r>
    <s v="O02676"/>
    <d v="2022-08-19T00:00:00"/>
    <x v="2"/>
    <x v="3"/>
    <x v="1"/>
    <s v="Accessories"/>
    <s v="Product_151"/>
    <n v="1299.9000000000001"/>
    <n v="477.09"/>
    <n v="0.02"/>
    <x v="1"/>
    <n v="0.36702054004154161"/>
    <x v="3"/>
    <n v="2022"/>
  </r>
  <r>
    <s v="O02677"/>
    <d v="2022-05-28T00:00:00"/>
    <x v="323"/>
    <x v="1"/>
    <x v="2"/>
    <s v="Chairs"/>
    <s v="Product_110"/>
    <n v="1866.67"/>
    <n v="15.66"/>
    <n v="0.03"/>
    <x v="1"/>
    <n v="8.3892707334451179E-3"/>
    <x v="11"/>
    <n v="2022"/>
  </r>
  <r>
    <s v="O02678"/>
    <d v="2023-11-12T00:00:00"/>
    <x v="696"/>
    <x v="0"/>
    <x v="0"/>
    <s v="Paper"/>
    <s v="Product_299"/>
    <n v="3801.11"/>
    <n v="758.48"/>
    <n v="0.04"/>
    <x v="1"/>
    <n v="0.19954171281546706"/>
    <x v="9"/>
    <n v="2023"/>
  </r>
  <r>
    <s v="O02679"/>
    <d v="2022-07-04T00:00:00"/>
    <x v="71"/>
    <x v="0"/>
    <x v="1"/>
    <s v="Accessories"/>
    <s v="Product_107"/>
    <n v="3735.35"/>
    <n v="655.71"/>
    <n v="0.13"/>
    <x v="1"/>
    <n v="0.17554178323316424"/>
    <x v="2"/>
    <n v="2022"/>
  </r>
  <r>
    <s v="O02680"/>
    <d v="2022-08-19T00:00:00"/>
    <x v="310"/>
    <x v="2"/>
    <x v="0"/>
    <s v="Binders"/>
    <s v="Product_210"/>
    <n v="2161.2600000000002"/>
    <n v="-433.37"/>
    <n v="0.19"/>
    <x v="0"/>
    <n v="-0.20051729083960282"/>
    <x v="3"/>
    <n v="2022"/>
  </r>
  <r>
    <s v="O02681"/>
    <d v="2022-01-25T00:00:00"/>
    <x v="272"/>
    <x v="1"/>
    <x v="2"/>
    <s v="Bookcases"/>
    <s v="Product_139"/>
    <n v="2381.5300000000002"/>
    <n v="-42.58"/>
    <n v="0.25"/>
    <x v="0"/>
    <n v="-1.7879262490919701E-2"/>
    <x v="1"/>
    <n v="2022"/>
  </r>
  <r>
    <s v="O02682"/>
    <d v="2022-02-07T00:00:00"/>
    <x v="455"/>
    <x v="0"/>
    <x v="1"/>
    <s v="Copiers"/>
    <s v="Product_55"/>
    <n v="1859.54"/>
    <n v="-544.53"/>
    <n v="0.16"/>
    <x v="0"/>
    <n v="-0.29283048495864566"/>
    <x v="10"/>
    <n v="2022"/>
  </r>
  <r>
    <s v="O02683"/>
    <d v="2022-04-04T00:00:00"/>
    <x v="662"/>
    <x v="2"/>
    <x v="0"/>
    <s v="Storage"/>
    <s v="Product_277"/>
    <n v="641.16"/>
    <n v="-107.58"/>
    <n v="0.28999999999999998"/>
    <x v="0"/>
    <n v="-0.16778963129328092"/>
    <x v="0"/>
    <n v="2022"/>
  </r>
  <r>
    <s v="O02684"/>
    <d v="2023-02-28T00:00:00"/>
    <x v="596"/>
    <x v="2"/>
    <x v="1"/>
    <s v="Copiers"/>
    <s v="Product_285"/>
    <n v="1499.13"/>
    <n v="-87.67"/>
    <n v="0.18"/>
    <x v="0"/>
    <n v="-5.8480585406202261E-2"/>
    <x v="10"/>
    <n v="2023"/>
  </r>
  <r>
    <s v="O02685"/>
    <d v="2022-03-02T00:00:00"/>
    <x v="281"/>
    <x v="3"/>
    <x v="1"/>
    <s v="Copiers"/>
    <s v="Product_160"/>
    <n v="3404.88"/>
    <n v="129.94999999999999"/>
    <n v="0.04"/>
    <x v="1"/>
    <n v="3.8165809074034912E-2"/>
    <x v="6"/>
    <n v="2022"/>
  </r>
  <r>
    <s v="O02686"/>
    <d v="2023-11-05T00:00:00"/>
    <x v="773"/>
    <x v="0"/>
    <x v="1"/>
    <s v="Accessories"/>
    <s v="Product_290"/>
    <n v="215.81"/>
    <n v="-33.880000000000003"/>
    <n v="0.22"/>
    <x v="0"/>
    <n v="-0.15698994485890366"/>
    <x v="9"/>
    <n v="2023"/>
  </r>
  <r>
    <s v="O02687"/>
    <d v="2022-05-14T00:00:00"/>
    <x v="525"/>
    <x v="2"/>
    <x v="2"/>
    <s v="Bookcases"/>
    <s v="Product_154"/>
    <n v="259.39"/>
    <n v="56.5"/>
    <n v="0.09"/>
    <x v="1"/>
    <n v="0.21781872855545706"/>
    <x v="11"/>
    <n v="2022"/>
  </r>
  <r>
    <s v="O02688"/>
    <d v="2022-07-26T00:00:00"/>
    <x v="452"/>
    <x v="1"/>
    <x v="2"/>
    <s v="Chairs"/>
    <s v="Product_427"/>
    <n v="2077.9499999999998"/>
    <n v="79.91"/>
    <n v="0.22"/>
    <x v="1"/>
    <n v="3.845617074520561E-2"/>
    <x v="2"/>
    <n v="2022"/>
  </r>
  <r>
    <s v="O02689"/>
    <d v="2023-03-24T00:00:00"/>
    <x v="652"/>
    <x v="2"/>
    <x v="2"/>
    <s v="Tables"/>
    <s v="Product_484"/>
    <n v="4900.2700000000004"/>
    <n v="-581.13"/>
    <n v="0.08"/>
    <x v="0"/>
    <n v="-0.11859142455415721"/>
    <x v="6"/>
    <n v="2023"/>
  </r>
  <r>
    <s v="O02690"/>
    <d v="2023-02-25T00:00:00"/>
    <x v="267"/>
    <x v="3"/>
    <x v="2"/>
    <s v="Bookcases"/>
    <s v="Product_222"/>
    <n v="872.83"/>
    <n v="269.95"/>
    <n v="7.0000000000000007E-2"/>
    <x v="1"/>
    <n v="0.30928130334658521"/>
    <x v="10"/>
    <n v="2023"/>
  </r>
  <r>
    <s v="O02691"/>
    <d v="2022-06-20T00:00:00"/>
    <x v="647"/>
    <x v="2"/>
    <x v="2"/>
    <s v="Chairs"/>
    <s v="Product_352"/>
    <n v="3600.64"/>
    <n v="-577.72"/>
    <n v="0"/>
    <x v="0"/>
    <n v="-0.16044925346605049"/>
    <x v="8"/>
    <n v="2022"/>
  </r>
  <r>
    <s v="O02692"/>
    <d v="2022-08-02T00:00:00"/>
    <x v="745"/>
    <x v="1"/>
    <x v="0"/>
    <s v="Binders"/>
    <s v="Product_2"/>
    <n v="4344.4799999999996"/>
    <n v="-489.57"/>
    <n v="0.11"/>
    <x v="0"/>
    <n v="-0.11268782454977351"/>
    <x v="3"/>
    <n v="2022"/>
  </r>
  <r>
    <s v="O02693"/>
    <d v="2022-10-26T00:00:00"/>
    <x v="180"/>
    <x v="2"/>
    <x v="2"/>
    <s v="Chairs"/>
    <s v="Product_233"/>
    <n v="189.05"/>
    <n v="-39.85"/>
    <n v="0.16"/>
    <x v="0"/>
    <n v="-0.21079079608569162"/>
    <x v="5"/>
    <n v="2022"/>
  </r>
  <r>
    <s v="O02694"/>
    <d v="2023-08-09T00:00:00"/>
    <x v="698"/>
    <x v="0"/>
    <x v="2"/>
    <s v="Bookcases"/>
    <s v="Product_63"/>
    <n v="645.03"/>
    <n v="70.760000000000005"/>
    <n v="0"/>
    <x v="1"/>
    <n v="0.10970032401593725"/>
    <x v="3"/>
    <n v="2023"/>
  </r>
  <r>
    <s v="O02695"/>
    <d v="2022-04-05T00:00:00"/>
    <x v="364"/>
    <x v="1"/>
    <x v="1"/>
    <s v="Phones"/>
    <s v="Product_421"/>
    <n v="2090.35"/>
    <n v="308.93"/>
    <n v="0"/>
    <x v="1"/>
    <n v="0.14778864783409479"/>
    <x v="0"/>
    <n v="2022"/>
  </r>
  <r>
    <s v="O02696"/>
    <d v="2023-08-19T00:00:00"/>
    <x v="270"/>
    <x v="2"/>
    <x v="2"/>
    <s v="Chairs"/>
    <s v="Product_379"/>
    <n v="3459"/>
    <n v="48.59"/>
    <n v="0.06"/>
    <x v="1"/>
    <n v="1.4047412546978897E-2"/>
    <x v="3"/>
    <n v="2023"/>
  </r>
  <r>
    <s v="O02697"/>
    <d v="2022-12-11T00:00:00"/>
    <x v="34"/>
    <x v="0"/>
    <x v="0"/>
    <s v="Storage"/>
    <s v="Product_483"/>
    <n v="319.17"/>
    <n v="88.44"/>
    <n v="0"/>
    <x v="1"/>
    <n v="0.27709371181502018"/>
    <x v="4"/>
    <n v="2022"/>
  </r>
  <r>
    <s v="O02698"/>
    <d v="2022-02-21T00:00:00"/>
    <x v="502"/>
    <x v="3"/>
    <x v="0"/>
    <s v="Paper"/>
    <s v="Product_351"/>
    <n v="2452.14"/>
    <n v="-326.22000000000003"/>
    <n v="0.08"/>
    <x v="0"/>
    <n v="-0.13303481856663976"/>
    <x v="10"/>
    <n v="2022"/>
  </r>
  <r>
    <s v="O02699"/>
    <d v="2022-09-08T00:00:00"/>
    <x v="60"/>
    <x v="0"/>
    <x v="2"/>
    <s v="Chairs"/>
    <s v="Product_476"/>
    <n v="2229.35"/>
    <n v="-80.69"/>
    <n v="0.27"/>
    <x v="0"/>
    <n v="-3.6194406441339401E-2"/>
    <x v="7"/>
    <n v="2022"/>
  </r>
  <r>
    <s v="O02700"/>
    <d v="2023-07-23T00:00:00"/>
    <x v="336"/>
    <x v="3"/>
    <x v="2"/>
    <s v="Bookcases"/>
    <s v="Product_356"/>
    <n v="4423.66"/>
    <n v="430.39"/>
    <n v="0.1"/>
    <x v="1"/>
    <n v="9.7292739496254235E-2"/>
    <x v="2"/>
    <n v="2023"/>
  </r>
  <r>
    <s v="O02701"/>
    <d v="2022-11-13T00:00:00"/>
    <x v="333"/>
    <x v="0"/>
    <x v="1"/>
    <s v="Accessories"/>
    <s v="Product_97"/>
    <n v="2556.12"/>
    <n v="377.57"/>
    <n v="0.23"/>
    <x v="1"/>
    <n v="0.14771215748869382"/>
    <x v="9"/>
    <n v="2022"/>
  </r>
  <r>
    <s v="O02702"/>
    <d v="2022-07-28T00:00:00"/>
    <x v="433"/>
    <x v="1"/>
    <x v="0"/>
    <s v="Paper"/>
    <s v="Product_143"/>
    <n v="4044.11"/>
    <n v="-1451.64"/>
    <n v="0.2"/>
    <x v="0"/>
    <n v="-0.35895166056313998"/>
    <x v="2"/>
    <n v="2022"/>
  </r>
  <r>
    <s v="O02703"/>
    <d v="2023-09-14T00:00:00"/>
    <x v="683"/>
    <x v="3"/>
    <x v="1"/>
    <s v="Accessories"/>
    <s v="Product_146"/>
    <n v="246.86"/>
    <n v="65.680000000000007"/>
    <n v="0.1"/>
    <x v="1"/>
    <n v="0.26606173539658107"/>
    <x v="7"/>
    <n v="2023"/>
  </r>
  <r>
    <s v="O02704"/>
    <d v="2022-02-24T00:00:00"/>
    <x v="610"/>
    <x v="0"/>
    <x v="0"/>
    <s v="Storage"/>
    <s v="Product_282"/>
    <n v="1439.36"/>
    <n v="-79.209999999999994"/>
    <n v="0.12"/>
    <x v="0"/>
    <n v="-5.5031402845709204E-2"/>
    <x v="10"/>
    <n v="2022"/>
  </r>
  <r>
    <s v="O02705"/>
    <d v="2023-12-25T00:00:00"/>
    <x v="223"/>
    <x v="0"/>
    <x v="2"/>
    <s v="Tables"/>
    <s v="Product_353"/>
    <n v="4418.05"/>
    <n v="291.89"/>
    <n v="0.22"/>
    <x v="1"/>
    <n v="6.6067609013026107E-2"/>
    <x v="4"/>
    <n v="2023"/>
  </r>
  <r>
    <s v="O02706"/>
    <d v="2023-09-03T00:00:00"/>
    <x v="591"/>
    <x v="3"/>
    <x v="0"/>
    <s v="Binders"/>
    <s v="Product_496"/>
    <n v="4611.1899999999996"/>
    <n v="-424.21"/>
    <n v="0.2"/>
    <x v="0"/>
    <n v="-9.1995775493961429E-2"/>
    <x v="7"/>
    <n v="2023"/>
  </r>
  <r>
    <s v="O02707"/>
    <d v="2022-12-21T00:00:00"/>
    <x v="15"/>
    <x v="0"/>
    <x v="2"/>
    <s v="Chairs"/>
    <s v="Product_255"/>
    <n v="4808.76"/>
    <n v="-1441.63"/>
    <n v="0.12"/>
    <x v="0"/>
    <n v="-0.29979246209001909"/>
    <x v="4"/>
    <n v="2022"/>
  </r>
  <r>
    <s v="O02708"/>
    <d v="2023-01-03T00:00:00"/>
    <x v="487"/>
    <x v="1"/>
    <x v="1"/>
    <s v="Copiers"/>
    <s v="Product_211"/>
    <n v="1691.33"/>
    <n v="-175.15"/>
    <n v="0.04"/>
    <x v="0"/>
    <n v="-0.10355755529671916"/>
    <x v="1"/>
    <n v="2023"/>
  </r>
  <r>
    <s v="O02709"/>
    <d v="2022-01-18T00:00:00"/>
    <x v="37"/>
    <x v="3"/>
    <x v="1"/>
    <s v="Phones"/>
    <s v="Product_45"/>
    <n v="4760.07"/>
    <n v="1558.67"/>
    <n v="7.0000000000000007E-2"/>
    <x v="1"/>
    <n v="0.32744686527719136"/>
    <x v="1"/>
    <n v="2022"/>
  </r>
  <r>
    <s v="O02710"/>
    <d v="2023-07-19T00:00:00"/>
    <x v="299"/>
    <x v="3"/>
    <x v="2"/>
    <s v="Bookcases"/>
    <s v="Product_55"/>
    <n v="564.04"/>
    <n v="79.11"/>
    <n v="0.23"/>
    <x v="1"/>
    <n v="0.1402560102120417"/>
    <x v="2"/>
    <n v="2023"/>
  </r>
  <r>
    <s v="O02711"/>
    <d v="2023-10-09T00:00:00"/>
    <x v="67"/>
    <x v="3"/>
    <x v="0"/>
    <s v="Binders"/>
    <s v="Product_290"/>
    <n v="3464.43"/>
    <n v="-356.82"/>
    <n v="0.28000000000000003"/>
    <x v="0"/>
    <n v="-0.10299529792779764"/>
    <x v="5"/>
    <n v="2023"/>
  </r>
  <r>
    <s v="O02712"/>
    <d v="2022-02-02T00:00:00"/>
    <x v="437"/>
    <x v="2"/>
    <x v="2"/>
    <s v="Tables"/>
    <s v="Product_309"/>
    <n v="3361.24"/>
    <n v="-1349.02"/>
    <n v="0.27"/>
    <x v="0"/>
    <n v="-0.40134593185848083"/>
    <x v="10"/>
    <n v="2022"/>
  </r>
  <r>
    <s v="O02713"/>
    <d v="2022-03-29T00:00:00"/>
    <x v="162"/>
    <x v="1"/>
    <x v="2"/>
    <s v="Chairs"/>
    <s v="Product_268"/>
    <n v="371.37"/>
    <n v="-117.31"/>
    <n v="0.13"/>
    <x v="0"/>
    <n v="-0.31588442792901955"/>
    <x v="6"/>
    <n v="2022"/>
  </r>
  <r>
    <s v="O02714"/>
    <d v="2022-06-29T00:00:00"/>
    <x v="692"/>
    <x v="1"/>
    <x v="2"/>
    <s v="Tables"/>
    <s v="Product_291"/>
    <n v="524.66"/>
    <n v="156.03"/>
    <n v="0.03"/>
    <x v="1"/>
    <n v="0.29739259711050969"/>
    <x v="8"/>
    <n v="2022"/>
  </r>
  <r>
    <s v="O02715"/>
    <d v="2023-11-02T00:00:00"/>
    <x v="357"/>
    <x v="3"/>
    <x v="0"/>
    <s v="Storage"/>
    <s v="Product_6"/>
    <n v="2193.36"/>
    <n v="-515.32000000000005"/>
    <n v="0.11"/>
    <x v="0"/>
    <n v="-0.23494547178757705"/>
    <x v="9"/>
    <n v="2023"/>
  </r>
  <r>
    <s v="O02716"/>
    <d v="2022-09-22T00:00:00"/>
    <x v="521"/>
    <x v="2"/>
    <x v="1"/>
    <s v="Copiers"/>
    <s v="Product_372"/>
    <n v="2203.98"/>
    <n v="-650.98"/>
    <n v="0.23"/>
    <x v="0"/>
    <n v="-0.2953656566756504"/>
    <x v="7"/>
    <n v="2022"/>
  </r>
  <r>
    <s v="O02717"/>
    <d v="2023-03-06T00:00:00"/>
    <x v="394"/>
    <x v="3"/>
    <x v="2"/>
    <s v="Tables"/>
    <s v="Product_197"/>
    <n v="3309.95"/>
    <n v="387.53"/>
    <n v="0.27"/>
    <x v="1"/>
    <n v="0.1170803184338132"/>
    <x v="6"/>
    <n v="2023"/>
  </r>
  <r>
    <s v="O02718"/>
    <d v="2023-05-27T00:00:00"/>
    <x v="744"/>
    <x v="1"/>
    <x v="2"/>
    <s v="Chairs"/>
    <s v="Product_494"/>
    <n v="3147.99"/>
    <n v="-931.47"/>
    <n v="0.1"/>
    <x v="0"/>
    <n v="-0.29589357018287865"/>
    <x v="11"/>
    <n v="2023"/>
  </r>
  <r>
    <s v="O02719"/>
    <d v="2023-07-26T00:00:00"/>
    <x v="359"/>
    <x v="0"/>
    <x v="0"/>
    <s v="Paper"/>
    <s v="Product_252"/>
    <n v="2509.91"/>
    <n v="-248.66"/>
    <n v="0.04"/>
    <x v="0"/>
    <n v="-9.9071281440370376E-2"/>
    <x v="2"/>
    <n v="2023"/>
  </r>
  <r>
    <s v="O02720"/>
    <d v="2023-11-27T00:00:00"/>
    <x v="81"/>
    <x v="2"/>
    <x v="1"/>
    <s v="Copiers"/>
    <s v="Product_343"/>
    <n v="928.48"/>
    <n v="-24.03"/>
    <n v="0.28000000000000003"/>
    <x v="0"/>
    <n v="-2.5881009822505602E-2"/>
    <x v="9"/>
    <n v="2023"/>
  </r>
  <r>
    <s v="O02721"/>
    <d v="2023-03-05T00:00:00"/>
    <x v="292"/>
    <x v="2"/>
    <x v="2"/>
    <s v="Tables"/>
    <s v="Product_479"/>
    <n v="2320.0100000000002"/>
    <n v="81.64"/>
    <n v="0"/>
    <x v="1"/>
    <n v="3.5189503493519424E-2"/>
    <x v="6"/>
    <n v="2023"/>
  </r>
  <r>
    <s v="O02722"/>
    <d v="2022-10-10T00:00:00"/>
    <x v="655"/>
    <x v="2"/>
    <x v="1"/>
    <s v="Copiers"/>
    <s v="Product_453"/>
    <n v="3937.54"/>
    <n v="92.75"/>
    <n v="0.28999999999999998"/>
    <x v="1"/>
    <n v="2.3555316263453831E-2"/>
    <x v="5"/>
    <n v="2022"/>
  </r>
  <r>
    <s v="O02723"/>
    <d v="2023-10-01T00:00:00"/>
    <x v="528"/>
    <x v="2"/>
    <x v="1"/>
    <s v="Copiers"/>
    <s v="Product_240"/>
    <n v="2265.79"/>
    <n v="-675.8"/>
    <n v="0.26"/>
    <x v="0"/>
    <n v="-0.29826241619920646"/>
    <x v="5"/>
    <n v="2023"/>
  </r>
  <r>
    <s v="O02724"/>
    <d v="2022-01-16T00:00:00"/>
    <x v="724"/>
    <x v="2"/>
    <x v="2"/>
    <s v="Bookcases"/>
    <s v="Product_500"/>
    <n v="882.25"/>
    <n v="-84.15"/>
    <n v="0.02"/>
    <x v="0"/>
    <n v="-9.5381127798243134E-2"/>
    <x v="1"/>
    <n v="2022"/>
  </r>
  <r>
    <s v="O02725"/>
    <d v="2022-05-30T00:00:00"/>
    <x v="430"/>
    <x v="1"/>
    <x v="2"/>
    <s v="Bookcases"/>
    <s v="Product_161"/>
    <n v="1586.21"/>
    <n v="358.57"/>
    <n v="0.17"/>
    <x v="1"/>
    <n v="0.22605455771934357"/>
    <x v="11"/>
    <n v="2022"/>
  </r>
  <r>
    <s v="O02726"/>
    <d v="2023-01-23T00:00:00"/>
    <x v="380"/>
    <x v="1"/>
    <x v="1"/>
    <s v="Phones"/>
    <s v="Product_486"/>
    <n v="1607.24"/>
    <n v="-61.77"/>
    <n v="0.09"/>
    <x v="0"/>
    <n v="-3.8432343645006348E-2"/>
    <x v="1"/>
    <n v="2023"/>
  </r>
  <r>
    <s v="O02727"/>
    <d v="2022-09-16T00:00:00"/>
    <x v="631"/>
    <x v="3"/>
    <x v="2"/>
    <s v="Chairs"/>
    <s v="Product_84"/>
    <n v="525.72"/>
    <n v="-94.79"/>
    <n v="0.24"/>
    <x v="0"/>
    <n v="-0.18030510537928937"/>
    <x v="7"/>
    <n v="2022"/>
  </r>
  <r>
    <s v="O02728"/>
    <d v="2023-11-07T00:00:00"/>
    <x v="410"/>
    <x v="3"/>
    <x v="1"/>
    <s v="Accessories"/>
    <s v="Product_411"/>
    <n v="2916.68"/>
    <n v="968.16"/>
    <n v="0.05"/>
    <x v="1"/>
    <n v="0.33193905399289603"/>
    <x v="9"/>
    <n v="2023"/>
  </r>
  <r>
    <s v="O02729"/>
    <d v="2023-12-29T00:00:00"/>
    <x v="470"/>
    <x v="2"/>
    <x v="1"/>
    <s v="Copiers"/>
    <s v="Product_397"/>
    <n v="4109.97"/>
    <n v="-1518.04"/>
    <n v="0.23"/>
    <x v="0"/>
    <n v="-0.36935549407903218"/>
    <x v="4"/>
    <n v="2023"/>
  </r>
  <r>
    <s v="O02730"/>
    <d v="2022-01-03T00:00:00"/>
    <x v="678"/>
    <x v="2"/>
    <x v="2"/>
    <s v="Bookcases"/>
    <s v="Product_120"/>
    <n v="2797.11"/>
    <n v="-228.92"/>
    <n v="0.16"/>
    <x v="0"/>
    <n v="-8.1841615095580786E-2"/>
    <x v="1"/>
    <n v="2022"/>
  </r>
  <r>
    <s v="O02731"/>
    <d v="2023-05-30T00:00:00"/>
    <x v="45"/>
    <x v="0"/>
    <x v="1"/>
    <s v="Phones"/>
    <s v="Product_271"/>
    <n v="1753.08"/>
    <n v="-363.76"/>
    <n v="0.18"/>
    <x v="0"/>
    <n v="-0.20749766125904123"/>
    <x v="11"/>
    <n v="2023"/>
  </r>
  <r>
    <s v="O02732"/>
    <d v="2023-02-19T00:00:00"/>
    <x v="65"/>
    <x v="3"/>
    <x v="0"/>
    <s v="Paper"/>
    <s v="Product_444"/>
    <n v="2974.76"/>
    <n v="-940.26"/>
    <n v="0.13"/>
    <x v="0"/>
    <n v="-0.31607928034530514"/>
    <x v="10"/>
    <n v="2023"/>
  </r>
  <r>
    <s v="O02733"/>
    <d v="2022-07-06T00:00:00"/>
    <x v="137"/>
    <x v="1"/>
    <x v="2"/>
    <s v="Tables"/>
    <s v="Product_418"/>
    <n v="4249.04"/>
    <n v="661.91"/>
    <n v="0.24"/>
    <x v="1"/>
    <n v="0.15577871707491575"/>
    <x v="2"/>
    <n v="2022"/>
  </r>
  <r>
    <s v="O02734"/>
    <d v="2022-07-10T00:00:00"/>
    <x v="233"/>
    <x v="0"/>
    <x v="1"/>
    <s v="Accessories"/>
    <s v="Product_61"/>
    <n v="1060.76"/>
    <n v="-393.16"/>
    <n v="0.22"/>
    <x v="0"/>
    <n v="-0.37063991854896494"/>
    <x v="2"/>
    <n v="2022"/>
  </r>
  <r>
    <s v="O02735"/>
    <d v="2023-03-11T00:00:00"/>
    <x v="348"/>
    <x v="1"/>
    <x v="0"/>
    <s v="Paper"/>
    <s v="Product_255"/>
    <n v="349.69"/>
    <n v="66.66"/>
    <n v="0.18"/>
    <x v="1"/>
    <n v="0.19062598301352626"/>
    <x v="6"/>
    <n v="2023"/>
  </r>
  <r>
    <s v="O02736"/>
    <d v="2022-02-24T00:00:00"/>
    <x v="314"/>
    <x v="1"/>
    <x v="2"/>
    <s v="Chairs"/>
    <s v="Product_84"/>
    <n v="3596.3"/>
    <n v="-312.37"/>
    <n v="0.19"/>
    <x v="0"/>
    <n v="-8.6858715902455294E-2"/>
    <x v="10"/>
    <n v="2022"/>
  </r>
  <r>
    <s v="O02737"/>
    <d v="2023-08-30T00:00:00"/>
    <x v="653"/>
    <x v="0"/>
    <x v="2"/>
    <s v="Bookcases"/>
    <s v="Product_42"/>
    <n v="1088.06"/>
    <n v="-53.91"/>
    <n v="0.18"/>
    <x v="0"/>
    <n v="-4.9546899987133061E-2"/>
    <x v="3"/>
    <n v="2023"/>
  </r>
  <r>
    <s v="O02738"/>
    <d v="2023-05-02T00:00:00"/>
    <x v="505"/>
    <x v="1"/>
    <x v="2"/>
    <s v="Tables"/>
    <s v="Product_55"/>
    <n v="258.93"/>
    <n v="-5.52"/>
    <n v="0"/>
    <x v="0"/>
    <n v="-2.1318503070327885E-2"/>
    <x v="11"/>
    <n v="2023"/>
  </r>
  <r>
    <s v="O02739"/>
    <d v="2023-10-30T00:00:00"/>
    <x v="78"/>
    <x v="2"/>
    <x v="0"/>
    <s v="Paper"/>
    <s v="Product_24"/>
    <n v="3762.94"/>
    <n v="-376.37"/>
    <n v="0.18"/>
    <x v="0"/>
    <n v="-0.10002019697364295"/>
    <x v="5"/>
    <n v="2023"/>
  </r>
  <r>
    <s v="O02740"/>
    <d v="2022-06-09T00:00:00"/>
    <x v="18"/>
    <x v="3"/>
    <x v="0"/>
    <s v="Binders"/>
    <s v="Product_351"/>
    <n v="4434.67"/>
    <n v="445.52"/>
    <n v="0.23"/>
    <x v="1"/>
    <n v="0.10046294312767352"/>
    <x v="8"/>
    <n v="2022"/>
  </r>
  <r>
    <s v="O02741"/>
    <d v="2022-09-22T00:00:00"/>
    <x v="383"/>
    <x v="3"/>
    <x v="0"/>
    <s v="Storage"/>
    <s v="Product_433"/>
    <n v="4891.07"/>
    <n v="-327.43"/>
    <n v="0.3"/>
    <x v="0"/>
    <n v="-6.6944451827514226E-2"/>
    <x v="7"/>
    <n v="2022"/>
  </r>
  <r>
    <s v="O02742"/>
    <d v="2022-01-10T00:00:00"/>
    <x v="701"/>
    <x v="0"/>
    <x v="0"/>
    <s v="Paper"/>
    <s v="Product_40"/>
    <n v="4125.2299999999996"/>
    <n v="-334.99"/>
    <n v="0.1"/>
    <x v="0"/>
    <n v="-8.1205169166325281E-2"/>
    <x v="1"/>
    <n v="2022"/>
  </r>
  <r>
    <s v="O02743"/>
    <d v="2022-05-03T00:00:00"/>
    <x v="502"/>
    <x v="2"/>
    <x v="2"/>
    <s v="Tables"/>
    <s v="Product_473"/>
    <n v="1769.56"/>
    <n v="-354.99"/>
    <n v="0.1"/>
    <x v="0"/>
    <n v="-0.2006091909853297"/>
    <x v="11"/>
    <n v="2022"/>
  </r>
  <r>
    <s v="O02744"/>
    <d v="2022-01-04T00:00:00"/>
    <x v="409"/>
    <x v="1"/>
    <x v="2"/>
    <s v="Bookcases"/>
    <s v="Product_400"/>
    <n v="2689.57"/>
    <n v="-521.28"/>
    <n v="0.26"/>
    <x v="0"/>
    <n v="-0.19381536825589218"/>
    <x v="1"/>
    <n v="2022"/>
  </r>
  <r>
    <s v="O02745"/>
    <d v="2023-03-02T00:00:00"/>
    <x v="73"/>
    <x v="2"/>
    <x v="1"/>
    <s v="Copiers"/>
    <s v="Product_15"/>
    <n v="3826.22"/>
    <n v="-494.47"/>
    <n v="0.21"/>
    <x v="0"/>
    <n v="-0.12923198352420928"/>
    <x v="6"/>
    <n v="2023"/>
  </r>
  <r>
    <s v="O02746"/>
    <d v="2022-06-08T00:00:00"/>
    <x v="350"/>
    <x v="1"/>
    <x v="0"/>
    <s v="Storage"/>
    <s v="Product_347"/>
    <n v="2608.73"/>
    <n v="-386.12"/>
    <n v="0.23"/>
    <x v="0"/>
    <n v="-0.14801071785888154"/>
    <x v="8"/>
    <n v="2022"/>
  </r>
  <r>
    <s v="O02747"/>
    <d v="2022-05-04T00:00:00"/>
    <x v="534"/>
    <x v="1"/>
    <x v="0"/>
    <s v="Storage"/>
    <s v="Product_249"/>
    <n v="3205.34"/>
    <n v="-100.41"/>
    <n v="0.12"/>
    <x v="0"/>
    <n v="-3.1325849987832804E-2"/>
    <x v="11"/>
    <n v="2022"/>
  </r>
  <r>
    <s v="O02748"/>
    <d v="2022-04-19T00:00:00"/>
    <x v="572"/>
    <x v="1"/>
    <x v="1"/>
    <s v="Phones"/>
    <s v="Product_409"/>
    <n v="297.56"/>
    <n v="-36.96"/>
    <n v="0.26"/>
    <x v="0"/>
    <n v="-0.12421024331227316"/>
    <x v="0"/>
    <n v="2022"/>
  </r>
  <r>
    <s v="O02749"/>
    <d v="2022-12-27T00:00:00"/>
    <x v="484"/>
    <x v="0"/>
    <x v="1"/>
    <s v="Copiers"/>
    <s v="Product_8"/>
    <n v="173.13"/>
    <n v="-15.68"/>
    <n v="0.22"/>
    <x v="0"/>
    <n v="-9.0567781435915207E-2"/>
    <x v="4"/>
    <n v="2022"/>
  </r>
  <r>
    <s v="O02750"/>
    <d v="2022-05-19T00:00:00"/>
    <x v="373"/>
    <x v="2"/>
    <x v="2"/>
    <s v="Bookcases"/>
    <s v="Product_494"/>
    <n v="1358.78"/>
    <n v="-466.75"/>
    <n v="0.26"/>
    <x v="0"/>
    <n v="-0.34350667510560945"/>
    <x v="11"/>
    <n v="2022"/>
  </r>
  <r>
    <s v="O02751"/>
    <d v="2023-01-29T00:00:00"/>
    <x v="550"/>
    <x v="2"/>
    <x v="2"/>
    <s v="Chairs"/>
    <s v="Product_283"/>
    <n v="4854.3599999999997"/>
    <n v="539.07000000000005"/>
    <n v="0.04"/>
    <x v="1"/>
    <n v="0.11104862432946878"/>
    <x v="1"/>
    <n v="2023"/>
  </r>
  <r>
    <s v="O02752"/>
    <d v="2023-03-30T00:00:00"/>
    <x v="755"/>
    <x v="3"/>
    <x v="1"/>
    <s v="Accessories"/>
    <s v="Product_34"/>
    <n v="1371.95"/>
    <n v="-532.38"/>
    <n v="0.2"/>
    <x v="0"/>
    <n v="-0.3880462115966325"/>
    <x v="6"/>
    <n v="2023"/>
  </r>
  <r>
    <s v="O02753"/>
    <d v="2023-01-09T00:00:00"/>
    <x v="29"/>
    <x v="1"/>
    <x v="1"/>
    <s v="Copiers"/>
    <s v="Product_46"/>
    <n v="3481.46"/>
    <n v="834.93"/>
    <n v="7.0000000000000007E-2"/>
    <x v="1"/>
    <n v="0.23982179890046129"/>
    <x v="1"/>
    <n v="2023"/>
  </r>
  <r>
    <s v="O02754"/>
    <d v="2022-05-29T00:00:00"/>
    <x v="639"/>
    <x v="0"/>
    <x v="1"/>
    <s v="Phones"/>
    <s v="Product_3"/>
    <n v="3705.42"/>
    <n v="321.58999999999997"/>
    <n v="0.25"/>
    <x v="1"/>
    <n v="8.6789081939429261E-2"/>
    <x v="11"/>
    <n v="2022"/>
  </r>
  <r>
    <s v="O02755"/>
    <d v="2023-10-27T00:00:00"/>
    <x v="158"/>
    <x v="3"/>
    <x v="1"/>
    <s v="Phones"/>
    <s v="Product_458"/>
    <n v="1166.17"/>
    <n v="323.64999999999998"/>
    <n v="0.11"/>
    <x v="1"/>
    <n v="0.277532435236715"/>
    <x v="5"/>
    <n v="2023"/>
  </r>
  <r>
    <s v="O02756"/>
    <d v="2023-09-27T00:00:00"/>
    <x v="64"/>
    <x v="1"/>
    <x v="2"/>
    <s v="Tables"/>
    <s v="Product_296"/>
    <n v="4257.82"/>
    <n v="29.39"/>
    <n v="0.21"/>
    <x v="1"/>
    <n v="6.9025933458906211E-3"/>
    <x v="7"/>
    <n v="2023"/>
  </r>
  <r>
    <s v="O02757"/>
    <d v="2022-01-25T00:00:00"/>
    <x v="404"/>
    <x v="3"/>
    <x v="2"/>
    <s v="Tables"/>
    <s v="Product_468"/>
    <n v="2754.96"/>
    <n v="-689.91"/>
    <n v="0.09"/>
    <x v="0"/>
    <n v="-0.2504246885617214"/>
    <x v="1"/>
    <n v="2022"/>
  </r>
  <r>
    <s v="O02758"/>
    <d v="2022-01-16T00:00:00"/>
    <x v="33"/>
    <x v="1"/>
    <x v="2"/>
    <s v="Bookcases"/>
    <s v="Product_24"/>
    <n v="2182.92"/>
    <n v="-862.78"/>
    <n v="0.24"/>
    <x v="0"/>
    <n v="-0.39524123650889631"/>
    <x v="1"/>
    <n v="2022"/>
  </r>
  <r>
    <s v="O02759"/>
    <d v="2023-01-09T00:00:00"/>
    <x v="522"/>
    <x v="2"/>
    <x v="2"/>
    <s v="Chairs"/>
    <s v="Product_358"/>
    <n v="1904.67"/>
    <n v="125.26"/>
    <n v="0.02"/>
    <x v="1"/>
    <n v="6.5764673145479263E-2"/>
    <x v="1"/>
    <n v="2023"/>
  </r>
  <r>
    <s v="O02760"/>
    <d v="2023-09-22T00:00:00"/>
    <x v="576"/>
    <x v="1"/>
    <x v="1"/>
    <s v="Accessories"/>
    <s v="Product_159"/>
    <n v="3593.28"/>
    <n v="469.45"/>
    <n v="7.0000000000000007E-2"/>
    <x v="1"/>
    <n v="0.13064665152729538"/>
    <x v="7"/>
    <n v="2023"/>
  </r>
  <r>
    <s v="O02761"/>
    <d v="2022-10-10T00:00:00"/>
    <x v="199"/>
    <x v="2"/>
    <x v="0"/>
    <s v="Binders"/>
    <s v="Product_133"/>
    <n v="558.01"/>
    <n v="107.2"/>
    <n v="0.1"/>
    <x v="1"/>
    <n v="0.19211125248651459"/>
    <x v="5"/>
    <n v="2022"/>
  </r>
  <r>
    <s v="O02762"/>
    <d v="2022-05-06T00:00:00"/>
    <x v="515"/>
    <x v="2"/>
    <x v="2"/>
    <s v="Tables"/>
    <s v="Product_127"/>
    <n v="2577.27"/>
    <n v="83.36"/>
    <n v="0.24"/>
    <x v="1"/>
    <n v="3.2344302304376335E-2"/>
    <x v="11"/>
    <n v="2022"/>
  </r>
  <r>
    <s v="O02763"/>
    <d v="2022-05-21T00:00:00"/>
    <x v="771"/>
    <x v="0"/>
    <x v="0"/>
    <s v="Paper"/>
    <s v="Product_464"/>
    <n v="1672.66"/>
    <n v="148.09"/>
    <n v="0.23"/>
    <x v="1"/>
    <n v="8.8535625889302069E-2"/>
    <x v="11"/>
    <n v="2022"/>
  </r>
  <r>
    <s v="O02764"/>
    <d v="2023-01-17T00:00:00"/>
    <x v="379"/>
    <x v="2"/>
    <x v="1"/>
    <s v="Accessories"/>
    <s v="Product_260"/>
    <n v="1714.63"/>
    <n v="-153.41"/>
    <n v="0.03"/>
    <x v="0"/>
    <n v="-8.9471197867761545E-2"/>
    <x v="1"/>
    <n v="2023"/>
  </r>
  <r>
    <s v="O02765"/>
    <d v="2023-10-17T00:00:00"/>
    <x v="228"/>
    <x v="2"/>
    <x v="2"/>
    <s v="Tables"/>
    <s v="Product_83"/>
    <n v="1875.17"/>
    <n v="492.14"/>
    <n v="0.05"/>
    <x v="1"/>
    <n v="0.26245087112101834"/>
    <x v="5"/>
    <n v="2023"/>
  </r>
  <r>
    <s v="O02766"/>
    <d v="2023-03-22T00:00:00"/>
    <x v="571"/>
    <x v="3"/>
    <x v="2"/>
    <s v="Bookcases"/>
    <s v="Product_396"/>
    <n v="1978.43"/>
    <n v="439.33"/>
    <n v="0.05"/>
    <x v="1"/>
    <n v="0.22205991619617574"/>
    <x v="6"/>
    <n v="2023"/>
  </r>
  <r>
    <s v="O02767"/>
    <d v="2022-03-08T00:00:00"/>
    <x v="53"/>
    <x v="0"/>
    <x v="1"/>
    <s v="Accessories"/>
    <s v="Product_14"/>
    <n v="3888.5"/>
    <n v="-1236.52"/>
    <n v="0.14000000000000001"/>
    <x v="0"/>
    <n v="-0.31799408512279798"/>
    <x v="6"/>
    <n v="2022"/>
  </r>
  <r>
    <s v="O02768"/>
    <d v="2023-01-29T00:00:00"/>
    <x v="417"/>
    <x v="2"/>
    <x v="1"/>
    <s v="Phones"/>
    <s v="Product_273"/>
    <n v="399.62"/>
    <n v="-110.49"/>
    <n v="0.15"/>
    <x v="0"/>
    <n v="-0.27648766328011609"/>
    <x v="1"/>
    <n v="2023"/>
  </r>
  <r>
    <s v="O02769"/>
    <d v="2023-05-14T00:00:00"/>
    <x v="611"/>
    <x v="3"/>
    <x v="0"/>
    <s v="Binders"/>
    <s v="Product_117"/>
    <n v="2457.66"/>
    <n v="-712.95"/>
    <n v="0.22"/>
    <x v="0"/>
    <n v="-0.29009301530724352"/>
    <x v="11"/>
    <n v="2023"/>
  </r>
  <r>
    <s v="O02770"/>
    <d v="2022-03-16T00:00:00"/>
    <x v="371"/>
    <x v="3"/>
    <x v="0"/>
    <s v="Binders"/>
    <s v="Product_362"/>
    <n v="3903.95"/>
    <n v="-1140.33"/>
    <n v="0.27"/>
    <x v="0"/>
    <n v="-0.29209646639941594"/>
    <x v="6"/>
    <n v="2022"/>
  </r>
  <r>
    <s v="O02771"/>
    <d v="2022-12-07T00:00:00"/>
    <x v="311"/>
    <x v="2"/>
    <x v="1"/>
    <s v="Copiers"/>
    <s v="Product_351"/>
    <n v="987.23"/>
    <n v="125.94"/>
    <n v="0.01"/>
    <x v="1"/>
    <n v="0.12756905685605177"/>
    <x v="4"/>
    <n v="2022"/>
  </r>
  <r>
    <s v="O02772"/>
    <d v="2023-06-13T00:00:00"/>
    <x v="34"/>
    <x v="0"/>
    <x v="0"/>
    <s v="Paper"/>
    <s v="Product_230"/>
    <n v="4908.2"/>
    <n v="-1759.29"/>
    <n v="0.27"/>
    <x v="0"/>
    <n v="-0.3584389389185445"/>
    <x v="8"/>
    <n v="2023"/>
  </r>
  <r>
    <s v="O02773"/>
    <d v="2023-01-22T00:00:00"/>
    <x v="7"/>
    <x v="1"/>
    <x v="1"/>
    <s v="Accessories"/>
    <s v="Product_74"/>
    <n v="1328.29"/>
    <n v="254.53"/>
    <n v="0"/>
    <x v="1"/>
    <n v="0.19162231139284344"/>
    <x v="1"/>
    <n v="2023"/>
  </r>
  <r>
    <s v="O02774"/>
    <d v="2022-08-02T00:00:00"/>
    <x v="486"/>
    <x v="2"/>
    <x v="1"/>
    <s v="Phones"/>
    <s v="Product_244"/>
    <n v="4312.37"/>
    <n v="672.07"/>
    <n v="0.21"/>
    <x v="1"/>
    <n v="0.15584701683760904"/>
    <x v="3"/>
    <n v="2022"/>
  </r>
  <r>
    <s v="O02775"/>
    <d v="2023-06-26T00:00:00"/>
    <x v="112"/>
    <x v="2"/>
    <x v="1"/>
    <s v="Copiers"/>
    <s v="Product_311"/>
    <n v="777.98"/>
    <n v="-193.92"/>
    <n v="0.18"/>
    <x v="0"/>
    <n v="-0.24926090645003726"/>
    <x v="8"/>
    <n v="2023"/>
  </r>
  <r>
    <s v="O02776"/>
    <d v="2023-06-14T00:00:00"/>
    <x v="158"/>
    <x v="2"/>
    <x v="2"/>
    <s v="Tables"/>
    <s v="Product_303"/>
    <n v="4490.01"/>
    <n v="307.11"/>
    <n v="0.21"/>
    <x v="1"/>
    <n v="6.8398511361890069E-2"/>
    <x v="8"/>
    <n v="2023"/>
  </r>
  <r>
    <s v="O02777"/>
    <d v="2022-08-29T00:00:00"/>
    <x v="311"/>
    <x v="0"/>
    <x v="0"/>
    <s v="Binders"/>
    <s v="Product_178"/>
    <n v="964.19"/>
    <n v="56.02"/>
    <n v="0.21"/>
    <x v="1"/>
    <n v="5.8100581835530345E-2"/>
    <x v="3"/>
    <n v="2022"/>
  </r>
  <r>
    <s v="O02778"/>
    <d v="2023-05-01T00:00:00"/>
    <x v="647"/>
    <x v="2"/>
    <x v="2"/>
    <s v="Bookcases"/>
    <s v="Product_381"/>
    <n v="2671.65"/>
    <n v="35.270000000000003"/>
    <n v="0.25"/>
    <x v="1"/>
    <n v="1.3201579548219267E-2"/>
    <x v="11"/>
    <n v="2023"/>
  </r>
  <r>
    <s v="O02779"/>
    <d v="2022-01-10T00:00:00"/>
    <x v="360"/>
    <x v="1"/>
    <x v="2"/>
    <s v="Tables"/>
    <s v="Product_350"/>
    <n v="3021.29"/>
    <n v="727.91"/>
    <n v="0.13"/>
    <x v="1"/>
    <n v="0.24092688884549315"/>
    <x v="1"/>
    <n v="2022"/>
  </r>
  <r>
    <s v="O02780"/>
    <d v="2023-05-28T00:00:00"/>
    <x v="59"/>
    <x v="2"/>
    <x v="0"/>
    <s v="Storage"/>
    <s v="Product_256"/>
    <n v="1676.18"/>
    <n v="171.05"/>
    <n v="0.14000000000000001"/>
    <x v="1"/>
    <n v="0.10204751279695498"/>
    <x v="11"/>
    <n v="2023"/>
  </r>
  <r>
    <s v="O02781"/>
    <d v="2023-08-24T00:00:00"/>
    <x v="338"/>
    <x v="0"/>
    <x v="0"/>
    <s v="Paper"/>
    <s v="Product_124"/>
    <n v="1786.88"/>
    <n v="465.17"/>
    <n v="0.05"/>
    <x v="1"/>
    <n v="0.26032525967048709"/>
    <x v="3"/>
    <n v="2023"/>
  </r>
  <r>
    <s v="O02782"/>
    <d v="2023-02-17T00:00:00"/>
    <x v="44"/>
    <x v="1"/>
    <x v="0"/>
    <s v="Paper"/>
    <s v="Product_234"/>
    <n v="821.1"/>
    <n v="-101.79"/>
    <n v="0.05"/>
    <x v="0"/>
    <n v="-0.12396784800876873"/>
    <x v="10"/>
    <n v="2023"/>
  </r>
  <r>
    <s v="O02783"/>
    <d v="2023-10-21T00:00:00"/>
    <x v="167"/>
    <x v="2"/>
    <x v="0"/>
    <s v="Binders"/>
    <s v="Product_53"/>
    <n v="983.29"/>
    <n v="-299.64"/>
    <n v="0.21"/>
    <x v="0"/>
    <n v="-0.3047320729388075"/>
    <x v="5"/>
    <n v="2023"/>
  </r>
  <r>
    <s v="O02784"/>
    <d v="2023-05-17T00:00:00"/>
    <x v="402"/>
    <x v="0"/>
    <x v="2"/>
    <s v="Chairs"/>
    <s v="Product_496"/>
    <n v="4195.99"/>
    <n v="-248.62"/>
    <n v="0.25"/>
    <x v="0"/>
    <n v="-5.9251809465704165E-2"/>
    <x v="11"/>
    <n v="2023"/>
  </r>
  <r>
    <s v="O02785"/>
    <d v="2023-09-24T00:00:00"/>
    <x v="217"/>
    <x v="3"/>
    <x v="1"/>
    <s v="Phones"/>
    <s v="Product_59"/>
    <n v="2172.38"/>
    <n v="-94.03"/>
    <n v="0.02"/>
    <x v="0"/>
    <n v="-4.3284324105359095E-2"/>
    <x v="7"/>
    <n v="2023"/>
  </r>
  <r>
    <s v="O02786"/>
    <d v="2022-02-03T00:00:00"/>
    <x v="230"/>
    <x v="1"/>
    <x v="1"/>
    <s v="Accessories"/>
    <s v="Product_482"/>
    <n v="4202.03"/>
    <n v="50.74"/>
    <n v="0.12"/>
    <x v="1"/>
    <n v="1.2075116074849538E-2"/>
    <x v="10"/>
    <n v="2022"/>
  </r>
  <r>
    <s v="O02787"/>
    <d v="2022-07-03T00:00:00"/>
    <x v="644"/>
    <x v="0"/>
    <x v="2"/>
    <s v="Tables"/>
    <s v="Product_461"/>
    <n v="4781.2299999999996"/>
    <n v="720.57"/>
    <n v="0"/>
    <x v="1"/>
    <n v="0.15070808139328168"/>
    <x v="2"/>
    <n v="2022"/>
  </r>
  <r>
    <s v="O02788"/>
    <d v="2023-07-17T00:00:00"/>
    <x v="544"/>
    <x v="0"/>
    <x v="2"/>
    <s v="Bookcases"/>
    <s v="Product_456"/>
    <n v="2124.7199999999998"/>
    <n v="-316.19"/>
    <n v="0.28999999999999998"/>
    <x v="0"/>
    <n v="-0.14881490266952824"/>
    <x v="2"/>
    <n v="2023"/>
  </r>
  <r>
    <s v="O02789"/>
    <d v="2022-03-04T00:00:00"/>
    <x v="659"/>
    <x v="0"/>
    <x v="1"/>
    <s v="Phones"/>
    <s v="Product_445"/>
    <n v="3425.18"/>
    <n v="744.28"/>
    <n v="0.08"/>
    <x v="1"/>
    <n v="0.21729660922929597"/>
    <x v="6"/>
    <n v="2022"/>
  </r>
  <r>
    <s v="O02790"/>
    <d v="2022-08-10T00:00:00"/>
    <x v="62"/>
    <x v="2"/>
    <x v="2"/>
    <s v="Tables"/>
    <s v="Product_474"/>
    <n v="2376.31"/>
    <n v="-1089.31"/>
    <n v="0.27"/>
    <x v="0"/>
    <n v="-0.45840399611161842"/>
    <x v="3"/>
    <n v="2022"/>
  </r>
  <r>
    <s v="O02791"/>
    <d v="2022-01-12T00:00:00"/>
    <x v="285"/>
    <x v="3"/>
    <x v="2"/>
    <s v="Tables"/>
    <s v="Product_299"/>
    <n v="4446.76"/>
    <n v="-20.190000000000001"/>
    <n v="0.01"/>
    <x v="0"/>
    <n v="-4.5403844596964985E-3"/>
    <x v="1"/>
    <n v="2022"/>
  </r>
  <r>
    <s v="O02792"/>
    <d v="2022-10-14T00:00:00"/>
    <x v="754"/>
    <x v="1"/>
    <x v="2"/>
    <s v="Chairs"/>
    <s v="Product_437"/>
    <n v="1005.27"/>
    <n v="-341.67"/>
    <n v="0.25"/>
    <x v="0"/>
    <n v="-0.33987883852099438"/>
    <x v="5"/>
    <n v="2022"/>
  </r>
  <r>
    <s v="O02793"/>
    <d v="2022-09-05T00:00:00"/>
    <x v="78"/>
    <x v="0"/>
    <x v="2"/>
    <s v="Tables"/>
    <s v="Product_277"/>
    <n v="883.56"/>
    <n v="-12.23"/>
    <n v="0.08"/>
    <x v="0"/>
    <n v="-1.3841731178414597E-2"/>
    <x v="7"/>
    <n v="2022"/>
  </r>
  <r>
    <s v="O02794"/>
    <d v="2022-09-24T00:00:00"/>
    <x v="437"/>
    <x v="1"/>
    <x v="2"/>
    <s v="Bookcases"/>
    <s v="Product_452"/>
    <n v="259.31"/>
    <n v="61.66"/>
    <n v="0.12"/>
    <x v="1"/>
    <n v="0.23778489067139716"/>
    <x v="7"/>
    <n v="2022"/>
  </r>
  <r>
    <s v="O02795"/>
    <d v="2022-04-22T00:00:00"/>
    <x v="161"/>
    <x v="1"/>
    <x v="1"/>
    <s v="Copiers"/>
    <s v="Product_378"/>
    <n v="3669.79"/>
    <n v="-440.28"/>
    <n v="0.25"/>
    <x v="0"/>
    <n v="-0.1199741674591734"/>
    <x v="0"/>
    <n v="2022"/>
  </r>
  <r>
    <s v="O02796"/>
    <d v="2023-05-21T00:00:00"/>
    <x v="535"/>
    <x v="0"/>
    <x v="0"/>
    <s v="Binders"/>
    <s v="Product_82"/>
    <n v="723.38"/>
    <n v="133.66999999999999"/>
    <n v="0.21"/>
    <x v="1"/>
    <n v="0.18478531338991952"/>
    <x v="11"/>
    <n v="2023"/>
  </r>
  <r>
    <s v="O02797"/>
    <d v="2022-11-02T00:00:00"/>
    <x v="693"/>
    <x v="2"/>
    <x v="0"/>
    <s v="Binders"/>
    <s v="Product_31"/>
    <n v="4129.01"/>
    <n v="500.97"/>
    <n v="7.0000000000000007E-2"/>
    <x v="1"/>
    <n v="0.12132932591589751"/>
    <x v="9"/>
    <n v="2022"/>
  </r>
  <r>
    <s v="O02798"/>
    <d v="2022-06-25T00:00:00"/>
    <x v="541"/>
    <x v="1"/>
    <x v="2"/>
    <s v="Tables"/>
    <s v="Product_284"/>
    <n v="3620.78"/>
    <n v="172.09"/>
    <n v="0.14000000000000001"/>
    <x v="1"/>
    <n v="4.7528433100050262E-2"/>
    <x v="8"/>
    <n v="2022"/>
  </r>
  <r>
    <s v="O02799"/>
    <d v="2023-10-01T00:00:00"/>
    <x v="695"/>
    <x v="3"/>
    <x v="0"/>
    <s v="Paper"/>
    <s v="Product_12"/>
    <n v="1843.9"/>
    <n v="61.87"/>
    <n v="0.06"/>
    <x v="1"/>
    <n v="3.3553880362275607E-2"/>
    <x v="5"/>
    <n v="2023"/>
  </r>
  <r>
    <s v="O02800"/>
    <d v="2022-01-03T00:00:00"/>
    <x v="166"/>
    <x v="2"/>
    <x v="1"/>
    <s v="Copiers"/>
    <s v="Product_187"/>
    <n v="102.8"/>
    <n v="-20.47"/>
    <n v="0.26"/>
    <x v="0"/>
    <n v="-0.19912451361867703"/>
    <x v="1"/>
    <n v="2022"/>
  </r>
  <r>
    <s v="O02801"/>
    <d v="2022-04-16T00:00:00"/>
    <x v="634"/>
    <x v="1"/>
    <x v="1"/>
    <s v="Phones"/>
    <s v="Product_305"/>
    <n v="931.27"/>
    <n v="36.380000000000003"/>
    <n v="0.16"/>
    <x v="1"/>
    <n v="3.9064932833657265E-2"/>
    <x v="0"/>
    <n v="2022"/>
  </r>
  <r>
    <s v="O02802"/>
    <d v="2022-11-03T00:00:00"/>
    <x v="368"/>
    <x v="0"/>
    <x v="2"/>
    <s v="Chairs"/>
    <s v="Product_144"/>
    <n v="1012.24"/>
    <n v="2.88"/>
    <n v="0.02"/>
    <x v="1"/>
    <n v="2.8451750572986642E-3"/>
    <x v="9"/>
    <n v="2022"/>
  </r>
  <r>
    <s v="O02803"/>
    <d v="2022-06-10T00:00:00"/>
    <x v="275"/>
    <x v="1"/>
    <x v="1"/>
    <s v="Copiers"/>
    <s v="Product_127"/>
    <n v="2904.87"/>
    <n v="-217.57"/>
    <n v="0.01"/>
    <x v="0"/>
    <n v="-7.4898360339705386E-2"/>
    <x v="8"/>
    <n v="2022"/>
  </r>
  <r>
    <s v="O02804"/>
    <d v="2022-02-11T00:00:00"/>
    <x v="377"/>
    <x v="3"/>
    <x v="2"/>
    <s v="Chairs"/>
    <s v="Product_464"/>
    <n v="132.15"/>
    <n v="-4.6900000000000004"/>
    <n v="0.05"/>
    <x v="0"/>
    <n v="-3.5489973514945136E-2"/>
    <x v="10"/>
    <n v="2022"/>
  </r>
  <r>
    <s v="O02805"/>
    <d v="2022-08-20T00:00:00"/>
    <x v="560"/>
    <x v="3"/>
    <x v="0"/>
    <s v="Paper"/>
    <s v="Product_169"/>
    <n v="1785.86"/>
    <n v="-753.43"/>
    <n v="0.28999999999999998"/>
    <x v="0"/>
    <n v="-0.42188637407187574"/>
    <x v="3"/>
    <n v="2022"/>
  </r>
  <r>
    <s v="O02806"/>
    <d v="2023-06-01T00:00:00"/>
    <x v="21"/>
    <x v="3"/>
    <x v="0"/>
    <s v="Storage"/>
    <s v="Product_356"/>
    <n v="4497.5600000000004"/>
    <n v="-121.92"/>
    <n v="7.0000000000000007E-2"/>
    <x v="0"/>
    <n v="-2.7108031910635988E-2"/>
    <x v="8"/>
    <n v="2023"/>
  </r>
  <r>
    <s v="O02807"/>
    <d v="2022-06-16T00:00:00"/>
    <x v="369"/>
    <x v="1"/>
    <x v="2"/>
    <s v="Bookcases"/>
    <s v="Product_202"/>
    <n v="1048.8399999999999"/>
    <n v="-329.7"/>
    <n v="0.23"/>
    <x v="0"/>
    <n v="-0.31434727889859276"/>
    <x v="8"/>
    <n v="2022"/>
  </r>
  <r>
    <s v="O02808"/>
    <d v="2022-12-22T00:00:00"/>
    <x v="66"/>
    <x v="1"/>
    <x v="2"/>
    <s v="Bookcases"/>
    <s v="Product_63"/>
    <n v="2191.1"/>
    <n v="268.27999999999997"/>
    <n v="0"/>
    <x v="1"/>
    <n v="0.12244078316827163"/>
    <x v="4"/>
    <n v="2022"/>
  </r>
  <r>
    <s v="O02809"/>
    <d v="2022-02-28T00:00:00"/>
    <x v="111"/>
    <x v="3"/>
    <x v="2"/>
    <s v="Tables"/>
    <s v="Product_385"/>
    <n v="3788.03"/>
    <n v="1128.1600000000001"/>
    <n v="0.03"/>
    <x v="1"/>
    <n v="0.2978223509317508"/>
    <x v="10"/>
    <n v="2022"/>
  </r>
  <r>
    <s v="O02810"/>
    <d v="2022-05-18T00:00:00"/>
    <x v="422"/>
    <x v="0"/>
    <x v="0"/>
    <s v="Paper"/>
    <s v="Product_74"/>
    <n v="1633.98"/>
    <n v="-162.28"/>
    <n v="0.26"/>
    <x v="0"/>
    <n v="-9.9315781098911857E-2"/>
    <x v="11"/>
    <n v="2022"/>
  </r>
  <r>
    <s v="O02811"/>
    <d v="2023-08-26T00:00:00"/>
    <x v="300"/>
    <x v="3"/>
    <x v="2"/>
    <s v="Tables"/>
    <s v="Product_82"/>
    <n v="2067.29"/>
    <n v="115.5"/>
    <n v="0.02"/>
    <x v="1"/>
    <n v="5.5870245587218051E-2"/>
    <x v="3"/>
    <n v="2023"/>
  </r>
  <r>
    <s v="O02812"/>
    <d v="2023-10-19T00:00:00"/>
    <x v="635"/>
    <x v="1"/>
    <x v="2"/>
    <s v="Chairs"/>
    <s v="Product_462"/>
    <n v="1981.26"/>
    <n v="277.73"/>
    <n v="0.18"/>
    <x v="1"/>
    <n v="0.14017847228531338"/>
    <x v="5"/>
    <n v="2023"/>
  </r>
  <r>
    <s v="O02813"/>
    <d v="2022-07-05T00:00:00"/>
    <x v="675"/>
    <x v="2"/>
    <x v="1"/>
    <s v="Accessories"/>
    <s v="Product_39"/>
    <n v="3148.46"/>
    <n v="-278.41000000000003"/>
    <n v="0.24"/>
    <x v="0"/>
    <n v="-8.8427358136993969E-2"/>
    <x v="2"/>
    <n v="2022"/>
  </r>
  <r>
    <s v="O02814"/>
    <d v="2022-05-12T00:00:00"/>
    <x v="19"/>
    <x v="3"/>
    <x v="0"/>
    <s v="Binders"/>
    <s v="Product_243"/>
    <n v="589.39"/>
    <n v="72.81"/>
    <n v="0.11"/>
    <x v="1"/>
    <n v="0.12353450177301957"/>
    <x v="11"/>
    <n v="2022"/>
  </r>
  <r>
    <s v="O02815"/>
    <d v="2022-09-15T00:00:00"/>
    <x v="471"/>
    <x v="0"/>
    <x v="1"/>
    <s v="Phones"/>
    <s v="Product_460"/>
    <n v="3372.12"/>
    <n v="676.74"/>
    <n v="0.15"/>
    <x v="1"/>
    <n v="0.20068680829863708"/>
    <x v="7"/>
    <n v="2022"/>
  </r>
  <r>
    <s v="O02816"/>
    <d v="2022-08-23T00:00:00"/>
    <x v="269"/>
    <x v="0"/>
    <x v="2"/>
    <s v="Bookcases"/>
    <s v="Product_293"/>
    <n v="224.48"/>
    <n v="-71.319999999999993"/>
    <n v="0.19"/>
    <x v="0"/>
    <n v="-0.31771204561653599"/>
    <x v="3"/>
    <n v="2022"/>
  </r>
  <r>
    <s v="O02817"/>
    <d v="2022-11-19T00:00:00"/>
    <x v="354"/>
    <x v="3"/>
    <x v="0"/>
    <s v="Binders"/>
    <s v="Product_32"/>
    <n v="3333.24"/>
    <n v="271.43"/>
    <n v="0.26"/>
    <x v="1"/>
    <n v="8.1431280075842133E-2"/>
    <x v="9"/>
    <n v="2022"/>
  </r>
  <r>
    <s v="O02818"/>
    <d v="2022-12-06T00:00:00"/>
    <x v="315"/>
    <x v="0"/>
    <x v="2"/>
    <s v="Chairs"/>
    <s v="Product_163"/>
    <n v="3555.24"/>
    <n v="692.03"/>
    <n v="0.02"/>
    <x v="1"/>
    <n v="0.19465071275075663"/>
    <x v="4"/>
    <n v="2022"/>
  </r>
  <r>
    <s v="O02819"/>
    <d v="2023-10-18T00:00:00"/>
    <x v="676"/>
    <x v="3"/>
    <x v="2"/>
    <s v="Tables"/>
    <s v="Product_122"/>
    <n v="1128.43"/>
    <n v="-417.27"/>
    <n v="0.23"/>
    <x v="0"/>
    <n v="-0.36977925081750745"/>
    <x v="5"/>
    <n v="2023"/>
  </r>
  <r>
    <s v="O02820"/>
    <d v="2023-04-18T00:00:00"/>
    <x v="426"/>
    <x v="1"/>
    <x v="0"/>
    <s v="Binders"/>
    <s v="Product_134"/>
    <n v="2635.38"/>
    <n v="580.83000000000004"/>
    <n v="0.13"/>
    <x v="1"/>
    <n v="0.22039705848871891"/>
    <x v="0"/>
    <n v="2023"/>
  </r>
  <r>
    <s v="O02821"/>
    <d v="2022-05-15T00:00:00"/>
    <x v="377"/>
    <x v="0"/>
    <x v="1"/>
    <s v="Copiers"/>
    <s v="Product_257"/>
    <n v="4871.74"/>
    <n v="656.46"/>
    <n v="0.11"/>
    <x v="1"/>
    <n v="0.13474857032600263"/>
    <x v="11"/>
    <n v="2022"/>
  </r>
  <r>
    <s v="O02822"/>
    <d v="2022-11-26T00:00:00"/>
    <x v="308"/>
    <x v="0"/>
    <x v="0"/>
    <s v="Binders"/>
    <s v="Product_303"/>
    <n v="3570.16"/>
    <n v="709.52"/>
    <n v="0.08"/>
    <x v="1"/>
    <n v="0.19873619109507698"/>
    <x v="9"/>
    <n v="2022"/>
  </r>
  <r>
    <s v="O02823"/>
    <d v="2023-05-10T00:00:00"/>
    <x v="263"/>
    <x v="0"/>
    <x v="2"/>
    <s v="Bookcases"/>
    <s v="Product_221"/>
    <n v="4645.59"/>
    <n v="1221.77"/>
    <n v="0"/>
    <x v="1"/>
    <n v="0.26299565824792975"/>
    <x v="11"/>
    <n v="2023"/>
  </r>
  <r>
    <s v="O02824"/>
    <d v="2022-08-29T00:00:00"/>
    <x v="225"/>
    <x v="1"/>
    <x v="1"/>
    <s v="Copiers"/>
    <s v="Product_302"/>
    <n v="1972.8"/>
    <n v="408.34"/>
    <n v="0.17"/>
    <x v="1"/>
    <n v="0.20698499594484995"/>
    <x v="3"/>
    <n v="2022"/>
  </r>
  <r>
    <s v="O02825"/>
    <d v="2022-02-28T00:00:00"/>
    <x v="291"/>
    <x v="3"/>
    <x v="0"/>
    <s v="Storage"/>
    <s v="Product_240"/>
    <n v="2206.9899999999998"/>
    <n v="647.89"/>
    <n v="0.03"/>
    <x v="1"/>
    <n v="0.29356272570333353"/>
    <x v="10"/>
    <n v="2022"/>
  </r>
  <r>
    <s v="O02826"/>
    <d v="2023-06-17T00:00:00"/>
    <x v="493"/>
    <x v="3"/>
    <x v="0"/>
    <s v="Storage"/>
    <s v="Product_377"/>
    <n v="3361.01"/>
    <n v="-1092.46"/>
    <n v="0.28999999999999998"/>
    <x v="0"/>
    <n v="-0.32503919952633287"/>
    <x v="8"/>
    <n v="2023"/>
  </r>
  <r>
    <s v="O02827"/>
    <d v="2022-11-25T00:00:00"/>
    <x v="472"/>
    <x v="2"/>
    <x v="0"/>
    <s v="Storage"/>
    <s v="Product_364"/>
    <n v="1041.32"/>
    <n v="-330.02"/>
    <n v="0.22"/>
    <x v="0"/>
    <n v="-0.3169246725310183"/>
    <x v="9"/>
    <n v="2022"/>
  </r>
  <r>
    <s v="O02828"/>
    <d v="2022-09-30T00:00:00"/>
    <x v="326"/>
    <x v="2"/>
    <x v="1"/>
    <s v="Phones"/>
    <s v="Product_65"/>
    <n v="2082.1999999999998"/>
    <n v="403.52"/>
    <n v="0.05"/>
    <x v="1"/>
    <n v="0.19379502449332436"/>
    <x v="7"/>
    <n v="2022"/>
  </r>
  <r>
    <s v="O02829"/>
    <d v="2023-10-15T00:00:00"/>
    <x v="267"/>
    <x v="3"/>
    <x v="0"/>
    <s v="Storage"/>
    <s v="Product_42"/>
    <n v="3916.7"/>
    <n v="957.19"/>
    <n v="0.11"/>
    <x v="1"/>
    <n v="0.24438685628207421"/>
    <x v="5"/>
    <n v="2023"/>
  </r>
  <r>
    <s v="O02830"/>
    <d v="2022-12-25T00:00:00"/>
    <x v="37"/>
    <x v="0"/>
    <x v="0"/>
    <s v="Paper"/>
    <s v="Product_274"/>
    <n v="926.99"/>
    <n v="-129.65"/>
    <n v="0.05"/>
    <x v="0"/>
    <n v="-0.13986127142687624"/>
    <x v="4"/>
    <n v="2022"/>
  </r>
  <r>
    <s v="O02831"/>
    <d v="2022-06-22T00:00:00"/>
    <x v="225"/>
    <x v="3"/>
    <x v="2"/>
    <s v="Tables"/>
    <s v="Product_229"/>
    <n v="3673.75"/>
    <n v="-68.41"/>
    <n v="0.2"/>
    <x v="0"/>
    <n v="-1.8621299761823747E-2"/>
    <x v="8"/>
    <n v="2022"/>
  </r>
  <r>
    <s v="O02832"/>
    <d v="2022-07-04T00:00:00"/>
    <x v="336"/>
    <x v="0"/>
    <x v="2"/>
    <s v="Bookcases"/>
    <s v="Product_47"/>
    <n v="2114.83"/>
    <n v="-483.93"/>
    <n v="0.18"/>
    <x v="0"/>
    <n v="-0.22882690334447686"/>
    <x v="2"/>
    <n v="2022"/>
  </r>
  <r>
    <s v="O02833"/>
    <d v="2023-08-11T00:00:00"/>
    <x v="501"/>
    <x v="0"/>
    <x v="2"/>
    <s v="Chairs"/>
    <s v="Product_404"/>
    <n v="1303.8499999999999"/>
    <n v="-140.18"/>
    <n v="0.08"/>
    <x v="0"/>
    <n v="-0.10751236722015571"/>
    <x v="3"/>
    <n v="2023"/>
  </r>
  <r>
    <s v="O02834"/>
    <d v="2023-12-12T00:00:00"/>
    <x v="111"/>
    <x v="0"/>
    <x v="2"/>
    <s v="Bookcases"/>
    <s v="Product_69"/>
    <n v="3540.61"/>
    <n v="-806.75"/>
    <n v="0.13"/>
    <x v="0"/>
    <n v="-0.22785621686658514"/>
    <x v="4"/>
    <n v="2023"/>
  </r>
  <r>
    <s v="O02835"/>
    <d v="2022-02-23T00:00:00"/>
    <x v="49"/>
    <x v="3"/>
    <x v="1"/>
    <s v="Accessories"/>
    <s v="Product_221"/>
    <n v="101.21"/>
    <n v="5.58"/>
    <n v="0.28000000000000003"/>
    <x v="1"/>
    <n v="5.5132892006718705E-2"/>
    <x v="10"/>
    <n v="2022"/>
  </r>
  <r>
    <s v="O02836"/>
    <d v="2022-01-20T00:00:00"/>
    <x v="761"/>
    <x v="1"/>
    <x v="2"/>
    <s v="Chairs"/>
    <s v="Product_315"/>
    <n v="427.09"/>
    <n v="-26.39"/>
    <n v="0.25"/>
    <x v="0"/>
    <n v="-6.1790254981385663E-2"/>
    <x v="1"/>
    <n v="2022"/>
  </r>
  <r>
    <s v="O02837"/>
    <d v="2023-01-15T00:00:00"/>
    <x v="522"/>
    <x v="1"/>
    <x v="2"/>
    <s v="Chairs"/>
    <s v="Product_276"/>
    <n v="3712.89"/>
    <n v="-364.74"/>
    <n v="0.03"/>
    <x v="0"/>
    <n v="-9.8236144889829763E-2"/>
    <x v="1"/>
    <n v="2023"/>
  </r>
  <r>
    <s v="O02838"/>
    <d v="2022-03-30T00:00:00"/>
    <x v="764"/>
    <x v="1"/>
    <x v="0"/>
    <s v="Binders"/>
    <s v="Product_196"/>
    <n v="758.9"/>
    <n v="-8.9499999999999993"/>
    <n v="0.09"/>
    <x v="0"/>
    <n v="-1.1793385162735537E-2"/>
    <x v="6"/>
    <n v="2022"/>
  </r>
  <r>
    <s v="O02839"/>
    <d v="2022-05-28T00:00:00"/>
    <x v="101"/>
    <x v="2"/>
    <x v="2"/>
    <s v="Bookcases"/>
    <s v="Product_338"/>
    <n v="329.21"/>
    <n v="22.73"/>
    <n v="0.28999999999999998"/>
    <x v="1"/>
    <n v="6.9044075210352066E-2"/>
    <x v="11"/>
    <n v="2022"/>
  </r>
  <r>
    <s v="O02840"/>
    <d v="2023-03-05T00:00:00"/>
    <x v="738"/>
    <x v="2"/>
    <x v="2"/>
    <s v="Tables"/>
    <s v="Product_500"/>
    <n v="2059.87"/>
    <n v="482.18"/>
    <n v="0.12"/>
    <x v="1"/>
    <n v="0.23408273337637814"/>
    <x v="6"/>
    <n v="2023"/>
  </r>
  <r>
    <s v="O02841"/>
    <d v="2022-12-29T00:00:00"/>
    <x v="404"/>
    <x v="0"/>
    <x v="1"/>
    <s v="Phones"/>
    <s v="Product_294"/>
    <n v="2015.52"/>
    <n v="91.57"/>
    <n v="7.0000000000000007E-2"/>
    <x v="1"/>
    <n v="4.5432444232753826E-2"/>
    <x v="4"/>
    <n v="2022"/>
  </r>
  <r>
    <s v="O02842"/>
    <d v="2023-04-01T00:00:00"/>
    <x v="80"/>
    <x v="1"/>
    <x v="1"/>
    <s v="Phones"/>
    <s v="Product_439"/>
    <n v="2368.84"/>
    <n v="-13.75"/>
    <n v="0.06"/>
    <x v="0"/>
    <n v="-5.8045287989057929E-3"/>
    <x v="0"/>
    <n v="2023"/>
  </r>
  <r>
    <s v="O02843"/>
    <d v="2023-02-25T00:00:00"/>
    <x v="135"/>
    <x v="0"/>
    <x v="2"/>
    <s v="Bookcases"/>
    <s v="Product_330"/>
    <n v="645.49"/>
    <n v="26.88"/>
    <n v="0.28999999999999998"/>
    <x v="1"/>
    <n v="4.1642783002060445E-2"/>
    <x v="10"/>
    <n v="2023"/>
  </r>
  <r>
    <s v="O02844"/>
    <d v="2022-05-21T00:00:00"/>
    <x v="647"/>
    <x v="0"/>
    <x v="0"/>
    <s v="Paper"/>
    <s v="Product_200"/>
    <n v="1487.26"/>
    <n v="46.35"/>
    <n v="0.03"/>
    <x v="1"/>
    <n v="3.1164692118392213E-2"/>
    <x v="11"/>
    <n v="2022"/>
  </r>
  <r>
    <s v="O02845"/>
    <d v="2022-07-21T00:00:00"/>
    <x v="290"/>
    <x v="1"/>
    <x v="1"/>
    <s v="Accessories"/>
    <s v="Product_238"/>
    <n v="4509.6499999999996"/>
    <n v="1169.06"/>
    <n v="0.09"/>
    <x v="1"/>
    <n v="0.25923519563602498"/>
    <x v="2"/>
    <n v="2022"/>
  </r>
  <r>
    <s v="O02846"/>
    <d v="2023-03-07T00:00:00"/>
    <x v="374"/>
    <x v="0"/>
    <x v="1"/>
    <s v="Copiers"/>
    <s v="Product_217"/>
    <n v="4484.32"/>
    <n v="-332"/>
    <n v="0.16"/>
    <x v="0"/>
    <n v="-7.4035751239875838E-2"/>
    <x v="6"/>
    <n v="2023"/>
  </r>
  <r>
    <s v="O02847"/>
    <d v="2022-02-16T00:00:00"/>
    <x v="648"/>
    <x v="2"/>
    <x v="0"/>
    <s v="Binders"/>
    <s v="Product_415"/>
    <n v="3971.19"/>
    <n v="-1080.02"/>
    <n v="0.18"/>
    <x v="0"/>
    <n v="-0.27196381940929543"/>
    <x v="10"/>
    <n v="2022"/>
  </r>
  <r>
    <s v="O02848"/>
    <d v="2023-03-28T00:00:00"/>
    <x v="63"/>
    <x v="0"/>
    <x v="2"/>
    <s v="Tables"/>
    <s v="Product_428"/>
    <n v="1706.19"/>
    <n v="11.87"/>
    <n v="0.1"/>
    <x v="1"/>
    <n v="6.9570211992802666E-3"/>
    <x v="6"/>
    <n v="2023"/>
  </r>
  <r>
    <s v="O02849"/>
    <d v="2022-07-07T00:00:00"/>
    <x v="705"/>
    <x v="1"/>
    <x v="1"/>
    <s v="Copiers"/>
    <s v="Product_147"/>
    <n v="3115.93"/>
    <n v="-249.69"/>
    <n v="0.06"/>
    <x v="0"/>
    <n v="-8.0133379119556605E-2"/>
    <x v="2"/>
    <n v="2022"/>
  </r>
  <r>
    <s v="O02850"/>
    <d v="2023-05-24T00:00:00"/>
    <x v="547"/>
    <x v="1"/>
    <x v="0"/>
    <s v="Binders"/>
    <s v="Product_138"/>
    <n v="2281.9499999999998"/>
    <n v="-272.94"/>
    <n v="0.08"/>
    <x v="0"/>
    <n v="-0.11960822980345757"/>
    <x v="11"/>
    <n v="2023"/>
  </r>
  <r>
    <s v="O02851"/>
    <d v="2023-02-03T00:00:00"/>
    <x v="329"/>
    <x v="3"/>
    <x v="1"/>
    <s v="Accessories"/>
    <s v="Product_230"/>
    <n v="3926.43"/>
    <n v="-547.38"/>
    <n v="0.24"/>
    <x v="0"/>
    <n v="-0.13940908153207876"/>
    <x v="10"/>
    <n v="2023"/>
  </r>
  <r>
    <s v="O02852"/>
    <d v="2023-01-14T00:00:00"/>
    <x v="152"/>
    <x v="1"/>
    <x v="0"/>
    <s v="Binders"/>
    <s v="Product_194"/>
    <n v="910.99"/>
    <n v="3.3"/>
    <n v="0.26"/>
    <x v="1"/>
    <n v="3.6224327380102962E-3"/>
    <x v="1"/>
    <n v="2023"/>
  </r>
  <r>
    <s v="O02853"/>
    <d v="2022-06-27T00:00:00"/>
    <x v="711"/>
    <x v="2"/>
    <x v="2"/>
    <s v="Tables"/>
    <s v="Product_376"/>
    <n v="2841.12"/>
    <n v="576.54"/>
    <n v="0.01"/>
    <x v="1"/>
    <n v="0.20292701469842878"/>
    <x v="8"/>
    <n v="2022"/>
  </r>
  <r>
    <s v="O02854"/>
    <d v="2023-09-02T00:00:00"/>
    <x v="141"/>
    <x v="1"/>
    <x v="0"/>
    <s v="Paper"/>
    <s v="Product_257"/>
    <n v="409.77"/>
    <n v="153.4"/>
    <n v="0"/>
    <x v="1"/>
    <n v="0.37435634624301439"/>
    <x v="7"/>
    <n v="2023"/>
  </r>
  <r>
    <s v="O02855"/>
    <d v="2022-06-28T00:00:00"/>
    <x v="137"/>
    <x v="2"/>
    <x v="1"/>
    <s v="Copiers"/>
    <s v="Product_372"/>
    <n v="4439.62"/>
    <n v="1004.08"/>
    <n v="0.14000000000000001"/>
    <x v="1"/>
    <n v="0.2261635004797708"/>
    <x v="8"/>
    <n v="2022"/>
  </r>
  <r>
    <s v="O02856"/>
    <d v="2022-02-03T00:00:00"/>
    <x v="428"/>
    <x v="1"/>
    <x v="1"/>
    <s v="Phones"/>
    <s v="Product_245"/>
    <n v="1674.31"/>
    <n v="-620.16"/>
    <n v="0.18"/>
    <x v="0"/>
    <n v="-0.37039735771750748"/>
    <x v="10"/>
    <n v="2022"/>
  </r>
  <r>
    <s v="O02857"/>
    <d v="2023-10-26T00:00:00"/>
    <x v="716"/>
    <x v="2"/>
    <x v="0"/>
    <s v="Binders"/>
    <s v="Product_378"/>
    <n v="1383.07"/>
    <n v="-203.54"/>
    <n v="0.13"/>
    <x v="0"/>
    <n v="-0.14716536400905234"/>
    <x v="5"/>
    <n v="2023"/>
  </r>
  <r>
    <s v="O02858"/>
    <d v="2022-09-26T00:00:00"/>
    <x v="442"/>
    <x v="1"/>
    <x v="2"/>
    <s v="Tables"/>
    <s v="Product_235"/>
    <n v="1188.43"/>
    <n v="230.46"/>
    <n v="0.15"/>
    <x v="1"/>
    <n v="0.19391970919616636"/>
    <x v="7"/>
    <n v="2022"/>
  </r>
  <r>
    <s v="O02859"/>
    <d v="2023-10-30T00:00:00"/>
    <x v="48"/>
    <x v="2"/>
    <x v="2"/>
    <s v="Tables"/>
    <s v="Product_132"/>
    <n v="3665.93"/>
    <n v="848.53"/>
    <n v="0.02"/>
    <x v="1"/>
    <n v="0.231463775904068"/>
    <x v="5"/>
    <n v="2023"/>
  </r>
  <r>
    <s v="O02860"/>
    <d v="2023-02-18T00:00:00"/>
    <x v="722"/>
    <x v="0"/>
    <x v="1"/>
    <s v="Accessories"/>
    <s v="Product_189"/>
    <n v="743.73"/>
    <n v="-5.2"/>
    <n v="0.26"/>
    <x v="0"/>
    <n v="-6.991784653032687E-3"/>
    <x v="10"/>
    <n v="2023"/>
  </r>
  <r>
    <s v="O02861"/>
    <d v="2023-06-14T00:00:00"/>
    <x v="122"/>
    <x v="0"/>
    <x v="0"/>
    <s v="Paper"/>
    <s v="Product_481"/>
    <n v="4423.1099999999997"/>
    <n v="-28.04"/>
    <n v="0.03"/>
    <x v="0"/>
    <n v="-6.3394308529518828E-3"/>
    <x v="8"/>
    <n v="2023"/>
  </r>
  <r>
    <s v="O02862"/>
    <d v="2022-04-23T00:00:00"/>
    <x v="725"/>
    <x v="3"/>
    <x v="2"/>
    <s v="Chairs"/>
    <s v="Product_172"/>
    <n v="2318.7800000000002"/>
    <n v="-880.76"/>
    <n v="0.28000000000000003"/>
    <x v="0"/>
    <n v="-0.37983767325921386"/>
    <x v="0"/>
    <n v="2022"/>
  </r>
  <r>
    <s v="O02863"/>
    <d v="2022-01-21T00:00:00"/>
    <x v="210"/>
    <x v="1"/>
    <x v="2"/>
    <s v="Bookcases"/>
    <s v="Product_187"/>
    <n v="2326.67"/>
    <n v="-262.31"/>
    <n v="0.25"/>
    <x v="0"/>
    <n v="-0.11274052615970465"/>
    <x v="1"/>
    <n v="2022"/>
  </r>
  <r>
    <s v="O02864"/>
    <d v="2022-09-11T00:00:00"/>
    <x v="111"/>
    <x v="3"/>
    <x v="1"/>
    <s v="Accessories"/>
    <s v="Product_469"/>
    <n v="263"/>
    <n v="-87.65"/>
    <n v="0.27"/>
    <x v="0"/>
    <n v="-0.33326996197718634"/>
    <x v="7"/>
    <n v="2022"/>
  </r>
  <r>
    <s v="O02865"/>
    <d v="2023-10-23T00:00:00"/>
    <x v="294"/>
    <x v="1"/>
    <x v="1"/>
    <s v="Copiers"/>
    <s v="Product_12"/>
    <n v="2595.06"/>
    <n v="-57.57"/>
    <n v="0.06"/>
    <x v="0"/>
    <n v="-2.2184458162817045E-2"/>
    <x v="5"/>
    <n v="2023"/>
  </r>
  <r>
    <s v="O02866"/>
    <d v="2022-05-19T00:00:00"/>
    <x v="517"/>
    <x v="1"/>
    <x v="1"/>
    <s v="Accessories"/>
    <s v="Product_216"/>
    <n v="3534.13"/>
    <n v="-1406.07"/>
    <n v="0.27"/>
    <x v="0"/>
    <n v="-0.39785463466256188"/>
    <x v="11"/>
    <n v="2022"/>
  </r>
  <r>
    <s v="O02867"/>
    <d v="2023-09-22T00:00:00"/>
    <x v="396"/>
    <x v="2"/>
    <x v="1"/>
    <s v="Accessories"/>
    <s v="Product_261"/>
    <n v="4565"/>
    <n v="345.39"/>
    <n v="0.19"/>
    <x v="1"/>
    <n v="7.5660460021905795E-2"/>
    <x v="7"/>
    <n v="2023"/>
  </r>
  <r>
    <s v="O02868"/>
    <d v="2023-11-24T00:00:00"/>
    <x v="401"/>
    <x v="0"/>
    <x v="0"/>
    <s v="Storage"/>
    <s v="Product_199"/>
    <n v="2211.4499999999998"/>
    <n v="411.23"/>
    <n v="7.0000000000000007E-2"/>
    <x v="1"/>
    <n v="0.1859549164575279"/>
    <x v="9"/>
    <n v="2023"/>
  </r>
  <r>
    <s v="O02869"/>
    <d v="2022-06-23T00:00:00"/>
    <x v="29"/>
    <x v="2"/>
    <x v="1"/>
    <s v="Phones"/>
    <s v="Product_205"/>
    <n v="2905.94"/>
    <n v="429.62"/>
    <n v="0.06"/>
    <x v="1"/>
    <n v="0.14784200637315292"/>
    <x v="8"/>
    <n v="2022"/>
  </r>
  <r>
    <s v="O02870"/>
    <d v="2022-01-23T00:00:00"/>
    <x v="320"/>
    <x v="3"/>
    <x v="2"/>
    <s v="Bookcases"/>
    <s v="Product_293"/>
    <n v="4234.79"/>
    <n v="-243.04"/>
    <n v="0.24"/>
    <x v="0"/>
    <n v="-5.7391275600442992E-2"/>
    <x v="1"/>
    <n v="2022"/>
  </r>
  <r>
    <s v="O02871"/>
    <d v="2023-10-26T00:00:00"/>
    <x v="1"/>
    <x v="2"/>
    <x v="2"/>
    <s v="Chairs"/>
    <s v="Product_392"/>
    <n v="4159.34"/>
    <n v="-1558.88"/>
    <n v="0.21"/>
    <x v="0"/>
    <n v="-0.37479023114244087"/>
    <x v="5"/>
    <n v="2023"/>
  </r>
  <r>
    <s v="O02872"/>
    <d v="2022-01-31T00:00:00"/>
    <x v="214"/>
    <x v="2"/>
    <x v="0"/>
    <s v="Binders"/>
    <s v="Product_106"/>
    <n v="2770.82"/>
    <n v="315.8"/>
    <n v="0.12"/>
    <x v="1"/>
    <n v="0.11397348077464432"/>
    <x v="1"/>
    <n v="2022"/>
  </r>
  <r>
    <s v="O02873"/>
    <d v="2023-11-24T00:00:00"/>
    <x v="657"/>
    <x v="2"/>
    <x v="2"/>
    <s v="Chairs"/>
    <s v="Product_99"/>
    <n v="3836.43"/>
    <n v="-852.78"/>
    <n v="0.12"/>
    <x v="0"/>
    <n v="-0.22228478038176117"/>
    <x v="9"/>
    <n v="2023"/>
  </r>
  <r>
    <s v="O02874"/>
    <d v="2022-03-24T00:00:00"/>
    <x v="270"/>
    <x v="1"/>
    <x v="0"/>
    <s v="Storage"/>
    <s v="Product_252"/>
    <n v="968.83"/>
    <n v="51.91"/>
    <n v="0.25"/>
    <x v="1"/>
    <n v="5.3580091450512471E-2"/>
    <x v="6"/>
    <n v="2022"/>
  </r>
  <r>
    <s v="O02875"/>
    <d v="2022-07-28T00:00:00"/>
    <x v="97"/>
    <x v="1"/>
    <x v="2"/>
    <s v="Bookcases"/>
    <s v="Product_238"/>
    <n v="854.2"/>
    <n v="144.76"/>
    <n v="0.21"/>
    <x v="1"/>
    <n v="0.16946850854600795"/>
    <x v="2"/>
    <n v="2022"/>
  </r>
  <r>
    <s v="O02876"/>
    <d v="2022-11-12T00:00:00"/>
    <x v="164"/>
    <x v="3"/>
    <x v="2"/>
    <s v="Tables"/>
    <s v="Product_88"/>
    <n v="3713.93"/>
    <n v="-592.98"/>
    <n v="0.28000000000000003"/>
    <x v="0"/>
    <n v="-0.1596637524132119"/>
    <x v="9"/>
    <n v="2022"/>
  </r>
  <r>
    <s v="O02877"/>
    <d v="2023-08-29T00:00:00"/>
    <x v="534"/>
    <x v="1"/>
    <x v="1"/>
    <s v="Copiers"/>
    <s v="Product_498"/>
    <n v="1530.49"/>
    <n v="337.9"/>
    <n v="0.01"/>
    <x v="1"/>
    <n v="0.2207789662134349"/>
    <x v="3"/>
    <n v="2023"/>
  </r>
  <r>
    <s v="O02878"/>
    <d v="2023-10-18T00:00:00"/>
    <x v="640"/>
    <x v="0"/>
    <x v="2"/>
    <s v="Bookcases"/>
    <s v="Product_58"/>
    <n v="3878.31"/>
    <n v="-1196.49"/>
    <n v="0.28999999999999998"/>
    <x v="0"/>
    <n v="-0.30850808728544132"/>
    <x v="5"/>
    <n v="2023"/>
  </r>
  <r>
    <s v="O02879"/>
    <d v="2022-01-28T00:00:00"/>
    <x v="6"/>
    <x v="1"/>
    <x v="1"/>
    <s v="Accessories"/>
    <s v="Product_33"/>
    <n v="3897.93"/>
    <n v="-502.33"/>
    <n v="0.18"/>
    <x v="0"/>
    <n v="-0.12887096484544361"/>
    <x v="1"/>
    <n v="2022"/>
  </r>
  <r>
    <s v="O02880"/>
    <d v="2022-09-22T00:00:00"/>
    <x v="691"/>
    <x v="1"/>
    <x v="0"/>
    <s v="Paper"/>
    <s v="Product_491"/>
    <n v="4115.68"/>
    <n v="-1353.26"/>
    <n v="0.13"/>
    <x v="0"/>
    <n v="-0.32880593243400846"/>
    <x v="7"/>
    <n v="2022"/>
  </r>
  <r>
    <s v="O02881"/>
    <d v="2023-11-06T00:00:00"/>
    <x v="75"/>
    <x v="0"/>
    <x v="1"/>
    <s v="Phones"/>
    <s v="Product_358"/>
    <n v="2850.91"/>
    <n v="329.18"/>
    <n v="0.15"/>
    <x v="1"/>
    <n v="0.11546488665022749"/>
    <x v="9"/>
    <n v="2023"/>
  </r>
  <r>
    <s v="O02882"/>
    <d v="2023-07-06T00:00:00"/>
    <x v="41"/>
    <x v="2"/>
    <x v="2"/>
    <s v="Bookcases"/>
    <s v="Product_242"/>
    <n v="3423.64"/>
    <n v="-480.87"/>
    <n v="0.22"/>
    <x v="0"/>
    <n v="-0.14045577221904174"/>
    <x v="2"/>
    <n v="2023"/>
  </r>
  <r>
    <s v="O02883"/>
    <d v="2023-11-11T00:00:00"/>
    <x v="747"/>
    <x v="0"/>
    <x v="0"/>
    <s v="Binders"/>
    <s v="Product_176"/>
    <n v="1993.19"/>
    <n v="148.56"/>
    <n v="0.11"/>
    <x v="1"/>
    <n v="7.4533787546596161E-2"/>
    <x v="9"/>
    <n v="2023"/>
  </r>
  <r>
    <s v="O02884"/>
    <d v="2022-02-23T00:00:00"/>
    <x v="82"/>
    <x v="2"/>
    <x v="0"/>
    <s v="Storage"/>
    <s v="Product_334"/>
    <n v="2941.5"/>
    <n v="328.74"/>
    <n v="0.23"/>
    <x v="1"/>
    <n v="0.11175930647628761"/>
    <x v="10"/>
    <n v="2022"/>
  </r>
  <r>
    <s v="O02885"/>
    <d v="2023-11-01T00:00:00"/>
    <x v="50"/>
    <x v="0"/>
    <x v="1"/>
    <s v="Copiers"/>
    <s v="Product_169"/>
    <n v="4612.9399999999996"/>
    <n v="649.28"/>
    <n v="0.2"/>
    <x v="1"/>
    <n v="0.14075188491504334"/>
    <x v="9"/>
    <n v="2023"/>
  </r>
  <r>
    <s v="O02886"/>
    <d v="2022-02-25T00:00:00"/>
    <x v="488"/>
    <x v="1"/>
    <x v="2"/>
    <s v="Chairs"/>
    <s v="Product_212"/>
    <n v="4703.46"/>
    <n v="-1699.54"/>
    <n v="0.23"/>
    <x v="0"/>
    <n v="-0.36133824886360255"/>
    <x v="10"/>
    <n v="2022"/>
  </r>
  <r>
    <s v="O02887"/>
    <d v="2023-06-10T00:00:00"/>
    <x v="207"/>
    <x v="0"/>
    <x v="0"/>
    <s v="Paper"/>
    <s v="Product_266"/>
    <n v="308.39999999999998"/>
    <n v="-104.19"/>
    <n v="0.26"/>
    <x v="0"/>
    <n v="-0.33784046692607006"/>
    <x v="8"/>
    <n v="2023"/>
  </r>
  <r>
    <s v="O02888"/>
    <d v="2023-09-08T00:00:00"/>
    <x v="686"/>
    <x v="1"/>
    <x v="0"/>
    <s v="Binders"/>
    <s v="Product_334"/>
    <n v="2325.88"/>
    <n v="-6.48"/>
    <n v="0.12"/>
    <x v="0"/>
    <n v="-2.7860422721722533E-3"/>
    <x v="7"/>
    <n v="2023"/>
  </r>
  <r>
    <s v="O02889"/>
    <d v="2023-11-08T00:00:00"/>
    <x v="386"/>
    <x v="2"/>
    <x v="1"/>
    <s v="Accessories"/>
    <s v="Product_76"/>
    <n v="4227.99"/>
    <n v="1132.75"/>
    <n v="0.1"/>
    <x v="1"/>
    <n v="0.26791690614216213"/>
    <x v="9"/>
    <n v="2023"/>
  </r>
  <r>
    <s v="O02890"/>
    <d v="2022-07-08T00:00:00"/>
    <x v="606"/>
    <x v="2"/>
    <x v="0"/>
    <s v="Storage"/>
    <s v="Product_324"/>
    <n v="3332.88"/>
    <n v="269.45"/>
    <n v="0.28999999999999998"/>
    <x v="1"/>
    <n v="8.0845995055327524E-2"/>
    <x v="2"/>
    <n v="2022"/>
  </r>
  <r>
    <s v="O02891"/>
    <d v="2023-08-30T00:00:00"/>
    <x v="418"/>
    <x v="0"/>
    <x v="1"/>
    <s v="Phones"/>
    <s v="Product_369"/>
    <n v="468.78"/>
    <n v="-49.79"/>
    <n v="0.16"/>
    <x v="0"/>
    <n v="-0.10621186910704382"/>
    <x v="3"/>
    <n v="2023"/>
  </r>
  <r>
    <s v="O02892"/>
    <d v="2023-02-06T00:00:00"/>
    <x v="260"/>
    <x v="0"/>
    <x v="0"/>
    <s v="Paper"/>
    <s v="Product_286"/>
    <n v="4307.04"/>
    <n v="143.63"/>
    <n v="0.05"/>
    <x v="1"/>
    <n v="3.3347728370296072E-2"/>
    <x v="10"/>
    <n v="2023"/>
  </r>
  <r>
    <s v="O02893"/>
    <d v="2023-04-13T00:00:00"/>
    <x v="774"/>
    <x v="1"/>
    <x v="2"/>
    <s v="Bookcases"/>
    <s v="Product_473"/>
    <n v="754"/>
    <n v="124.36"/>
    <n v="0.01"/>
    <x v="1"/>
    <n v="0.16493368700265251"/>
    <x v="0"/>
    <n v="2023"/>
  </r>
  <r>
    <s v="O02894"/>
    <d v="2022-08-12T00:00:00"/>
    <x v="670"/>
    <x v="2"/>
    <x v="1"/>
    <s v="Phones"/>
    <s v="Product_323"/>
    <n v="3395.34"/>
    <n v="-990.19"/>
    <n v="0.26"/>
    <x v="0"/>
    <n v="-0.29163206041221201"/>
    <x v="3"/>
    <n v="2022"/>
  </r>
  <r>
    <s v="O02895"/>
    <d v="2023-05-12T00:00:00"/>
    <x v="265"/>
    <x v="0"/>
    <x v="0"/>
    <s v="Binders"/>
    <s v="Product_92"/>
    <n v="3245.43"/>
    <n v="42.69"/>
    <n v="0.1"/>
    <x v="1"/>
    <n v="1.3153880995738623E-2"/>
    <x v="11"/>
    <n v="2023"/>
  </r>
  <r>
    <s v="O02896"/>
    <d v="2022-05-27T00:00:00"/>
    <x v="463"/>
    <x v="1"/>
    <x v="2"/>
    <s v="Bookcases"/>
    <s v="Product_337"/>
    <n v="3757.26"/>
    <n v="444.36"/>
    <n v="0.24"/>
    <x v="1"/>
    <n v="0.11826703502020089"/>
    <x v="11"/>
    <n v="2022"/>
  </r>
  <r>
    <s v="O02897"/>
    <d v="2022-06-09T00:00:00"/>
    <x v="694"/>
    <x v="2"/>
    <x v="1"/>
    <s v="Phones"/>
    <s v="Product_187"/>
    <n v="2098.33"/>
    <n v="-327.31"/>
    <n v="0.01"/>
    <x v="0"/>
    <n v="-0.155985950732249"/>
    <x v="8"/>
    <n v="2022"/>
  </r>
  <r>
    <s v="O02898"/>
    <d v="2023-02-19T00:00:00"/>
    <x v="338"/>
    <x v="0"/>
    <x v="2"/>
    <s v="Chairs"/>
    <s v="Product_128"/>
    <n v="994.93"/>
    <n v="-127.42"/>
    <n v="0.27"/>
    <x v="0"/>
    <n v="-0.12806931140884284"/>
    <x v="10"/>
    <n v="2023"/>
  </r>
  <r>
    <s v="O02899"/>
    <d v="2022-10-28T00:00:00"/>
    <x v="700"/>
    <x v="2"/>
    <x v="0"/>
    <s v="Paper"/>
    <s v="Product_163"/>
    <n v="3280.22"/>
    <n v="-822.96"/>
    <n v="0.13"/>
    <x v="0"/>
    <n v="-0.25088561133094733"/>
    <x v="5"/>
    <n v="2022"/>
  </r>
  <r>
    <s v="O02900"/>
    <d v="2023-03-12T00:00:00"/>
    <x v="596"/>
    <x v="0"/>
    <x v="2"/>
    <s v="Bookcases"/>
    <s v="Product_359"/>
    <n v="1610.86"/>
    <n v="-284.5"/>
    <n v="0.11"/>
    <x v="0"/>
    <n v="-0.17661373427858412"/>
    <x v="6"/>
    <n v="2023"/>
  </r>
  <r>
    <s v="O02901"/>
    <d v="2022-01-17T00:00:00"/>
    <x v="700"/>
    <x v="2"/>
    <x v="0"/>
    <s v="Paper"/>
    <s v="Product_424"/>
    <n v="3969.89"/>
    <n v="-1043.97"/>
    <n v="0.23"/>
    <x v="0"/>
    <n v="-0.26297202189481322"/>
    <x v="1"/>
    <n v="2022"/>
  </r>
  <r>
    <s v="O02902"/>
    <d v="2022-05-02T00:00:00"/>
    <x v="155"/>
    <x v="2"/>
    <x v="0"/>
    <s v="Paper"/>
    <s v="Product_256"/>
    <n v="4217.96"/>
    <n v="-598.65"/>
    <n v="0.27"/>
    <x v="0"/>
    <n v="-0.14192879970412237"/>
    <x v="11"/>
    <n v="2022"/>
  </r>
  <r>
    <s v="O02903"/>
    <d v="2022-06-05T00:00:00"/>
    <x v="711"/>
    <x v="1"/>
    <x v="2"/>
    <s v="Bookcases"/>
    <s v="Product_119"/>
    <n v="1910.25"/>
    <n v="-458.38"/>
    <n v="0.28000000000000003"/>
    <x v="0"/>
    <n v="-0.23995812066483443"/>
    <x v="8"/>
    <n v="2022"/>
  </r>
  <r>
    <s v="O02904"/>
    <d v="2023-10-02T00:00:00"/>
    <x v="13"/>
    <x v="2"/>
    <x v="1"/>
    <s v="Phones"/>
    <s v="Product_146"/>
    <n v="1967.68"/>
    <n v="-152.32"/>
    <n v="0.24"/>
    <x v="0"/>
    <n v="-7.7410961131891359E-2"/>
    <x v="5"/>
    <n v="2023"/>
  </r>
  <r>
    <s v="O02905"/>
    <d v="2023-05-12T00:00:00"/>
    <x v="249"/>
    <x v="1"/>
    <x v="0"/>
    <s v="Binders"/>
    <s v="Product_70"/>
    <n v="733.8"/>
    <n v="-21.89"/>
    <n v="0.17"/>
    <x v="0"/>
    <n v="-2.9831016625783593E-2"/>
    <x v="11"/>
    <n v="2023"/>
  </r>
  <r>
    <s v="O02906"/>
    <d v="2022-07-08T00:00:00"/>
    <x v="291"/>
    <x v="2"/>
    <x v="0"/>
    <s v="Binders"/>
    <s v="Product_289"/>
    <n v="4761.45"/>
    <n v="260.27"/>
    <n v="0.06"/>
    <x v="1"/>
    <n v="5.4661920213380379E-2"/>
    <x v="2"/>
    <n v="2022"/>
  </r>
  <r>
    <s v="O02907"/>
    <d v="2023-04-10T00:00:00"/>
    <x v="337"/>
    <x v="2"/>
    <x v="0"/>
    <s v="Binders"/>
    <s v="Product_91"/>
    <n v="154.29"/>
    <n v="-44.19"/>
    <n v="0.13"/>
    <x v="0"/>
    <n v="-0.28640871086914255"/>
    <x v="0"/>
    <n v="2023"/>
  </r>
  <r>
    <s v="O02908"/>
    <d v="2023-09-08T00:00:00"/>
    <x v="546"/>
    <x v="1"/>
    <x v="2"/>
    <s v="Tables"/>
    <s v="Product_302"/>
    <n v="1947.08"/>
    <n v="88.02"/>
    <n v="0.3"/>
    <x v="1"/>
    <n v="4.5206154857530254E-2"/>
    <x v="7"/>
    <n v="2023"/>
  </r>
  <r>
    <s v="O02909"/>
    <d v="2022-11-25T00:00:00"/>
    <x v="582"/>
    <x v="2"/>
    <x v="0"/>
    <s v="Storage"/>
    <s v="Product_443"/>
    <n v="3976.52"/>
    <n v="-1078.56"/>
    <n v="0.22"/>
    <x v="0"/>
    <n v="-0.2712321326184704"/>
    <x v="9"/>
    <n v="2022"/>
  </r>
  <r>
    <s v="O02910"/>
    <d v="2022-07-11T00:00:00"/>
    <x v="519"/>
    <x v="2"/>
    <x v="1"/>
    <s v="Copiers"/>
    <s v="Product_7"/>
    <n v="2622.36"/>
    <n v="-365.65"/>
    <n v="0.21"/>
    <x v="0"/>
    <n v="-0.139435470339694"/>
    <x v="2"/>
    <n v="2022"/>
  </r>
  <r>
    <s v="O02911"/>
    <d v="2022-09-15T00:00:00"/>
    <x v="775"/>
    <x v="1"/>
    <x v="1"/>
    <s v="Phones"/>
    <s v="Product_49"/>
    <n v="1310.5899999999999"/>
    <n v="-433.39"/>
    <n v="0.16"/>
    <x v="0"/>
    <n v="-0.33068312744641726"/>
    <x v="7"/>
    <n v="2022"/>
  </r>
  <r>
    <s v="O02912"/>
    <d v="2023-09-06T00:00:00"/>
    <x v="562"/>
    <x v="1"/>
    <x v="1"/>
    <s v="Phones"/>
    <s v="Product_65"/>
    <n v="3055.3"/>
    <n v="506.05"/>
    <n v="0.22"/>
    <x v="1"/>
    <n v="0.16563021634536707"/>
    <x v="7"/>
    <n v="2023"/>
  </r>
  <r>
    <s v="O02913"/>
    <d v="2022-02-20T00:00:00"/>
    <x v="776"/>
    <x v="2"/>
    <x v="1"/>
    <s v="Phones"/>
    <s v="Product_477"/>
    <n v="243.72"/>
    <n v="-72.2"/>
    <n v="0.27"/>
    <x v="0"/>
    <n v="-0.29624158870835388"/>
    <x v="10"/>
    <n v="2022"/>
  </r>
  <r>
    <s v="O02914"/>
    <d v="2022-11-09T00:00:00"/>
    <x v="212"/>
    <x v="1"/>
    <x v="1"/>
    <s v="Phones"/>
    <s v="Product_437"/>
    <n v="4216.37"/>
    <n v="617.01"/>
    <n v="0.22"/>
    <x v="1"/>
    <n v="0.14633677784444912"/>
    <x v="9"/>
    <n v="2022"/>
  </r>
  <r>
    <s v="O02915"/>
    <d v="2022-05-02T00:00:00"/>
    <x v="378"/>
    <x v="1"/>
    <x v="2"/>
    <s v="Tables"/>
    <s v="Product_265"/>
    <n v="3682.34"/>
    <n v="-881.42"/>
    <n v="0.17"/>
    <x v="0"/>
    <n v="-0.23936410000162939"/>
    <x v="11"/>
    <n v="2022"/>
  </r>
  <r>
    <s v="O02916"/>
    <d v="2023-04-27T00:00:00"/>
    <x v="260"/>
    <x v="0"/>
    <x v="0"/>
    <s v="Paper"/>
    <s v="Product_303"/>
    <n v="1674.85"/>
    <n v="60.58"/>
    <n v="0.27"/>
    <x v="1"/>
    <n v="3.617040331970027E-2"/>
    <x v="0"/>
    <n v="2023"/>
  </r>
  <r>
    <s v="O02917"/>
    <d v="2022-11-01T00:00:00"/>
    <x v="708"/>
    <x v="1"/>
    <x v="0"/>
    <s v="Storage"/>
    <s v="Product_152"/>
    <n v="2230.42"/>
    <n v="229.33"/>
    <n v="0.1"/>
    <x v="1"/>
    <n v="0.10281919997130586"/>
    <x v="9"/>
    <n v="2022"/>
  </r>
  <r>
    <s v="O02918"/>
    <d v="2023-06-16T00:00:00"/>
    <x v="517"/>
    <x v="1"/>
    <x v="2"/>
    <s v="Tables"/>
    <s v="Product_173"/>
    <n v="3143.32"/>
    <n v="-1003.35"/>
    <n v="0.21"/>
    <x v="0"/>
    <n v="-0.31920071771248232"/>
    <x v="8"/>
    <n v="2023"/>
  </r>
  <r>
    <s v="O02919"/>
    <d v="2023-09-16T00:00:00"/>
    <x v="605"/>
    <x v="3"/>
    <x v="2"/>
    <s v="Chairs"/>
    <s v="Product_287"/>
    <n v="2894.12"/>
    <n v="-272.12"/>
    <n v="0.15"/>
    <x v="0"/>
    <n v="-9.4025126808839996E-2"/>
    <x v="7"/>
    <n v="2023"/>
  </r>
  <r>
    <s v="O02920"/>
    <d v="2023-07-13T00:00:00"/>
    <x v="777"/>
    <x v="3"/>
    <x v="0"/>
    <s v="Paper"/>
    <s v="Product_206"/>
    <n v="713"/>
    <n v="59.96"/>
    <n v="0.28000000000000003"/>
    <x v="1"/>
    <n v="8.4095371669004215E-2"/>
    <x v="2"/>
    <n v="2023"/>
  </r>
  <r>
    <s v="O02921"/>
    <d v="2022-09-09T00:00:00"/>
    <x v="701"/>
    <x v="0"/>
    <x v="0"/>
    <s v="Binders"/>
    <s v="Product_230"/>
    <n v="4408.8"/>
    <n v="728.9"/>
    <n v="0.03"/>
    <x v="1"/>
    <n v="0.16532843404100889"/>
    <x v="7"/>
    <n v="2022"/>
  </r>
  <r>
    <s v="O02922"/>
    <d v="2022-12-08T00:00:00"/>
    <x v="366"/>
    <x v="1"/>
    <x v="0"/>
    <s v="Paper"/>
    <s v="Product_388"/>
    <n v="2104.3000000000002"/>
    <n v="-466.38"/>
    <n v="0.28000000000000003"/>
    <x v="0"/>
    <n v="-0.22163189659269114"/>
    <x v="4"/>
    <n v="2022"/>
  </r>
  <r>
    <s v="O02923"/>
    <d v="2022-01-07T00:00:00"/>
    <x v="468"/>
    <x v="1"/>
    <x v="0"/>
    <s v="Storage"/>
    <s v="Product_408"/>
    <n v="3245.58"/>
    <n v="258.82"/>
    <n v="0.23"/>
    <x v="1"/>
    <n v="7.9745376789356601E-2"/>
    <x v="1"/>
    <n v="2022"/>
  </r>
  <r>
    <s v="O02924"/>
    <d v="2022-03-16T00:00:00"/>
    <x v="663"/>
    <x v="1"/>
    <x v="1"/>
    <s v="Accessories"/>
    <s v="Product_247"/>
    <n v="1362.37"/>
    <n v="-298.64"/>
    <n v="0.21"/>
    <x v="0"/>
    <n v="-0.21920623619134302"/>
    <x v="6"/>
    <n v="2022"/>
  </r>
  <r>
    <s v="O02925"/>
    <d v="2023-05-24T00:00:00"/>
    <x v="278"/>
    <x v="2"/>
    <x v="0"/>
    <s v="Storage"/>
    <s v="Product_101"/>
    <n v="1647.17"/>
    <n v="-514.51"/>
    <n v="0.12"/>
    <x v="0"/>
    <n v="-0.31235998712944019"/>
    <x v="11"/>
    <n v="2023"/>
  </r>
  <r>
    <s v="O02926"/>
    <d v="2022-08-20T00:00:00"/>
    <x v="674"/>
    <x v="0"/>
    <x v="0"/>
    <s v="Binders"/>
    <s v="Product_388"/>
    <n v="459.05"/>
    <n v="-133.22999999999999"/>
    <n v="0.3"/>
    <x v="0"/>
    <n v="-0.29022982245942702"/>
    <x v="3"/>
    <n v="2022"/>
  </r>
  <r>
    <s v="O02927"/>
    <d v="2023-09-29T00:00:00"/>
    <x v="778"/>
    <x v="0"/>
    <x v="0"/>
    <s v="Storage"/>
    <s v="Product_303"/>
    <n v="978.76"/>
    <n v="202.61"/>
    <n v="0.01"/>
    <x v="1"/>
    <n v="0.20700682496219708"/>
    <x v="7"/>
    <n v="2023"/>
  </r>
  <r>
    <s v="O02928"/>
    <d v="2022-11-02T00:00:00"/>
    <x v="318"/>
    <x v="1"/>
    <x v="2"/>
    <s v="Bookcases"/>
    <s v="Product_415"/>
    <n v="2472.9699999999998"/>
    <n v="-583.15"/>
    <n v="0.06"/>
    <x v="0"/>
    <n v="-0.23580957310440484"/>
    <x v="9"/>
    <n v="2022"/>
  </r>
  <r>
    <s v="O02929"/>
    <d v="2022-01-01T00:00:00"/>
    <x v="191"/>
    <x v="3"/>
    <x v="1"/>
    <s v="Accessories"/>
    <s v="Product_253"/>
    <n v="1447.8"/>
    <n v="-0.04"/>
    <n v="0.13"/>
    <x v="0"/>
    <n v="-2.762812543168946E-5"/>
    <x v="1"/>
    <n v="2022"/>
  </r>
  <r>
    <s v="O02930"/>
    <d v="2022-05-12T00:00:00"/>
    <x v="539"/>
    <x v="1"/>
    <x v="1"/>
    <s v="Phones"/>
    <s v="Product_162"/>
    <n v="2275.2600000000002"/>
    <n v="-547"/>
    <n v="0.28999999999999998"/>
    <x v="0"/>
    <n v="-0.24041208477272924"/>
    <x v="11"/>
    <n v="2022"/>
  </r>
  <r>
    <s v="O02931"/>
    <d v="2023-09-15T00:00:00"/>
    <x v="90"/>
    <x v="2"/>
    <x v="2"/>
    <s v="Chairs"/>
    <s v="Product_323"/>
    <n v="3489.96"/>
    <n v="-513.67999999999995"/>
    <n v="0.14000000000000001"/>
    <x v="0"/>
    <n v="-0.14718793338605599"/>
    <x v="7"/>
    <n v="2023"/>
  </r>
  <r>
    <s v="O02932"/>
    <d v="2023-05-10T00:00:00"/>
    <x v="679"/>
    <x v="1"/>
    <x v="2"/>
    <s v="Bookcases"/>
    <s v="Product_493"/>
    <n v="2831.08"/>
    <n v="-610.47"/>
    <n v="0.23"/>
    <x v="0"/>
    <n v="-0.2156314904559391"/>
    <x v="11"/>
    <n v="2023"/>
  </r>
  <r>
    <s v="O02933"/>
    <d v="2022-12-27T00:00:00"/>
    <x v="471"/>
    <x v="1"/>
    <x v="0"/>
    <s v="Binders"/>
    <s v="Product_498"/>
    <n v="4333"/>
    <n v="-1442.57"/>
    <n v="0.18"/>
    <x v="0"/>
    <n v="-0.3329263789522271"/>
    <x v="4"/>
    <n v="2022"/>
  </r>
  <r>
    <s v="O02934"/>
    <d v="2023-06-06T00:00:00"/>
    <x v="306"/>
    <x v="3"/>
    <x v="1"/>
    <s v="Phones"/>
    <s v="Product_178"/>
    <n v="3064.59"/>
    <n v="787.21"/>
    <n v="0.02"/>
    <x v="1"/>
    <n v="0.25687286064367498"/>
    <x v="8"/>
    <n v="2023"/>
  </r>
  <r>
    <s v="O02935"/>
    <d v="2023-04-08T00:00:00"/>
    <x v="387"/>
    <x v="3"/>
    <x v="0"/>
    <s v="Storage"/>
    <s v="Product_368"/>
    <n v="487.36"/>
    <n v="-176.78"/>
    <n v="0.22"/>
    <x v="0"/>
    <n v="-0.36272980958634271"/>
    <x v="0"/>
    <n v="2023"/>
  </r>
  <r>
    <s v="O02936"/>
    <d v="2023-02-12T00:00:00"/>
    <x v="575"/>
    <x v="2"/>
    <x v="0"/>
    <s v="Paper"/>
    <s v="Product_421"/>
    <n v="3378.48"/>
    <n v="438.67"/>
    <n v="7.0000000000000007E-2"/>
    <x v="1"/>
    <n v="0.12984241434017665"/>
    <x v="10"/>
    <n v="2023"/>
  </r>
  <r>
    <s v="O02937"/>
    <d v="2022-01-13T00:00:00"/>
    <x v="761"/>
    <x v="3"/>
    <x v="1"/>
    <s v="Phones"/>
    <s v="Product_164"/>
    <n v="347.83"/>
    <n v="-18.260000000000002"/>
    <n v="0"/>
    <x v="0"/>
    <n v="-5.2496909409769144E-2"/>
    <x v="1"/>
    <n v="2022"/>
  </r>
  <r>
    <s v="O02938"/>
    <d v="2022-09-12T00:00:00"/>
    <x v="392"/>
    <x v="1"/>
    <x v="1"/>
    <s v="Phones"/>
    <s v="Product_92"/>
    <n v="2743.92"/>
    <n v="265.27"/>
    <n v="0.3"/>
    <x v="1"/>
    <n v="9.6675559054199819E-2"/>
    <x v="7"/>
    <n v="2022"/>
  </r>
  <r>
    <s v="O02939"/>
    <d v="2022-06-14T00:00:00"/>
    <x v="591"/>
    <x v="0"/>
    <x v="2"/>
    <s v="Bookcases"/>
    <s v="Product_123"/>
    <n v="218.25"/>
    <n v="-6.64"/>
    <n v="0.06"/>
    <x v="0"/>
    <n v="-3.0423825887743412E-2"/>
    <x v="8"/>
    <n v="2022"/>
  </r>
  <r>
    <s v="O02940"/>
    <d v="2022-10-13T00:00:00"/>
    <x v="701"/>
    <x v="0"/>
    <x v="0"/>
    <s v="Paper"/>
    <s v="Product_338"/>
    <n v="4585.16"/>
    <n v="-552.03"/>
    <n v="0.16"/>
    <x v="0"/>
    <n v="-0.12039492624030568"/>
    <x v="5"/>
    <n v="2022"/>
  </r>
  <r>
    <s v="O02941"/>
    <d v="2023-09-15T00:00:00"/>
    <x v="445"/>
    <x v="3"/>
    <x v="1"/>
    <s v="Copiers"/>
    <s v="Product_47"/>
    <n v="2748.38"/>
    <n v="-156.61000000000001"/>
    <n v="0.05"/>
    <x v="0"/>
    <n v="-5.6982658875410243E-2"/>
    <x v="7"/>
    <n v="2023"/>
  </r>
  <r>
    <s v="O02942"/>
    <d v="2022-07-28T00:00:00"/>
    <x v="250"/>
    <x v="1"/>
    <x v="1"/>
    <s v="Accessories"/>
    <s v="Product_176"/>
    <n v="3491.04"/>
    <n v="-998.48"/>
    <n v="0.21"/>
    <x v="0"/>
    <n v="-0.28601219120949634"/>
    <x v="2"/>
    <n v="2022"/>
  </r>
  <r>
    <s v="O02943"/>
    <d v="2023-04-25T00:00:00"/>
    <x v="34"/>
    <x v="3"/>
    <x v="0"/>
    <s v="Paper"/>
    <s v="Product_436"/>
    <n v="747.54"/>
    <n v="-79.3"/>
    <n v="0.02"/>
    <x v="0"/>
    <n v="-0.10608127993150868"/>
    <x v="0"/>
    <n v="2023"/>
  </r>
  <r>
    <s v="O02944"/>
    <d v="2023-03-19T00:00:00"/>
    <x v="558"/>
    <x v="0"/>
    <x v="2"/>
    <s v="Bookcases"/>
    <s v="Product_259"/>
    <n v="4548.63"/>
    <n v="-57.98"/>
    <n v="0.27"/>
    <x v="0"/>
    <n v="-1.2746695158762087E-2"/>
    <x v="6"/>
    <n v="2023"/>
  </r>
  <r>
    <s v="O02945"/>
    <d v="2022-06-22T00:00:00"/>
    <x v="705"/>
    <x v="0"/>
    <x v="0"/>
    <s v="Storage"/>
    <s v="Product_307"/>
    <n v="2836.11"/>
    <n v="-1345.63"/>
    <n v="0.3"/>
    <x v="0"/>
    <n v="-0.47446326129804556"/>
    <x v="8"/>
    <n v="2022"/>
  </r>
  <r>
    <s v="O02946"/>
    <d v="2023-10-07T00:00:00"/>
    <x v="779"/>
    <x v="1"/>
    <x v="0"/>
    <s v="Storage"/>
    <s v="Product_41"/>
    <n v="554.02"/>
    <n v="24.04"/>
    <n v="0.25"/>
    <x v="1"/>
    <n v="4.3391935309194614E-2"/>
    <x v="5"/>
    <n v="2023"/>
  </r>
  <r>
    <s v="O02947"/>
    <d v="2023-01-23T00:00:00"/>
    <x v="108"/>
    <x v="0"/>
    <x v="2"/>
    <s v="Chairs"/>
    <s v="Product_172"/>
    <n v="3435.67"/>
    <n v="56.53"/>
    <n v="0.27"/>
    <x v="1"/>
    <n v="1.6453850340690461E-2"/>
    <x v="1"/>
    <n v="2023"/>
  </r>
  <r>
    <s v="O02948"/>
    <d v="2023-02-13T00:00:00"/>
    <x v="175"/>
    <x v="1"/>
    <x v="0"/>
    <s v="Paper"/>
    <s v="Product_337"/>
    <n v="2812.37"/>
    <n v="-461.94"/>
    <n v="0.17"/>
    <x v="0"/>
    <n v="-0.16425292546855499"/>
    <x v="10"/>
    <n v="2023"/>
  </r>
  <r>
    <s v="O02949"/>
    <d v="2023-04-11T00:00:00"/>
    <x v="110"/>
    <x v="1"/>
    <x v="2"/>
    <s v="Chairs"/>
    <s v="Product_76"/>
    <n v="3010.6"/>
    <n v="-430.03"/>
    <n v="0.12"/>
    <x v="0"/>
    <n v="-0.1428386368165814"/>
    <x v="0"/>
    <n v="2023"/>
  </r>
  <r>
    <s v="O02950"/>
    <d v="2023-05-03T00:00:00"/>
    <x v="612"/>
    <x v="3"/>
    <x v="2"/>
    <s v="Tables"/>
    <s v="Product_187"/>
    <n v="1206.8599999999999"/>
    <n v="-76.19"/>
    <n v="0.27"/>
    <x v="0"/>
    <n v="-6.313076910329285E-2"/>
    <x v="11"/>
    <n v="2023"/>
  </r>
  <r>
    <s v="O02951"/>
    <d v="2022-02-28T00:00:00"/>
    <x v="750"/>
    <x v="1"/>
    <x v="0"/>
    <s v="Paper"/>
    <s v="Product_471"/>
    <n v="1551.7"/>
    <n v="240.74"/>
    <n v="0.22"/>
    <x v="1"/>
    <n v="0.15514596893729457"/>
    <x v="10"/>
    <n v="2022"/>
  </r>
  <r>
    <s v="O02952"/>
    <d v="2022-03-17T00:00:00"/>
    <x v="279"/>
    <x v="3"/>
    <x v="0"/>
    <s v="Binders"/>
    <s v="Product_374"/>
    <n v="491.65"/>
    <n v="-126.08"/>
    <n v="0.23"/>
    <x v="0"/>
    <n v="-0.25644259127428048"/>
    <x v="6"/>
    <n v="2022"/>
  </r>
  <r>
    <s v="O02953"/>
    <d v="2023-02-01T00:00:00"/>
    <x v="618"/>
    <x v="1"/>
    <x v="2"/>
    <s v="Bookcases"/>
    <s v="Product_447"/>
    <n v="1434.27"/>
    <n v="-241.6"/>
    <n v="0.26"/>
    <x v="0"/>
    <n v="-0.16844806068592386"/>
    <x v="10"/>
    <n v="2023"/>
  </r>
  <r>
    <s v="O02954"/>
    <d v="2022-01-03T00:00:00"/>
    <x v="435"/>
    <x v="1"/>
    <x v="1"/>
    <s v="Phones"/>
    <s v="Product_500"/>
    <n v="1316.17"/>
    <n v="-84.59"/>
    <n v="0.21"/>
    <x v="0"/>
    <n v="-6.426981317003122E-2"/>
    <x v="1"/>
    <n v="2022"/>
  </r>
  <r>
    <s v="O02955"/>
    <d v="2022-01-17T00:00:00"/>
    <x v="350"/>
    <x v="3"/>
    <x v="2"/>
    <s v="Chairs"/>
    <s v="Product_249"/>
    <n v="3770.3"/>
    <n v="379.94"/>
    <n v="0.02"/>
    <x v="1"/>
    <n v="0.10077182187093865"/>
    <x v="1"/>
    <n v="2022"/>
  </r>
  <r>
    <s v="O02956"/>
    <d v="2022-02-19T00:00:00"/>
    <x v="22"/>
    <x v="0"/>
    <x v="0"/>
    <s v="Paper"/>
    <s v="Product_202"/>
    <n v="129.09"/>
    <n v="-20.63"/>
    <n v="0.27"/>
    <x v="0"/>
    <n v="-0.15981098458439846"/>
    <x v="10"/>
    <n v="2022"/>
  </r>
  <r>
    <s v="O02957"/>
    <d v="2023-01-15T00:00:00"/>
    <x v="499"/>
    <x v="1"/>
    <x v="2"/>
    <s v="Chairs"/>
    <s v="Product_375"/>
    <n v="2041.51"/>
    <n v="464.53"/>
    <n v="7.0000000000000007E-2"/>
    <x v="1"/>
    <n v="0.227542358352396"/>
    <x v="1"/>
    <n v="2023"/>
  </r>
  <r>
    <s v="O02958"/>
    <d v="2022-01-09T00:00:00"/>
    <x v="342"/>
    <x v="0"/>
    <x v="0"/>
    <s v="Storage"/>
    <s v="Product_6"/>
    <n v="529.88"/>
    <n v="-122.09"/>
    <n v="0.19"/>
    <x v="0"/>
    <n v="-0.23041065901713598"/>
    <x v="1"/>
    <n v="2022"/>
  </r>
  <r>
    <s v="O02959"/>
    <d v="2022-08-31T00:00:00"/>
    <x v="490"/>
    <x v="0"/>
    <x v="2"/>
    <s v="Bookcases"/>
    <s v="Product_74"/>
    <n v="314.63"/>
    <n v="-44.38"/>
    <n v="0.04"/>
    <x v="0"/>
    <n v="-0.14105457203699584"/>
    <x v="3"/>
    <n v="2022"/>
  </r>
  <r>
    <s v="O02960"/>
    <d v="2022-07-24T00:00:00"/>
    <x v="591"/>
    <x v="2"/>
    <x v="1"/>
    <s v="Phones"/>
    <s v="Product_388"/>
    <n v="214.2"/>
    <n v="-39.659999999999997"/>
    <n v="0.08"/>
    <x v="0"/>
    <n v="-0.18515406162464984"/>
    <x v="2"/>
    <n v="2022"/>
  </r>
  <r>
    <s v="O02961"/>
    <d v="2022-04-25T00:00:00"/>
    <x v="476"/>
    <x v="1"/>
    <x v="1"/>
    <s v="Copiers"/>
    <s v="Product_497"/>
    <n v="2390.71"/>
    <n v="-576.74"/>
    <n v="0.18"/>
    <x v="0"/>
    <n v="-0.24124214145588549"/>
    <x v="0"/>
    <n v="2022"/>
  </r>
  <r>
    <s v="O02962"/>
    <d v="2022-05-17T00:00:00"/>
    <x v="680"/>
    <x v="3"/>
    <x v="1"/>
    <s v="Phones"/>
    <s v="Product_470"/>
    <n v="342.74"/>
    <n v="-52.02"/>
    <n v="0.21"/>
    <x v="0"/>
    <n v="-0.15177685709284006"/>
    <x v="11"/>
    <n v="2022"/>
  </r>
  <r>
    <s v="O02963"/>
    <d v="2023-10-08T00:00:00"/>
    <x v="727"/>
    <x v="1"/>
    <x v="1"/>
    <s v="Accessories"/>
    <s v="Product_23"/>
    <n v="3341.77"/>
    <n v="-387.6"/>
    <n v="0.08"/>
    <x v="0"/>
    <n v="-0.11598643832460044"/>
    <x v="5"/>
    <n v="2023"/>
  </r>
  <r>
    <s v="O02964"/>
    <d v="2022-10-20T00:00:00"/>
    <x v="576"/>
    <x v="1"/>
    <x v="1"/>
    <s v="Accessories"/>
    <s v="Product_264"/>
    <n v="3761.12"/>
    <n v="-1207.6600000000001"/>
    <n v="0.28999999999999998"/>
    <x v="0"/>
    <n v="-0.32109052622623052"/>
    <x v="5"/>
    <n v="2022"/>
  </r>
  <r>
    <s v="O02965"/>
    <d v="2023-07-16T00:00:00"/>
    <x v="59"/>
    <x v="2"/>
    <x v="2"/>
    <s v="Chairs"/>
    <s v="Product_179"/>
    <n v="2831.45"/>
    <n v="-899.08"/>
    <n v="0.19"/>
    <x v="0"/>
    <n v="-0.31753341927281081"/>
    <x v="2"/>
    <n v="2023"/>
  </r>
  <r>
    <s v="O02966"/>
    <d v="2022-10-17T00:00:00"/>
    <x v="446"/>
    <x v="3"/>
    <x v="0"/>
    <s v="Paper"/>
    <s v="Product_204"/>
    <n v="2694.02"/>
    <n v="574.85"/>
    <n v="0.09"/>
    <x v="1"/>
    <n v="0.21338000460278692"/>
    <x v="5"/>
    <n v="2022"/>
  </r>
  <r>
    <s v="O02967"/>
    <d v="2022-06-02T00:00:00"/>
    <x v="523"/>
    <x v="2"/>
    <x v="1"/>
    <s v="Phones"/>
    <s v="Product_316"/>
    <n v="4348.08"/>
    <n v="136.94999999999999"/>
    <n v="0.18"/>
    <x v="1"/>
    <n v="3.149666059502125E-2"/>
    <x v="8"/>
    <n v="2022"/>
  </r>
  <r>
    <s v="O02968"/>
    <d v="2023-02-23T00:00:00"/>
    <x v="82"/>
    <x v="2"/>
    <x v="1"/>
    <s v="Phones"/>
    <s v="Product_431"/>
    <n v="1643"/>
    <n v="-513.86"/>
    <n v="0.12"/>
    <x v="0"/>
    <n v="-0.31275715155203898"/>
    <x v="10"/>
    <n v="2023"/>
  </r>
  <r>
    <s v="O02969"/>
    <d v="2023-04-05T00:00:00"/>
    <x v="8"/>
    <x v="1"/>
    <x v="2"/>
    <s v="Tables"/>
    <s v="Product_388"/>
    <n v="2754.63"/>
    <n v="-561.14"/>
    <n v="0.01"/>
    <x v="0"/>
    <n v="-0.2037079389972519"/>
    <x v="0"/>
    <n v="2023"/>
  </r>
  <r>
    <s v="O02970"/>
    <d v="2022-03-06T00:00:00"/>
    <x v="121"/>
    <x v="3"/>
    <x v="1"/>
    <s v="Accessories"/>
    <s v="Product_14"/>
    <n v="178.57"/>
    <n v="39.26"/>
    <n v="0.06"/>
    <x v="1"/>
    <n v="0.2198577588620709"/>
    <x v="6"/>
    <n v="2022"/>
  </r>
  <r>
    <s v="O02971"/>
    <d v="2022-08-24T00:00:00"/>
    <x v="604"/>
    <x v="0"/>
    <x v="2"/>
    <s v="Tables"/>
    <s v="Product_217"/>
    <n v="4778.97"/>
    <n v="-1717.03"/>
    <n v="0.2"/>
    <x v="0"/>
    <n v="-0.3592887170247982"/>
    <x v="3"/>
    <n v="2022"/>
  </r>
  <r>
    <s v="O02972"/>
    <d v="2023-08-09T00:00:00"/>
    <x v="328"/>
    <x v="3"/>
    <x v="1"/>
    <s v="Phones"/>
    <s v="Product_67"/>
    <n v="1648.56"/>
    <n v="158.16"/>
    <n v="0.02"/>
    <x v="1"/>
    <n v="9.5938273402241953E-2"/>
    <x v="3"/>
    <n v="2023"/>
  </r>
  <r>
    <s v="O02973"/>
    <d v="2022-11-11T00:00:00"/>
    <x v="53"/>
    <x v="3"/>
    <x v="2"/>
    <s v="Tables"/>
    <s v="Product_29"/>
    <n v="1580.89"/>
    <n v="149.30000000000001"/>
    <n v="0.06"/>
    <x v="1"/>
    <n v="9.4440473404221667E-2"/>
    <x v="9"/>
    <n v="2022"/>
  </r>
  <r>
    <s v="O02974"/>
    <d v="2022-04-10T00:00:00"/>
    <x v="715"/>
    <x v="3"/>
    <x v="0"/>
    <s v="Paper"/>
    <s v="Product_356"/>
    <n v="4846.28"/>
    <n v="-973.04"/>
    <n v="0.22"/>
    <x v="0"/>
    <n v="-0.2007808050711061"/>
    <x v="0"/>
    <n v="2022"/>
  </r>
  <r>
    <s v="O02975"/>
    <d v="2022-03-23T00:00:00"/>
    <x v="571"/>
    <x v="2"/>
    <x v="1"/>
    <s v="Copiers"/>
    <s v="Product_223"/>
    <n v="366.63"/>
    <n v="-126.9"/>
    <n v="0.22"/>
    <x v="0"/>
    <n v="-0.34612552164307342"/>
    <x v="6"/>
    <n v="2022"/>
  </r>
  <r>
    <s v="O02976"/>
    <d v="2022-12-05T00:00:00"/>
    <x v="639"/>
    <x v="0"/>
    <x v="0"/>
    <s v="Paper"/>
    <s v="Product_284"/>
    <n v="4253.3"/>
    <n v="-812.87"/>
    <n v="0.12"/>
    <x v="0"/>
    <n v="-0.19111513413114523"/>
    <x v="4"/>
    <n v="2022"/>
  </r>
  <r>
    <s v="O02977"/>
    <d v="2023-10-05T00:00:00"/>
    <x v="320"/>
    <x v="2"/>
    <x v="2"/>
    <s v="Chairs"/>
    <s v="Product_203"/>
    <n v="4417.42"/>
    <n v="-499.44"/>
    <n v="0.21"/>
    <x v="0"/>
    <n v="-0.11306147026997659"/>
    <x v="5"/>
    <n v="2023"/>
  </r>
  <r>
    <s v="O02978"/>
    <d v="2022-09-06T00:00:00"/>
    <x v="152"/>
    <x v="2"/>
    <x v="0"/>
    <s v="Binders"/>
    <s v="Product_434"/>
    <n v="1933.85"/>
    <n v="238.25"/>
    <n v="0.14000000000000001"/>
    <x v="1"/>
    <n v="0.12319983452697987"/>
    <x v="7"/>
    <n v="2022"/>
  </r>
  <r>
    <s v="O02979"/>
    <d v="2023-10-20T00:00:00"/>
    <x v="108"/>
    <x v="1"/>
    <x v="1"/>
    <s v="Copiers"/>
    <s v="Product_84"/>
    <n v="534.64"/>
    <n v="124.74"/>
    <n v="0.08"/>
    <x v="1"/>
    <n v="0.23331587610354632"/>
    <x v="5"/>
    <n v="2023"/>
  </r>
  <r>
    <s v="O02980"/>
    <d v="2022-05-28T00:00:00"/>
    <x v="183"/>
    <x v="2"/>
    <x v="2"/>
    <s v="Bookcases"/>
    <s v="Product_109"/>
    <n v="1863.42"/>
    <n v="-409.56"/>
    <n v="0.15"/>
    <x v="0"/>
    <n v="-0.2197894194545513"/>
    <x v="11"/>
    <n v="2022"/>
  </r>
  <r>
    <s v="O02981"/>
    <d v="2022-09-23T00:00:00"/>
    <x v="608"/>
    <x v="1"/>
    <x v="0"/>
    <s v="Binders"/>
    <s v="Product_445"/>
    <n v="1130.6300000000001"/>
    <n v="-290.66000000000003"/>
    <n v="0.3"/>
    <x v="0"/>
    <n v="-0.25707791231437338"/>
    <x v="7"/>
    <n v="2022"/>
  </r>
  <r>
    <s v="O02982"/>
    <d v="2023-04-17T00:00:00"/>
    <x v="754"/>
    <x v="1"/>
    <x v="0"/>
    <s v="Binders"/>
    <s v="Product_133"/>
    <n v="1678.58"/>
    <n v="99.52"/>
    <n v="0.23"/>
    <x v="1"/>
    <n v="5.9288207890002262E-2"/>
    <x v="0"/>
    <n v="2023"/>
  </r>
  <r>
    <s v="O02983"/>
    <d v="2022-06-13T00:00:00"/>
    <x v="687"/>
    <x v="3"/>
    <x v="2"/>
    <s v="Tables"/>
    <s v="Product_334"/>
    <n v="2419.65"/>
    <n v="701.29"/>
    <n v="7.0000000000000007E-2"/>
    <x v="1"/>
    <n v="0.28983117393011382"/>
    <x v="8"/>
    <n v="2022"/>
  </r>
  <r>
    <s v="O02984"/>
    <d v="2022-04-07T00:00:00"/>
    <x v="264"/>
    <x v="0"/>
    <x v="2"/>
    <s v="Chairs"/>
    <s v="Product_34"/>
    <n v="769.64"/>
    <n v="-305.54000000000002"/>
    <n v="0.21"/>
    <x v="0"/>
    <n v="-0.39699080089392447"/>
    <x v="0"/>
    <n v="2022"/>
  </r>
  <r>
    <s v="O02985"/>
    <d v="2022-10-13T00:00:00"/>
    <x v="528"/>
    <x v="1"/>
    <x v="1"/>
    <s v="Copiers"/>
    <s v="Product_109"/>
    <n v="1025.5999999999999"/>
    <n v="-333.2"/>
    <n v="0.23"/>
    <x v="0"/>
    <n v="-0.3248829953198128"/>
    <x v="5"/>
    <n v="2022"/>
  </r>
  <r>
    <s v="O02986"/>
    <d v="2023-09-15T00:00:00"/>
    <x v="281"/>
    <x v="2"/>
    <x v="1"/>
    <s v="Accessories"/>
    <s v="Product_170"/>
    <n v="3333.23"/>
    <n v="-216.12"/>
    <n v="0.18"/>
    <x v="0"/>
    <n v="-6.4838009978309324E-2"/>
    <x v="7"/>
    <n v="2023"/>
  </r>
  <r>
    <s v="O02987"/>
    <d v="2023-02-03T00:00:00"/>
    <x v="774"/>
    <x v="2"/>
    <x v="1"/>
    <s v="Phones"/>
    <s v="Product_166"/>
    <n v="1708.45"/>
    <n v="-127.69"/>
    <n v="0.08"/>
    <x v="0"/>
    <n v="-7.4740261640668437E-2"/>
    <x v="10"/>
    <n v="2023"/>
  </r>
  <r>
    <s v="O02988"/>
    <d v="2022-08-15T00:00:00"/>
    <x v="4"/>
    <x v="0"/>
    <x v="1"/>
    <s v="Copiers"/>
    <s v="Product_2"/>
    <n v="3479.66"/>
    <n v="-935.88"/>
    <n v="0.19"/>
    <x v="0"/>
    <n v="-0.2689573119212797"/>
    <x v="3"/>
    <n v="2022"/>
  </r>
  <r>
    <s v="O02989"/>
    <d v="2022-06-08T00:00:00"/>
    <x v="372"/>
    <x v="2"/>
    <x v="0"/>
    <s v="Paper"/>
    <s v="Product_321"/>
    <n v="3964.15"/>
    <n v="-1474.4"/>
    <n v="0.3"/>
    <x v="0"/>
    <n v="-0.37193345357769009"/>
    <x v="8"/>
    <n v="2022"/>
  </r>
  <r>
    <s v="O02990"/>
    <d v="2022-08-12T00:00:00"/>
    <x v="720"/>
    <x v="0"/>
    <x v="0"/>
    <s v="Binders"/>
    <s v="Product_213"/>
    <n v="4576.6899999999996"/>
    <n v="-318.25"/>
    <n v="0.15"/>
    <x v="0"/>
    <n v="-6.9537154581149271E-2"/>
    <x v="3"/>
    <n v="2022"/>
  </r>
  <r>
    <s v="O02991"/>
    <d v="2022-11-02T00:00:00"/>
    <x v="696"/>
    <x v="2"/>
    <x v="0"/>
    <s v="Storage"/>
    <s v="Product_15"/>
    <n v="3529.23"/>
    <n v="102.54"/>
    <n v="0.01"/>
    <x v="1"/>
    <n v="2.9054496306559791E-2"/>
    <x v="9"/>
    <n v="2022"/>
  </r>
  <r>
    <s v="O02992"/>
    <d v="2022-02-05T00:00:00"/>
    <x v="169"/>
    <x v="3"/>
    <x v="1"/>
    <s v="Phones"/>
    <s v="Product_87"/>
    <n v="1115.94"/>
    <n v="-186.56"/>
    <n v="0.11"/>
    <x v="0"/>
    <n v="-0.16717744681613705"/>
    <x v="10"/>
    <n v="2022"/>
  </r>
  <r>
    <s v="O02993"/>
    <d v="2022-02-08T00:00:00"/>
    <x v="8"/>
    <x v="2"/>
    <x v="0"/>
    <s v="Storage"/>
    <s v="Product_406"/>
    <n v="4001.13"/>
    <n v="-269.68"/>
    <n v="0.04"/>
    <x v="0"/>
    <n v="-6.7400959229017801E-2"/>
    <x v="10"/>
    <n v="2022"/>
  </r>
  <r>
    <s v="O02994"/>
    <d v="2022-01-19T00:00:00"/>
    <x v="766"/>
    <x v="2"/>
    <x v="0"/>
    <s v="Paper"/>
    <s v="Product_243"/>
    <n v="3666.83"/>
    <n v="211.34"/>
    <n v="0.04"/>
    <x v="1"/>
    <n v="5.763561441353976E-2"/>
    <x v="1"/>
    <n v="2022"/>
  </r>
  <r>
    <s v="O02995"/>
    <d v="2023-08-06T00:00:00"/>
    <x v="356"/>
    <x v="2"/>
    <x v="1"/>
    <s v="Copiers"/>
    <s v="Product_426"/>
    <n v="918.32"/>
    <n v="-236.35"/>
    <n v="0.14000000000000001"/>
    <x v="0"/>
    <n v="-0.25737215785347156"/>
    <x v="3"/>
    <n v="2023"/>
  </r>
  <r>
    <s v="O02996"/>
    <d v="2023-06-05T00:00:00"/>
    <x v="597"/>
    <x v="3"/>
    <x v="2"/>
    <s v="Chairs"/>
    <s v="Product_325"/>
    <n v="4229.57"/>
    <n v="-114.61"/>
    <n v="7.0000000000000007E-2"/>
    <x v="0"/>
    <n v="-2.7097317221372388E-2"/>
    <x v="8"/>
    <n v="2023"/>
  </r>
  <r>
    <s v="O02997"/>
    <d v="2023-04-04T00:00:00"/>
    <x v="181"/>
    <x v="3"/>
    <x v="1"/>
    <s v="Accessories"/>
    <s v="Product_305"/>
    <n v="4734.7299999999996"/>
    <n v="-1185.4100000000001"/>
    <n v="0.22"/>
    <x v="0"/>
    <n v="-0.25036485713018486"/>
    <x v="0"/>
    <n v="2023"/>
  </r>
  <r>
    <s v="O02998"/>
    <d v="2023-08-25T00:00:00"/>
    <x v="161"/>
    <x v="2"/>
    <x v="1"/>
    <s v="Copiers"/>
    <s v="Product_384"/>
    <n v="2972.37"/>
    <n v="966.58"/>
    <n v="0.03"/>
    <x v="1"/>
    <n v="0.32518831773971613"/>
    <x v="3"/>
    <n v="2023"/>
  </r>
  <r>
    <s v="O02999"/>
    <d v="2022-03-21T00:00:00"/>
    <x v="780"/>
    <x v="2"/>
    <x v="0"/>
    <s v="Storage"/>
    <s v="Product_18"/>
    <n v="3569.53"/>
    <n v="-325.20999999999998"/>
    <n v="0.25"/>
    <x v="0"/>
    <n v="-9.1107232604852734E-2"/>
    <x v="6"/>
    <n v="2022"/>
  </r>
  <r>
    <s v="O03000"/>
    <d v="2022-10-16T00:00:00"/>
    <x v="683"/>
    <x v="1"/>
    <x v="0"/>
    <s v="Storage"/>
    <s v="Product_74"/>
    <n v="3139.08"/>
    <n v="-319.72000000000003"/>
    <n v="0.09"/>
    <x v="0"/>
    <n v="-0.10185149789110186"/>
    <x v="5"/>
    <n v="202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506E75A-2A9A-4252-8D24-2B2FC3E3F86A}"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N1:O5" firstHeaderRow="1" firstDataRow="1" firstDataCol="1"/>
  <pivotFields count="14">
    <pivotField showAll="0"/>
    <pivotField numFmtId="14" showAll="0"/>
    <pivotField showAll="0"/>
    <pivotField showAll="0">
      <items count="5">
        <item x="3"/>
        <item x="1"/>
        <item x="2"/>
        <item x="0"/>
        <item t="default"/>
      </items>
    </pivotField>
    <pivotField axis="axisRow" showAll="0">
      <items count="4">
        <item x="2"/>
        <item x="0"/>
        <item x="1"/>
        <item t="default"/>
      </items>
    </pivotField>
    <pivotField showAll="0"/>
    <pivotField showAll="0"/>
    <pivotField showAll="0"/>
    <pivotField dataField="1" showAll="0"/>
    <pivotField showAll="0"/>
    <pivotField showAll="0"/>
    <pivotField showAll="0"/>
    <pivotField showAll="0"/>
    <pivotField showAll="0"/>
  </pivotFields>
  <rowFields count="1">
    <field x="4"/>
  </rowFields>
  <rowItems count="4">
    <i>
      <x/>
    </i>
    <i>
      <x v="1"/>
    </i>
    <i>
      <x v="2"/>
    </i>
    <i t="grand">
      <x/>
    </i>
  </rowItems>
  <colItems count="1">
    <i/>
  </colItems>
  <dataFields count="1">
    <dataField name="Sum of Profit" fld="8" baseField="0" baseItem="0" numFmtId="4"/>
  </dataFields>
  <formats count="1">
    <format dxfId="0">
      <pivotArea dataOnly="0" outline="0" axis="axisValues" fieldPosition="0"/>
    </format>
  </formats>
  <chartFormats count="5">
    <chartFormat chart="1"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4" count="1" selected="0">
            <x v="0"/>
          </reference>
        </references>
      </pivotArea>
    </chartFormat>
    <chartFormat chart="3" format="7">
      <pivotArea type="data" outline="0" fieldPosition="0">
        <references count="2">
          <reference field="4294967294" count="1" selected="0">
            <x v="0"/>
          </reference>
          <reference field="4" count="1" selected="0">
            <x v="1"/>
          </reference>
        </references>
      </pivotArea>
    </chartFormat>
    <chartFormat chart="3" format="8">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51CF823-2AFE-430E-A554-26FBA2BD6F0C}"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K1:L6" firstHeaderRow="1" firstDataRow="1" firstDataCol="1"/>
  <pivotFields count="14">
    <pivotField showAll="0"/>
    <pivotField numFmtId="14" showAll="0"/>
    <pivotField showAll="0"/>
    <pivotField axis="axisRow" showAll="0">
      <items count="5">
        <item x="3"/>
        <item x="1"/>
        <item x="2"/>
        <item x="0"/>
        <item t="default"/>
      </items>
    </pivotField>
    <pivotField showAll="0"/>
    <pivotField showAll="0"/>
    <pivotField showAll="0"/>
    <pivotField dataField="1" showAll="0"/>
    <pivotField showAll="0"/>
    <pivotField showAll="0"/>
    <pivotField showAll="0"/>
    <pivotField showAll="0"/>
    <pivotField showAll="0"/>
    <pivotField showAll="0"/>
  </pivotFields>
  <rowFields count="1">
    <field x="3"/>
  </rowFields>
  <rowItems count="5">
    <i>
      <x/>
    </i>
    <i>
      <x v="1"/>
    </i>
    <i>
      <x v="2"/>
    </i>
    <i>
      <x v="3"/>
    </i>
    <i t="grand">
      <x/>
    </i>
  </rowItems>
  <colItems count="1">
    <i/>
  </colItems>
  <dataFields count="1">
    <dataField name="Sum of Sales" fld="7" baseField="0" baseItem="0" numFmtId="4"/>
  </dataFields>
  <formats count="2">
    <format dxfId="3">
      <pivotArea outline="0" collapsedLevelsAreSubtotals="1" fieldPosition="0"/>
    </format>
    <format dxfId="2">
      <pivotArea dataOnly="0" labelOnly="1" outline="0" axis="axisValues" fieldPosition="0"/>
    </format>
  </format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868F07D-694B-4D1F-98B3-3C32B2997E2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H1:I12" firstHeaderRow="1" firstDataRow="1" firstDataCol="1"/>
  <pivotFields count="14">
    <pivotField showAll="0"/>
    <pivotField numFmtId="14" showAll="0"/>
    <pivotField axis="axisRow" showAll="0" measureFilter="1" sortType="descending">
      <items count="782">
        <item x="609"/>
        <item x="281"/>
        <item x="203"/>
        <item x="383"/>
        <item x="729"/>
        <item x="108"/>
        <item x="615"/>
        <item x="605"/>
        <item x="82"/>
        <item x="376"/>
        <item x="676"/>
        <item x="73"/>
        <item x="404"/>
        <item x="251"/>
        <item x="46"/>
        <item x="271"/>
        <item x="651"/>
        <item x="41"/>
        <item x="448"/>
        <item x="495"/>
        <item x="135"/>
        <item x="668"/>
        <item x="725"/>
        <item x="505"/>
        <item x="564"/>
        <item x="616"/>
        <item x="514"/>
        <item x="362"/>
        <item x="540"/>
        <item x="312"/>
        <item x="523"/>
        <item x="4"/>
        <item x="430"/>
        <item x="633"/>
        <item x="81"/>
        <item x="162"/>
        <item x="573"/>
        <item x="350"/>
        <item x="310"/>
        <item x="455"/>
        <item x="260"/>
        <item x="224"/>
        <item x="280"/>
        <item x="441"/>
        <item x="595"/>
        <item x="602"/>
        <item x="354"/>
        <item x="667"/>
        <item x="743"/>
        <item x="235"/>
        <item x="594"/>
        <item x="630"/>
        <item x="347"/>
        <item x="713"/>
        <item x="412"/>
        <item x="544"/>
        <item x="388"/>
        <item x="167"/>
        <item x="57"/>
        <item x="84"/>
        <item x="333"/>
        <item x="563"/>
        <item x="673"/>
        <item x="12"/>
        <item x="377"/>
        <item x="704"/>
        <item x="657"/>
        <item x="465"/>
        <item x="115"/>
        <item x="731"/>
        <item x="708"/>
        <item x="504"/>
        <item x="491"/>
        <item x="340"/>
        <item x="629"/>
        <item x="351"/>
        <item x="396"/>
        <item x="291"/>
        <item x="677"/>
        <item x="395"/>
        <item x="547"/>
        <item x="247"/>
        <item x="662"/>
        <item x="253"/>
        <item x="684"/>
        <item x="154"/>
        <item x="378"/>
        <item x="501"/>
        <item x="730"/>
        <item x="570"/>
        <item x="492"/>
        <item x="45"/>
        <item x="535"/>
        <item x="703"/>
        <item x="419"/>
        <item x="517"/>
        <item x="372"/>
        <item x="763"/>
        <item x="462"/>
        <item x="681"/>
        <item x="644"/>
        <item x="420"/>
        <item x="627"/>
        <item x="129"/>
        <item x="349"/>
        <item x="5"/>
        <item x="646"/>
        <item x="165"/>
        <item x="306"/>
        <item x="386"/>
        <item x="511"/>
        <item x="510"/>
        <item x="649"/>
        <item x="711"/>
        <item x="424"/>
        <item x="647"/>
        <item x="692"/>
        <item x="460"/>
        <item x="718"/>
        <item x="720"/>
        <item x="63"/>
        <item x="661"/>
        <item x="481"/>
        <item x="287"/>
        <item x="254"/>
        <item x="699"/>
        <item x="286"/>
        <item x="43"/>
        <item x="449"/>
        <item x="685"/>
        <item x="373"/>
        <item x="503"/>
        <item x="211"/>
        <item x="200"/>
        <item x="130"/>
        <item x="295"/>
        <item x="622"/>
        <item x="394"/>
        <item x="625"/>
        <item x="79"/>
        <item x="747"/>
        <item x="694"/>
        <item x="393"/>
        <item x="687"/>
        <item x="322"/>
        <item x="85"/>
        <item x="453"/>
        <item x="47"/>
        <item x="293"/>
        <item x="498"/>
        <item x="248"/>
        <item x="626"/>
        <item x="566"/>
        <item x="502"/>
        <item x="389"/>
        <item x="712"/>
        <item x="538"/>
        <item x="236"/>
        <item x="368"/>
        <item x="106"/>
        <item x="762"/>
        <item x="175"/>
        <item x="198"/>
        <item x="700"/>
        <item x="714"/>
        <item x="375"/>
        <item x="581"/>
        <item x="75"/>
        <item x="385"/>
        <item x="233"/>
        <item x="407"/>
        <item x="309"/>
        <item x="119"/>
        <item x="264"/>
        <item x="68"/>
        <item x="507"/>
        <item x="767"/>
        <item x="114"/>
        <item x="596"/>
        <item x="545"/>
        <item x="780"/>
        <item x="331"/>
        <item x="311"/>
        <item x="387"/>
        <item x="584"/>
        <item x="688"/>
        <item x="185"/>
        <item x="417"/>
        <item x="357"/>
        <item x="109"/>
        <item x="438"/>
        <item x="181"/>
        <item x="536"/>
        <item x="421"/>
        <item x="652"/>
        <item x="518"/>
        <item x="301"/>
        <item x="269"/>
        <item x="758"/>
        <item x="574"/>
        <item x="134"/>
        <item x="442"/>
        <item x="343"/>
        <item x="648"/>
        <item x="26"/>
        <item x="620"/>
        <item x="268"/>
        <item x="779"/>
        <item x="316"/>
        <item x="192"/>
        <item x="36"/>
        <item x="201"/>
        <item x="367"/>
        <item x="99"/>
        <item x="88"/>
        <item x="150"/>
        <item x="210"/>
        <item x="173"/>
        <item x="356"/>
        <item x="76"/>
        <item x="283"/>
        <item x="528"/>
        <item x="369"/>
        <item x="117"/>
        <item x="623"/>
        <item x="589"/>
        <item x="463"/>
        <item x="613"/>
        <item x="34"/>
        <item x="371"/>
        <item x="772"/>
        <item x="116"/>
        <item x="689"/>
        <item x="126"/>
        <item x="341"/>
        <item x="702"/>
        <item x="17"/>
        <item x="146"/>
        <item x="415"/>
        <item x="468"/>
        <item x="603"/>
        <item x="142"/>
        <item x="521"/>
        <item x="136"/>
        <item x="360"/>
        <item x="296"/>
        <item x="33"/>
        <item x="259"/>
        <item x="611"/>
        <item x="267"/>
        <item x="515"/>
        <item x="182"/>
        <item x="229"/>
        <item x="244"/>
        <item x="425"/>
        <item x="433"/>
        <item x="411"/>
        <item x="670"/>
        <item x="590"/>
        <item x="67"/>
        <item x="614"/>
        <item x="576"/>
        <item x="22"/>
        <item x="285"/>
        <item x="319"/>
        <item x="654"/>
        <item x="493"/>
        <item x="737"/>
        <item x="169"/>
        <item x="599"/>
        <item x="560"/>
        <item x="324"/>
        <item x="141"/>
        <item x="586"/>
        <item x="777"/>
        <item x="163"/>
        <item x="323"/>
        <item x="345"/>
        <item x="339"/>
        <item x="274"/>
        <item x="72"/>
        <item x="275"/>
        <item x="531"/>
        <item x="139"/>
        <item x="506"/>
        <item x="48"/>
        <item x="155"/>
        <item x="721"/>
        <item x="261"/>
        <item x="315"/>
        <item x="516"/>
        <item x="509"/>
        <item x="664"/>
        <item x="551"/>
        <item x="440"/>
        <item x="303"/>
        <item x="556"/>
        <item x="151"/>
        <item x="128"/>
        <item x="435"/>
        <item x="120"/>
        <item x="121"/>
        <item x="184"/>
        <item x="524"/>
        <item x="206"/>
        <item x="327"/>
        <item x="724"/>
        <item x="641"/>
        <item x="300"/>
        <item x="519"/>
        <item x="16"/>
        <item x="230"/>
        <item x="71"/>
        <item x="754"/>
        <item x="242"/>
        <item x="321"/>
        <item x="756"/>
        <item x="216"/>
        <item x="6"/>
        <item x="423"/>
        <item x="568"/>
        <item x="471"/>
        <item x="364"/>
        <item x="500"/>
        <item x="107"/>
        <item x="469"/>
        <item x="639"/>
        <item x="255"/>
        <item x="542"/>
        <item x="335"/>
        <item x="533"/>
        <item x="587"/>
        <item x="474"/>
        <item x="452"/>
        <item x="628"/>
        <item x="414"/>
        <item x="675"/>
        <item x="252"/>
        <item x="326"/>
        <item x="752"/>
        <item x="608"/>
        <item x="220"/>
        <item x="204"/>
        <item x="643"/>
        <item x="706"/>
        <item x="65"/>
        <item x="697"/>
        <item x="214"/>
        <item x="618"/>
        <item x="370"/>
        <item x="305"/>
        <item x="24"/>
        <item x="454"/>
        <item x="208"/>
        <item x="213"/>
        <item x="686"/>
        <item x="726"/>
        <item x="352"/>
        <item x="215"/>
        <item x="166"/>
        <item x="705"/>
        <item x="674"/>
        <item x="346"/>
        <item x="359"/>
        <item x="659"/>
        <item x="19"/>
        <item x="526"/>
        <item x="80"/>
        <item x="402"/>
        <item x="457"/>
        <item x="742"/>
        <item x="513"/>
        <item x="753"/>
        <item x="42"/>
        <item x="112"/>
        <item x="92"/>
        <item x="719"/>
        <item x="427"/>
        <item x="403"/>
        <item x="149"/>
        <item x="483"/>
        <item x="494"/>
        <item x="133"/>
        <item x="294"/>
        <item x="757"/>
        <item x="53"/>
        <item x="439"/>
        <item x="111"/>
        <item x="579"/>
        <item x="60"/>
        <item x="221"/>
        <item x="739"/>
        <item x="499"/>
        <item x="671"/>
        <item x="555"/>
        <item x="496"/>
        <item x="186"/>
        <item x="276"/>
        <item x="541"/>
        <item x="124"/>
        <item x="56"/>
        <item x="682"/>
        <item x="172"/>
        <item x="228"/>
        <item x="10"/>
        <item x="290"/>
        <item x="632"/>
        <item x="101"/>
        <item x="227"/>
        <item x="680"/>
        <item x="484"/>
        <item x="245"/>
        <item x="390"/>
        <item x="91"/>
        <item x="170"/>
        <item x="95"/>
        <item x="409"/>
        <item x="656"/>
        <item x="70"/>
        <item x="728"/>
        <item x="512"/>
        <item x="132"/>
        <item x="612"/>
        <item x="575"/>
        <item x="83"/>
        <item x="243"/>
        <item x="366"/>
        <item x="580"/>
        <item x="478"/>
        <item x="102"/>
        <item x="105"/>
        <item x="61"/>
        <item x="334"/>
        <item x="645"/>
        <item x="348"/>
        <item x="565"/>
        <item x="558"/>
        <item x="607"/>
        <item x="278"/>
        <item x="765"/>
        <item x="282"/>
        <item x="263"/>
        <item x="188"/>
        <item x="480"/>
        <item x="96"/>
        <item x="313"/>
        <item x="144"/>
        <item x="355"/>
        <item x="199"/>
        <item x="302"/>
        <item x="15"/>
        <item x="617"/>
        <item x="168"/>
        <item x="621"/>
        <item x="202"/>
        <item x="39"/>
        <item x="467"/>
        <item x="58"/>
        <item x="508"/>
        <item x="31"/>
        <item x="732"/>
        <item x="50"/>
        <item x="381"/>
        <item x="553"/>
        <item x="768"/>
        <item x="178"/>
        <item x="636"/>
        <item x="690"/>
        <item x="330"/>
        <item x="98"/>
        <item x="458"/>
        <item x="332"/>
        <item x="466"/>
        <item x="746"/>
        <item x="158"/>
        <item x="174"/>
        <item x="751"/>
        <item x="666"/>
        <item x="577"/>
        <item x="554"/>
        <item x="171"/>
        <item x="13"/>
        <item x="399"/>
        <item x="735"/>
        <item x="750"/>
        <item x="148"/>
        <item x="193"/>
        <item x="624"/>
        <item x="534"/>
        <item x="256"/>
        <item x="226"/>
        <item x="35"/>
        <item x="64"/>
        <item x="398"/>
        <item x="27"/>
        <item x="434"/>
        <item x="317"/>
        <item x="217"/>
        <item x="642"/>
        <item x="195"/>
        <item x="325"/>
        <item x="771"/>
        <item x="380"/>
        <item x="52"/>
        <item x="284"/>
        <item x="246"/>
        <item x="669"/>
        <item x="87"/>
        <item x="722"/>
        <item x="21"/>
        <item x="78"/>
        <item x="738"/>
        <item x="759"/>
        <item x="773"/>
        <item x="273"/>
        <item x="520"/>
        <item x="361"/>
        <item x="1"/>
        <item x="240"/>
        <item x="552"/>
        <item x="66"/>
        <item x="634"/>
        <item x="422"/>
        <item x="489"/>
        <item x="382"/>
        <item x="532"/>
        <item x="337"/>
        <item x="32"/>
        <item x="748"/>
        <item x="304"/>
        <item x="329"/>
        <item x="479"/>
        <item x="476"/>
        <item x="774"/>
        <item x="400"/>
        <item x="23"/>
        <item x="289"/>
        <item x="391"/>
        <item x="585"/>
        <item x="49"/>
        <item x="428"/>
        <item x="710"/>
        <item x="11"/>
        <item x="672"/>
        <item x="549"/>
        <item x="314"/>
        <item x="138"/>
        <item x="93"/>
        <item x="131"/>
        <item x="89"/>
        <item x="727"/>
        <item x="237"/>
        <item x="764"/>
        <item x="205"/>
        <item x="266"/>
        <item x="28"/>
        <item x="59"/>
        <item x="77"/>
        <item x="683"/>
        <item x="401"/>
        <item x="488"/>
        <item x="344"/>
        <item x="640"/>
        <item x="550"/>
        <item x="160"/>
        <item x="392"/>
        <item x="86"/>
        <item x="631"/>
        <item x="118"/>
        <item x="691"/>
        <item x="775"/>
        <item x="298"/>
        <item x="113"/>
        <item x="164"/>
        <item x="461"/>
        <item x="470"/>
        <item x="140"/>
        <item x="437"/>
        <item x="397"/>
        <item x="127"/>
        <item x="530"/>
        <item x="279"/>
        <item x="408"/>
        <item x="638"/>
        <item x="559"/>
        <item x="653"/>
        <item x="342"/>
        <item x="328"/>
        <item x="592"/>
        <item x="451"/>
        <item x="543"/>
        <item x="733"/>
        <item x="701"/>
        <item x="207"/>
        <item x="353"/>
        <item x="159"/>
        <item x="569"/>
        <item x="288"/>
        <item x="177"/>
        <item x="537"/>
        <item x="716"/>
        <item x="487"/>
        <item x="426"/>
        <item x="490"/>
        <item x="8"/>
        <item x="606"/>
        <item x="741"/>
        <item x="176"/>
        <item x="588"/>
        <item x="619"/>
        <item x="583"/>
        <item x="336"/>
        <item x="241"/>
        <item x="125"/>
        <item x="20"/>
        <item x="578"/>
        <item x="94"/>
        <item x="776"/>
        <item x="475"/>
        <item x="231"/>
        <item x="598"/>
        <item x="665"/>
        <item x="663"/>
        <item x="546"/>
        <item x="54"/>
        <item x="450"/>
        <item x="234"/>
        <item x="734"/>
        <item x="597"/>
        <item x="9"/>
        <item x="358"/>
        <item x="769"/>
        <item x="658"/>
        <item x="249"/>
        <item x="187"/>
        <item x="678"/>
        <item x="561"/>
        <item x="320"/>
        <item x="238"/>
        <item x="55"/>
        <item x="723"/>
        <item x="270"/>
        <item x="219"/>
        <item x="766"/>
        <item x="0"/>
        <item x="272"/>
        <item x="740"/>
        <item x="604"/>
        <item x="715"/>
        <item x="406"/>
        <item x="755"/>
        <item x="265"/>
        <item x="527"/>
        <item x="7"/>
        <item x="110"/>
        <item x="418"/>
        <item x="429"/>
        <item x="51"/>
        <item x="660"/>
        <item x="183"/>
        <item x="410"/>
        <item x="363"/>
        <item x="69"/>
        <item x="222"/>
        <item x="384"/>
        <item x="679"/>
        <item x="459"/>
        <item x="29"/>
        <item x="445"/>
        <item x="161"/>
        <item x="472"/>
        <item x="308"/>
        <item x="299"/>
        <item x="103"/>
        <item x="482"/>
        <item x="292"/>
        <item x="338"/>
        <item x="209"/>
        <item x="432"/>
        <item x="770"/>
        <item x="464"/>
        <item x="100"/>
        <item x="365"/>
        <item x="477"/>
        <item x="456"/>
        <item x="258"/>
        <item x="157"/>
        <item x="529"/>
        <item x="600"/>
        <item x="761"/>
        <item x="197"/>
        <item x="744"/>
        <item x="194"/>
        <item x="143"/>
        <item x="90"/>
        <item x="250"/>
        <item x="443"/>
        <item x="123"/>
        <item x="262"/>
        <item x="104"/>
        <item x="486"/>
        <item x="25"/>
        <item x="696"/>
        <item x="218"/>
        <item x="196"/>
        <item x="318"/>
        <item x="431"/>
        <item x="74"/>
        <item x="447"/>
        <item x="405"/>
        <item x="277"/>
        <item x="557"/>
        <item x="749"/>
        <item x="212"/>
        <item x="190"/>
        <item x="593"/>
        <item x="38"/>
        <item x="180"/>
        <item x="778"/>
        <item x="152"/>
        <item x="122"/>
        <item x="30"/>
        <item x="695"/>
        <item x="44"/>
        <item x="567"/>
        <item x="307"/>
        <item x="582"/>
        <item x="374"/>
        <item x="650"/>
        <item x="239"/>
        <item x="145"/>
        <item x="232"/>
        <item x="225"/>
        <item x="571"/>
        <item x="2"/>
        <item x="18"/>
        <item x="709"/>
        <item x="745"/>
        <item x="446"/>
        <item x="522"/>
        <item x="147"/>
        <item x="379"/>
        <item x="601"/>
        <item x="591"/>
        <item x="698"/>
        <item x="14"/>
        <item x="223"/>
        <item x="655"/>
        <item x="40"/>
        <item x="693"/>
        <item x="97"/>
        <item x="257"/>
        <item x="539"/>
        <item x="153"/>
        <item x="760"/>
        <item x="444"/>
        <item x="707"/>
        <item x="191"/>
        <item x="572"/>
        <item x="485"/>
        <item x="179"/>
        <item x="473"/>
        <item x="413"/>
        <item x="62"/>
        <item x="548"/>
        <item x="297"/>
        <item x="736"/>
        <item x="562"/>
        <item x="525"/>
        <item x="189"/>
        <item x="37"/>
        <item x="717"/>
        <item x="497"/>
        <item x="416"/>
        <item x="156"/>
        <item x="137"/>
        <item x="3"/>
        <item x="635"/>
        <item x="637"/>
        <item x="610"/>
        <item x="436"/>
        <item t="default"/>
      </items>
      <autoSortScope>
        <pivotArea dataOnly="0" outline="0" fieldPosition="0">
          <references count="1">
            <reference field="4294967294" count="1" selected="0">
              <x v="0"/>
            </reference>
          </references>
        </pivotArea>
      </autoSortScope>
    </pivotField>
    <pivotField showAll="0">
      <items count="5">
        <item x="3"/>
        <item x="1"/>
        <item x="2"/>
        <item x="0"/>
        <item t="default"/>
      </items>
    </pivotField>
    <pivotField showAll="0"/>
    <pivotField showAll="0"/>
    <pivotField showAll="0"/>
    <pivotField dataField="1" showAll="0"/>
    <pivotField showAll="0"/>
    <pivotField showAll="0"/>
    <pivotField showAll="0"/>
    <pivotField showAll="0"/>
    <pivotField showAll="0"/>
    <pivotField showAll="0"/>
  </pivotFields>
  <rowFields count="1">
    <field x="2"/>
  </rowFields>
  <rowItems count="11">
    <i>
      <x v="243"/>
    </i>
    <i>
      <x v="573"/>
    </i>
    <i>
      <x v="91"/>
    </i>
    <i>
      <x v="492"/>
    </i>
    <i>
      <x v="611"/>
    </i>
    <i>
      <x v="387"/>
    </i>
    <i>
      <x v="89"/>
    </i>
    <i>
      <x v="624"/>
    </i>
    <i>
      <x v="654"/>
    </i>
    <i>
      <x v="735"/>
    </i>
    <i t="grand">
      <x/>
    </i>
  </rowItems>
  <colItems count="1">
    <i/>
  </colItems>
  <dataFields count="1">
    <dataField name="Sum of Sales" fld="7" baseField="0" baseItem="0" numFmtId="4"/>
  </dataFields>
  <formats count="2">
    <format dxfId="6">
      <pivotArea outline="0" collapsedLevelsAreSubtotals="1" fieldPosition="0"/>
    </format>
    <format dxfId="5">
      <pivotArea dataOnly="0" labelOnly="1" outline="0" axis="axisValues" fieldPosition="0"/>
    </format>
  </format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48F62DB-B91D-4EDC-9ECB-F0B402A27C2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F4" firstHeaderRow="0" firstDataRow="1" firstDataCol="1"/>
  <pivotFields count="14">
    <pivotField showAll="0"/>
    <pivotField numFmtId="14" showAll="0"/>
    <pivotField showAll="0"/>
    <pivotField showAll="0">
      <items count="5">
        <item x="3"/>
        <item x="1"/>
        <item x="2"/>
        <item x="0"/>
        <item t="default"/>
      </items>
    </pivotField>
    <pivotField showAll="0"/>
    <pivotField showAll="0"/>
    <pivotField showAll="0"/>
    <pivotField dataField="1" showAll="0"/>
    <pivotField dataField="1" showAll="0"/>
    <pivotField showAll="0"/>
    <pivotField axis="axisRow" showAll="0">
      <items count="3">
        <item x="0"/>
        <item x="1"/>
        <item t="default"/>
      </items>
    </pivotField>
    <pivotField showAll="0"/>
    <pivotField showAll="0"/>
    <pivotField showAll="0"/>
  </pivotFields>
  <rowFields count="1">
    <field x="10"/>
  </rowFields>
  <rowItems count="3">
    <i>
      <x/>
    </i>
    <i>
      <x v="1"/>
    </i>
    <i t="grand">
      <x/>
    </i>
  </rowItems>
  <colFields count="1">
    <field x="-2"/>
  </colFields>
  <colItems count="2">
    <i>
      <x/>
    </i>
    <i i="1">
      <x v="1"/>
    </i>
  </colItems>
  <dataFields count="2">
    <dataField name="Sum of Sales" fld="7" baseField="0" baseItem="0" numFmtId="4"/>
    <dataField name="Sum of Profit" fld="8" baseField="0" baseItem="0" numFmtId="4"/>
  </dataFields>
  <formats count="4">
    <format dxfId="12">
      <pivotArea outline="0" collapsedLevelsAreSubtotals="1" fieldPosition="0">
        <references count="1">
          <reference field="4294967294" count="1" selected="0">
            <x v="0"/>
          </reference>
        </references>
      </pivotArea>
    </format>
    <format dxfId="11">
      <pivotArea dataOnly="0" labelOnly="1" outline="0" fieldPosition="0">
        <references count="1">
          <reference field="4294967294" count="1">
            <x v="0"/>
          </reference>
        </references>
      </pivotArea>
    </format>
    <format dxfId="8">
      <pivotArea outline="0" collapsedLevelsAreSubtotals="1" fieldPosition="0">
        <references count="1">
          <reference field="4294967294" count="1" selected="0">
            <x v="1"/>
          </reference>
        </references>
      </pivotArea>
    </format>
    <format dxfId="7">
      <pivotArea dataOnly="0" labelOnly="1" outline="0" fieldPosition="0">
        <references count="1">
          <reference field="4294967294"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6EF53CC-8383-41AC-82B4-6596F0E7634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B14" firstHeaderRow="1" firstDataRow="1" firstDataCol="1"/>
  <pivotFields count="14">
    <pivotField showAll="0"/>
    <pivotField numFmtId="14" showAll="0"/>
    <pivotField showAll="0"/>
    <pivotField showAll="0">
      <items count="5">
        <item x="3"/>
        <item x="1"/>
        <item x="2"/>
        <item x="0"/>
        <item t="default"/>
      </items>
    </pivotField>
    <pivotField showAll="0"/>
    <pivotField showAll="0"/>
    <pivotField showAll="0"/>
    <pivotField dataField="1" showAll="0"/>
    <pivotField showAll="0"/>
    <pivotField showAll="0"/>
    <pivotField showAll="0"/>
    <pivotField showAll="0"/>
    <pivotField axis="axisRow" showAll="0">
      <items count="13">
        <item x="1"/>
        <item x="10"/>
        <item x="6"/>
        <item x="0"/>
        <item x="11"/>
        <item x="8"/>
        <item x="2"/>
        <item x="3"/>
        <item x="7"/>
        <item x="5"/>
        <item x="9"/>
        <item x="4"/>
        <item t="default"/>
      </items>
    </pivotField>
    <pivotField showAll="0"/>
  </pivotFields>
  <rowFields count="1">
    <field x="12"/>
  </rowFields>
  <rowItems count="13">
    <i>
      <x/>
    </i>
    <i>
      <x v="1"/>
    </i>
    <i>
      <x v="2"/>
    </i>
    <i>
      <x v="3"/>
    </i>
    <i>
      <x v="4"/>
    </i>
    <i>
      <x v="5"/>
    </i>
    <i>
      <x v="6"/>
    </i>
    <i>
      <x v="7"/>
    </i>
    <i>
      <x v="8"/>
    </i>
    <i>
      <x v="9"/>
    </i>
    <i>
      <x v="10"/>
    </i>
    <i>
      <x v="11"/>
    </i>
    <i t="grand">
      <x/>
    </i>
  </rowItems>
  <colItems count="1">
    <i/>
  </colItems>
  <dataFields count="1">
    <dataField name="Sum of Sales" fld="7" baseField="0" baseItem="0" numFmtId="4"/>
  </dataFields>
  <formats count="2">
    <format dxfId="15">
      <pivotArea outline="0" collapsedLevelsAreSubtotals="1" fieldPosition="0"/>
    </format>
    <format dxfId="14">
      <pivotArea dataOnly="0" labelOnly="1" outline="0" axis="axisValues" fieldPosition="0"/>
    </format>
  </format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E5F2A49-3201-46DB-B647-A52D17B25A95}" sourceName="Region">
  <pivotTables>
    <pivotTable tabId="2" name="PivotTable4"/>
    <pivotTable tabId="2" name="PivotTable1"/>
    <pivotTable tabId="2" name="PivotTable2"/>
    <pivotTable tabId="2" name="PivotTable3"/>
    <pivotTable tabId="2" name="PivotTable5"/>
  </pivotTables>
  <data>
    <tabular pivotCacheId="365761320">
      <items count="4">
        <i x="3" s="1"/>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03E1B7A0-AF46-4E91-86F4-B5AAE9E5F572}" cache="Slicer_Region" caption="Region"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E257C3E-1076-41AE-A07D-E65D87A60639}" name="SalesData" displayName="SalesData" ref="A1:N3001" totalsRowShown="0">
  <autoFilter ref="A1:N3001" xr:uid="{3E257C3E-1076-41AE-A07D-E65D87A60639}"/>
  <tableColumns count="14">
    <tableColumn id="1" xr3:uid="{E3248CAB-C2C6-496E-9923-175F36A6E6B3}" name="Order_ID"/>
    <tableColumn id="2" xr3:uid="{370A51FE-EA2D-4A03-8904-D69B690C6856}" name="Order_Date" dataDxfId="24"/>
    <tableColumn id="3" xr3:uid="{6614CE4C-F2B1-4A5F-9986-1B45FC0DCFA4}" name="Customer_Name"/>
    <tableColumn id="4" xr3:uid="{C715F7A8-3F34-42ED-B335-4A1C5018BDC0}" name="Region"/>
    <tableColumn id="5" xr3:uid="{21A44235-F7EC-40EB-9A8F-BC853274748A}" name="Category"/>
    <tableColumn id="6" xr3:uid="{ABA2A89B-F8B2-4899-A10F-894C651AEC77}" name="Sub_Category"/>
    <tableColumn id="7" xr3:uid="{678BA745-4C42-40D6-B7E0-1EDF9895FF09}" name="Product_Name"/>
    <tableColumn id="8" xr3:uid="{F74EF6C7-A15C-482B-B617-1C55B251DCBD}" name="Sales" dataDxfId="19"/>
    <tableColumn id="9" xr3:uid="{A40C5002-5365-4160-988E-C9CA66BCA160}" name="Profit" dataDxfId="18"/>
    <tableColumn id="10" xr3:uid="{5EFCB23F-0387-4B9E-A2FA-795E54976184}" name="Discount" dataDxfId="17"/>
    <tableColumn id="11" xr3:uid="{5DB5B916-CB0F-45CD-A04E-AE112C330417}" name="Profit_Category" dataDxfId="23">
      <calculatedColumnFormula>IF(SalesData[[#This Row],[Profit]]&gt;0,"Profit","Loss")</calculatedColumnFormula>
    </tableColumn>
    <tableColumn id="12" xr3:uid="{71392558-D8B4-491A-AF24-8008B68DC12C}" name="Profit_Margin" dataDxfId="16">
      <calculatedColumnFormula>SalesData[[#This Row],[Profit]]/SalesData[[#This Row],[Sales]]</calculatedColumnFormula>
    </tableColumn>
    <tableColumn id="13" xr3:uid="{B895D929-B28A-4921-8809-9AB6372EB07C}" name="Month" dataDxfId="22">
      <calculatedColumnFormula>TEXT(SalesData[[#This Row],[Order_Date]],"mmm")</calculatedColumnFormula>
    </tableColumn>
    <tableColumn id="14" xr3:uid="{3C7EBB44-DA93-4796-AAD9-99B469342A54}" name="Year" dataDxfId="21">
      <calculatedColumnFormula>YEAR(SalesData[[#This Row],[Order_Date]])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F0AD06-35B3-4038-BA98-E21E253D4CA3}">
  <dimension ref="A1:N3001"/>
  <sheetViews>
    <sheetView workbookViewId="0">
      <selection activeCell="L1" sqref="L1:L1048576"/>
    </sheetView>
  </sheetViews>
  <sheetFormatPr defaultRowHeight="14.4" x14ac:dyDescent="0.3"/>
  <cols>
    <col min="1" max="1" width="12.6640625" customWidth="1"/>
    <col min="2" max="2" width="14.33203125" customWidth="1"/>
    <col min="3" max="3" width="17.6640625" customWidth="1"/>
    <col min="4" max="4" width="11.44140625" customWidth="1"/>
    <col min="5" max="5" width="13.5546875" customWidth="1"/>
    <col min="6" max="6" width="14.6640625" customWidth="1"/>
    <col min="7" max="7" width="15.5546875" customWidth="1"/>
    <col min="8" max="8" width="10.77734375" style="8" customWidth="1"/>
    <col min="9" max="9" width="11.33203125" style="8" customWidth="1"/>
    <col min="10" max="10" width="11.109375" style="8" customWidth="1"/>
    <col min="11" max="11" width="17.21875" customWidth="1"/>
    <col min="12" max="12" width="15.88671875" style="8" customWidth="1"/>
    <col min="13" max="13" width="10.5546875" customWidth="1"/>
  </cols>
  <sheetData>
    <row r="1" spans="1:14" x14ac:dyDescent="0.3">
      <c r="A1" t="s">
        <v>0</v>
      </c>
      <c r="B1" t="s">
        <v>1</v>
      </c>
      <c r="C1" t="s">
        <v>2</v>
      </c>
      <c r="D1" t="s">
        <v>3</v>
      </c>
      <c r="E1" t="s">
        <v>4</v>
      </c>
      <c r="F1" t="s">
        <v>5</v>
      </c>
      <c r="G1" t="s">
        <v>6</v>
      </c>
      <c r="H1" s="8" t="s">
        <v>7</v>
      </c>
      <c r="I1" s="8" t="s">
        <v>8</v>
      </c>
      <c r="J1" s="8" t="s">
        <v>9</v>
      </c>
      <c r="K1" t="s">
        <v>4304</v>
      </c>
      <c r="L1" s="8" t="s">
        <v>4305</v>
      </c>
      <c r="M1" t="s">
        <v>4306</v>
      </c>
      <c r="N1" t="s">
        <v>4307</v>
      </c>
    </row>
    <row r="2" spans="1:14" x14ac:dyDescent="0.3">
      <c r="A2" t="s">
        <v>10</v>
      </c>
      <c r="B2" s="1">
        <v>44666</v>
      </c>
      <c r="C2" t="s">
        <v>11</v>
      </c>
      <c r="D2" t="s">
        <v>12</v>
      </c>
      <c r="E2" t="s">
        <v>13</v>
      </c>
      <c r="F2" t="s">
        <v>14</v>
      </c>
      <c r="G2" t="s">
        <v>15</v>
      </c>
      <c r="H2" s="8">
        <v>222.55</v>
      </c>
      <c r="I2" s="8">
        <v>-32.51</v>
      </c>
      <c r="J2" s="8">
        <v>0.08</v>
      </c>
      <c r="K2" t="str">
        <f>IF(SalesData[[#This Row],[Profit]]&gt;0,"Profit","Loss")</f>
        <v>Loss</v>
      </c>
      <c r="L2" s="8">
        <f>SalesData[[#This Row],[Profit]]/SalesData[[#This Row],[Sales]]</f>
        <v>-0.14607953268928328</v>
      </c>
      <c r="M2" t="str">
        <f>TEXT(SalesData[[#This Row],[Order_Date]],"mmm")</f>
        <v>Apr</v>
      </c>
      <c r="N2">
        <f>YEAR(SalesData[[#This Row],[Order_Date]])</f>
        <v>2022</v>
      </c>
    </row>
    <row r="3" spans="1:14" x14ac:dyDescent="0.3">
      <c r="A3" t="s">
        <v>16</v>
      </c>
      <c r="B3" s="1">
        <v>44589</v>
      </c>
      <c r="C3" t="s">
        <v>17</v>
      </c>
      <c r="D3" t="s">
        <v>18</v>
      </c>
      <c r="E3" t="s">
        <v>19</v>
      </c>
      <c r="F3" t="s">
        <v>20</v>
      </c>
      <c r="G3" t="s">
        <v>21</v>
      </c>
      <c r="H3" s="8">
        <v>246.01</v>
      </c>
      <c r="I3" s="8">
        <v>8.17</v>
      </c>
      <c r="J3" s="8">
        <v>7.0000000000000007E-2</v>
      </c>
      <c r="K3" t="str">
        <f>IF(SalesData[[#This Row],[Profit]]&gt;0,"Profit","Loss")</f>
        <v>Profit</v>
      </c>
      <c r="L3" s="8">
        <f>SalesData[[#This Row],[Profit]]/SalesData[[#This Row],[Sales]]</f>
        <v>3.3210032112515754E-2</v>
      </c>
      <c r="M3" t="str">
        <f>TEXT(SalesData[[#This Row],[Order_Date]],"mmm")</f>
        <v>Jan</v>
      </c>
      <c r="N3">
        <f>YEAR(SalesData[[#This Row],[Order_Date]])</f>
        <v>2022</v>
      </c>
    </row>
    <row r="4" spans="1:14" x14ac:dyDescent="0.3">
      <c r="A4" t="s">
        <v>22</v>
      </c>
      <c r="B4" s="1">
        <v>44568</v>
      </c>
      <c r="C4" t="s">
        <v>23</v>
      </c>
      <c r="D4" t="s">
        <v>18</v>
      </c>
      <c r="E4" t="s">
        <v>13</v>
      </c>
      <c r="F4" t="s">
        <v>24</v>
      </c>
      <c r="G4" t="s">
        <v>25</v>
      </c>
      <c r="H4" s="8">
        <v>2770.21</v>
      </c>
      <c r="I4" s="8">
        <v>231.48</v>
      </c>
      <c r="J4" s="8">
        <v>7.0000000000000007E-2</v>
      </c>
      <c r="K4" t="str">
        <f>IF(SalesData[[#This Row],[Profit]]&gt;0,"Profit","Loss")</f>
        <v>Profit</v>
      </c>
      <c r="L4" s="8">
        <f>SalesData[[#This Row],[Profit]]/SalesData[[#This Row],[Sales]]</f>
        <v>8.3560452095689491E-2</v>
      </c>
      <c r="M4" t="str">
        <f>TEXT(SalesData[[#This Row],[Order_Date]],"mmm")</f>
        <v>Jan</v>
      </c>
      <c r="N4">
        <f>YEAR(SalesData[[#This Row],[Order_Date]])</f>
        <v>2022</v>
      </c>
    </row>
    <row r="5" spans="1:14" x14ac:dyDescent="0.3">
      <c r="A5" t="s">
        <v>26</v>
      </c>
      <c r="B5" s="1">
        <v>44666</v>
      </c>
      <c r="C5" t="s">
        <v>27</v>
      </c>
      <c r="D5" t="s">
        <v>28</v>
      </c>
      <c r="E5" t="s">
        <v>19</v>
      </c>
      <c r="F5" t="s">
        <v>29</v>
      </c>
      <c r="G5" t="s">
        <v>30</v>
      </c>
      <c r="H5" s="8">
        <v>1461.57</v>
      </c>
      <c r="I5" s="8">
        <v>289.52999999999997</v>
      </c>
      <c r="J5" s="8">
        <v>0.06</v>
      </c>
      <c r="K5" t="str">
        <f>IF(SalesData[[#This Row],[Profit]]&gt;0,"Profit","Loss")</f>
        <v>Profit</v>
      </c>
      <c r="L5" s="8">
        <f>SalesData[[#This Row],[Profit]]/SalesData[[#This Row],[Sales]]</f>
        <v>0.19809519899833739</v>
      </c>
      <c r="M5" t="str">
        <f>TEXT(SalesData[[#This Row],[Order_Date]],"mmm")</f>
        <v>Apr</v>
      </c>
      <c r="N5">
        <f>YEAR(SalesData[[#This Row],[Order_Date]])</f>
        <v>2022</v>
      </c>
    </row>
    <row r="6" spans="1:14" x14ac:dyDescent="0.3">
      <c r="A6" t="s">
        <v>31</v>
      </c>
      <c r="B6" s="1">
        <v>45111</v>
      </c>
      <c r="C6" t="s">
        <v>32</v>
      </c>
      <c r="D6" t="s">
        <v>28</v>
      </c>
      <c r="E6" t="s">
        <v>19</v>
      </c>
      <c r="F6" t="s">
        <v>29</v>
      </c>
      <c r="G6" t="s">
        <v>33</v>
      </c>
      <c r="H6" s="8">
        <v>3058.26</v>
      </c>
      <c r="I6" s="8">
        <v>-6.61</v>
      </c>
      <c r="J6" s="8">
        <v>0.24</v>
      </c>
      <c r="K6" t="str">
        <f>IF(SalesData[[#This Row],[Profit]]&gt;0,"Profit","Loss")</f>
        <v>Loss</v>
      </c>
      <c r="L6" s="8">
        <f>SalesData[[#This Row],[Profit]]/SalesData[[#This Row],[Sales]]</f>
        <v>-2.1613597274267068E-3</v>
      </c>
      <c r="M6" t="str">
        <f>TEXT(SalesData[[#This Row],[Order_Date]],"mmm")</f>
        <v>Jul</v>
      </c>
      <c r="N6">
        <f>YEAR(SalesData[[#This Row],[Order_Date]])</f>
        <v>2023</v>
      </c>
    </row>
    <row r="7" spans="1:14" x14ac:dyDescent="0.3">
      <c r="A7" t="s">
        <v>34</v>
      </c>
      <c r="B7" s="1">
        <v>45153</v>
      </c>
      <c r="C7" t="s">
        <v>35</v>
      </c>
      <c r="D7" t="s">
        <v>12</v>
      </c>
      <c r="E7" t="s">
        <v>13</v>
      </c>
      <c r="F7" t="s">
        <v>36</v>
      </c>
      <c r="G7" t="s">
        <v>37</v>
      </c>
      <c r="H7" s="8">
        <v>4164.08</v>
      </c>
      <c r="I7" s="8">
        <v>528.94000000000005</v>
      </c>
      <c r="J7" s="8">
        <v>0.19</v>
      </c>
      <c r="K7" t="str">
        <f>IF(SalesData[[#This Row],[Profit]]&gt;0,"Profit","Loss")</f>
        <v>Profit</v>
      </c>
      <c r="L7" s="8">
        <f>SalesData[[#This Row],[Profit]]/SalesData[[#This Row],[Sales]]</f>
        <v>0.12702445678277077</v>
      </c>
      <c r="M7" t="str">
        <f>TEXT(SalesData[[#This Row],[Order_Date]],"mmm")</f>
        <v>Aug</v>
      </c>
      <c r="N7">
        <f>YEAR(SalesData[[#This Row],[Order_Date]])</f>
        <v>2023</v>
      </c>
    </row>
    <row r="8" spans="1:14" x14ac:dyDescent="0.3">
      <c r="A8" t="s">
        <v>38</v>
      </c>
      <c r="B8" s="1">
        <v>44665</v>
      </c>
      <c r="C8" t="s">
        <v>39</v>
      </c>
      <c r="D8" t="s">
        <v>40</v>
      </c>
      <c r="E8" t="s">
        <v>13</v>
      </c>
      <c r="F8" t="s">
        <v>14</v>
      </c>
      <c r="G8" t="s">
        <v>41</v>
      </c>
      <c r="H8" s="8">
        <v>3888.03</v>
      </c>
      <c r="I8" s="8">
        <v>51.29</v>
      </c>
      <c r="J8" s="8">
        <v>0.3</v>
      </c>
      <c r="K8" t="str">
        <f>IF(SalesData[[#This Row],[Profit]]&gt;0,"Profit","Loss")</f>
        <v>Profit</v>
      </c>
      <c r="L8" s="8">
        <f>SalesData[[#This Row],[Profit]]/SalesData[[#This Row],[Sales]]</f>
        <v>1.3191770639629837E-2</v>
      </c>
      <c r="M8" t="str">
        <f>TEXT(SalesData[[#This Row],[Order_Date]],"mmm")</f>
        <v>Apr</v>
      </c>
      <c r="N8">
        <f>YEAR(SalesData[[#This Row],[Order_Date]])</f>
        <v>2022</v>
      </c>
    </row>
    <row r="9" spans="1:14" x14ac:dyDescent="0.3">
      <c r="A9" t="s">
        <v>42</v>
      </c>
      <c r="B9" s="1">
        <v>45280</v>
      </c>
      <c r="C9" t="s">
        <v>43</v>
      </c>
      <c r="D9" t="s">
        <v>12</v>
      </c>
      <c r="E9" t="s">
        <v>13</v>
      </c>
      <c r="F9" t="s">
        <v>36</v>
      </c>
      <c r="G9" t="s">
        <v>44</v>
      </c>
      <c r="H9" s="8">
        <v>897.01</v>
      </c>
      <c r="I9" s="8">
        <v>82.62</v>
      </c>
      <c r="J9" s="8">
        <v>0.11</v>
      </c>
      <c r="K9" t="str">
        <f>IF(SalesData[[#This Row],[Profit]]&gt;0,"Profit","Loss")</f>
        <v>Profit</v>
      </c>
      <c r="L9" s="8">
        <f>SalesData[[#This Row],[Profit]]/SalesData[[#This Row],[Sales]]</f>
        <v>9.2105996588666805E-2</v>
      </c>
      <c r="M9" t="str">
        <f>TEXT(SalesData[[#This Row],[Order_Date]],"mmm")</f>
        <v>Dec</v>
      </c>
      <c r="N9">
        <f>YEAR(SalesData[[#This Row],[Order_Date]])</f>
        <v>2023</v>
      </c>
    </row>
    <row r="10" spans="1:14" x14ac:dyDescent="0.3">
      <c r="A10" t="s">
        <v>45</v>
      </c>
      <c r="B10" s="1">
        <v>44838</v>
      </c>
      <c r="C10" t="s">
        <v>46</v>
      </c>
      <c r="D10" t="s">
        <v>18</v>
      </c>
      <c r="E10" t="s">
        <v>13</v>
      </c>
      <c r="F10" t="s">
        <v>14</v>
      </c>
      <c r="G10" t="s">
        <v>47</v>
      </c>
      <c r="H10" s="8">
        <v>2717.29</v>
      </c>
      <c r="I10" s="8">
        <v>19.989999999999998</v>
      </c>
      <c r="J10" s="8">
        <v>7.0000000000000007E-2</v>
      </c>
      <c r="K10" t="str">
        <f>IF(SalesData[[#This Row],[Profit]]&gt;0,"Profit","Loss")</f>
        <v>Profit</v>
      </c>
      <c r="L10" s="8">
        <f>SalesData[[#This Row],[Profit]]/SalesData[[#This Row],[Sales]]</f>
        <v>7.3565942538337823E-3</v>
      </c>
      <c r="M10" t="str">
        <f>TEXT(SalesData[[#This Row],[Order_Date]],"mmm")</f>
        <v>Oct</v>
      </c>
      <c r="N10">
        <f>YEAR(SalesData[[#This Row],[Order_Date]])</f>
        <v>2022</v>
      </c>
    </row>
    <row r="11" spans="1:14" x14ac:dyDescent="0.3">
      <c r="A11" t="s">
        <v>48</v>
      </c>
      <c r="B11" s="1">
        <v>44836</v>
      </c>
      <c r="C11" t="s">
        <v>49</v>
      </c>
      <c r="D11" t="s">
        <v>18</v>
      </c>
      <c r="E11" t="s">
        <v>19</v>
      </c>
      <c r="F11" t="s">
        <v>20</v>
      </c>
      <c r="G11" t="s">
        <v>50</v>
      </c>
      <c r="H11" s="8">
        <v>1222.3399999999999</v>
      </c>
      <c r="I11" s="8">
        <v>-25.34</v>
      </c>
      <c r="J11" s="8">
        <v>0.01</v>
      </c>
      <c r="K11" t="str">
        <f>IF(SalesData[[#This Row],[Profit]]&gt;0,"Profit","Loss")</f>
        <v>Loss</v>
      </c>
      <c r="L11" s="8">
        <f>SalesData[[#This Row],[Profit]]/SalesData[[#This Row],[Sales]]</f>
        <v>-2.0730729584240066E-2</v>
      </c>
      <c r="M11" t="str">
        <f>TEXT(SalesData[[#This Row],[Order_Date]],"mmm")</f>
        <v>Oct</v>
      </c>
      <c r="N11">
        <f>YEAR(SalesData[[#This Row],[Order_Date]])</f>
        <v>2022</v>
      </c>
    </row>
    <row r="12" spans="1:14" x14ac:dyDescent="0.3">
      <c r="A12" t="s">
        <v>51</v>
      </c>
      <c r="B12" s="1">
        <v>45220</v>
      </c>
      <c r="C12" t="s">
        <v>52</v>
      </c>
      <c r="D12" t="s">
        <v>18</v>
      </c>
      <c r="E12" t="s">
        <v>13</v>
      </c>
      <c r="F12" t="s">
        <v>24</v>
      </c>
      <c r="G12" t="s">
        <v>53</v>
      </c>
      <c r="H12" s="8">
        <v>1641.92</v>
      </c>
      <c r="I12" s="8">
        <v>-267.01</v>
      </c>
      <c r="J12" s="8">
        <v>0.2</v>
      </c>
      <c r="K12" t="str">
        <f>IF(SalesData[[#This Row],[Profit]]&gt;0,"Profit","Loss")</f>
        <v>Loss</v>
      </c>
      <c r="L12" s="8">
        <f>SalesData[[#This Row],[Profit]]/SalesData[[#This Row],[Sales]]</f>
        <v>-0.16262059052816213</v>
      </c>
      <c r="M12" t="str">
        <f>TEXT(SalesData[[#This Row],[Order_Date]],"mmm")</f>
        <v>Oct</v>
      </c>
      <c r="N12">
        <f>YEAR(SalesData[[#This Row],[Order_Date]])</f>
        <v>2023</v>
      </c>
    </row>
    <row r="13" spans="1:14" x14ac:dyDescent="0.3">
      <c r="A13" t="s">
        <v>54</v>
      </c>
      <c r="B13" s="1">
        <v>45000</v>
      </c>
      <c r="C13" t="s">
        <v>55</v>
      </c>
      <c r="D13" t="s">
        <v>28</v>
      </c>
      <c r="E13" t="s">
        <v>56</v>
      </c>
      <c r="F13" t="s">
        <v>57</v>
      </c>
      <c r="G13" t="s">
        <v>58</v>
      </c>
      <c r="H13" s="8">
        <v>3750.45</v>
      </c>
      <c r="I13" s="8">
        <v>330.82</v>
      </c>
      <c r="J13" s="8">
        <v>0.16</v>
      </c>
      <c r="K13" t="str">
        <f>IF(SalesData[[#This Row],[Profit]]&gt;0,"Profit","Loss")</f>
        <v>Profit</v>
      </c>
      <c r="L13" s="8">
        <f>SalesData[[#This Row],[Profit]]/SalesData[[#This Row],[Sales]]</f>
        <v>8.8208081696863047E-2</v>
      </c>
      <c r="M13" t="str">
        <f>TEXT(SalesData[[#This Row],[Order_Date]],"mmm")</f>
        <v>Mar</v>
      </c>
      <c r="N13">
        <f>YEAR(SalesData[[#This Row],[Order_Date]])</f>
        <v>2023</v>
      </c>
    </row>
    <row r="14" spans="1:14" x14ac:dyDescent="0.3">
      <c r="A14" t="s">
        <v>59</v>
      </c>
      <c r="B14" s="1">
        <v>44674</v>
      </c>
      <c r="C14" t="s">
        <v>60</v>
      </c>
      <c r="D14" t="s">
        <v>18</v>
      </c>
      <c r="E14" t="s">
        <v>56</v>
      </c>
      <c r="F14" t="s">
        <v>57</v>
      </c>
      <c r="G14" t="s">
        <v>61</v>
      </c>
      <c r="H14" s="8">
        <v>2596.6799999999998</v>
      </c>
      <c r="I14" s="8">
        <v>-523.83000000000004</v>
      </c>
      <c r="J14" s="8">
        <v>0.03</v>
      </c>
      <c r="K14" t="str">
        <f>IF(SalesData[[#This Row],[Profit]]&gt;0,"Profit","Loss")</f>
        <v>Loss</v>
      </c>
      <c r="L14" s="8">
        <f>SalesData[[#This Row],[Profit]]/SalesData[[#This Row],[Sales]]</f>
        <v>-0.20173067147280377</v>
      </c>
      <c r="M14" t="str">
        <f>TEXT(SalesData[[#This Row],[Order_Date]],"mmm")</f>
        <v>Apr</v>
      </c>
      <c r="N14">
        <f>YEAR(SalesData[[#This Row],[Order_Date]])</f>
        <v>2022</v>
      </c>
    </row>
    <row r="15" spans="1:14" x14ac:dyDescent="0.3">
      <c r="A15" t="s">
        <v>62</v>
      </c>
      <c r="B15" s="1">
        <v>45041</v>
      </c>
      <c r="C15" t="s">
        <v>63</v>
      </c>
      <c r="D15" t="s">
        <v>40</v>
      </c>
      <c r="E15" t="s">
        <v>13</v>
      </c>
      <c r="F15" t="s">
        <v>36</v>
      </c>
      <c r="G15" t="s">
        <v>64</v>
      </c>
      <c r="H15" s="8">
        <v>3022.4</v>
      </c>
      <c r="I15" s="8">
        <v>113.44</v>
      </c>
      <c r="J15" s="8">
        <v>0.12</v>
      </c>
      <c r="K15" t="str">
        <f>IF(SalesData[[#This Row],[Profit]]&gt;0,"Profit","Loss")</f>
        <v>Profit</v>
      </c>
      <c r="L15" s="8">
        <f>SalesData[[#This Row],[Profit]]/SalesData[[#This Row],[Sales]]</f>
        <v>3.7533086289041818E-2</v>
      </c>
      <c r="M15" t="str">
        <f>TEXT(SalesData[[#This Row],[Order_Date]],"mmm")</f>
        <v>Apr</v>
      </c>
      <c r="N15">
        <f>YEAR(SalesData[[#This Row],[Order_Date]])</f>
        <v>2023</v>
      </c>
    </row>
    <row r="16" spans="1:14" x14ac:dyDescent="0.3">
      <c r="A16" t="s">
        <v>65</v>
      </c>
      <c r="B16" s="1">
        <v>44835</v>
      </c>
      <c r="C16" t="s">
        <v>66</v>
      </c>
      <c r="D16" t="s">
        <v>40</v>
      </c>
      <c r="E16" t="s">
        <v>13</v>
      </c>
      <c r="F16" t="s">
        <v>14</v>
      </c>
      <c r="G16" t="s">
        <v>67</v>
      </c>
      <c r="H16" s="8">
        <v>3433.39</v>
      </c>
      <c r="I16" s="8">
        <v>1033.01</v>
      </c>
      <c r="J16" s="8">
        <v>0.03</v>
      </c>
      <c r="K16" t="str">
        <f>IF(SalesData[[#This Row],[Profit]]&gt;0,"Profit","Loss")</f>
        <v>Profit</v>
      </c>
      <c r="L16" s="8">
        <f>SalesData[[#This Row],[Profit]]/SalesData[[#This Row],[Sales]]</f>
        <v>0.30087173318498628</v>
      </c>
      <c r="M16" t="str">
        <f>TEXT(SalesData[[#This Row],[Order_Date]],"mmm")</f>
        <v>Oct</v>
      </c>
      <c r="N16">
        <f>YEAR(SalesData[[#This Row],[Order_Date]])</f>
        <v>2022</v>
      </c>
    </row>
    <row r="17" spans="1:14" x14ac:dyDescent="0.3">
      <c r="A17" t="s">
        <v>68</v>
      </c>
      <c r="B17" s="1">
        <v>44831</v>
      </c>
      <c r="C17" t="s">
        <v>69</v>
      </c>
      <c r="D17" t="s">
        <v>18</v>
      </c>
      <c r="E17" t="s">
        <v>19</v>
      </c>
      <c r="F17" t="s">
        <v>29</v>
      </c>
      <c r="G17" t="s">
        <v>70</v>
      </c>
      <c r="H17" s="8">
        <v>874.97</v>
      </c>
      <c r="I17" s="8">
        <v>204.09</v>
      </c>
      <c r="J17" s="8">
        <v>0</v>
      </c>
      <c r="K17" t="str">
        <f>IF(SalesData[[#This Row],[Profit]]&gt;0,"Profit","Loss")</f>
        <v>Profit</v>
      </c>
      <c r="L17" s="8">
        <f>SalesData[[#This Row],[Profit]]/SalesData[[#This Row],[Sales]]</f>
        <v>0.23325371155582478</v>
      </c>
      <c r="M17" t="str">
        <f>TEXT(SalesData[[#This Row],[Order_Date]],"mmm")</f>
        <v>Sep</v>
      </c>
      <c r="N17">
        <f>YEAR(SalesData[[#This Row],[Order_Date]])</f>
        <v>2022</v>
      </c>
    </row>
    <row r="18" spans="1:14" x14ac:dyDescent="0.3">
      <c r="A18" t="s">
        <v>71</v>
      </c>
      <c r="B18" s="1">
        <v>44718</v>
      </c>
      <c r="C18" t="s">
        <v>72</v>
      </c>
      <c r="D18" t="s">
        <v>18</v>
      </c>
      <c r="E18" t="s">
        <v>56</v>
      </c>
      <c r="F18" t="s">
        <v>73</v>
      </c>
      <c r="G18" t="s">
        <v>74</v>
      </c>
      <c r="H18" s="8">
        <v>1562.38</v>
      </c>
      <c r="I18" s="8">
        <v>-38.46</v>
      </c>
      <c r="J18" s="8">
        <v>0.19</v>
      </c>
      <c r="K18" t="str">
        <f>IF(SalesData[[#This Row],[Profit]]&gt;0,"Profit","Loss")</f>
        <v>Loss</v>
      </c>
      <c r="L18" s="8">
        <f>SalesData[[#This Row],[Profit]]/SalesData[[#This Row],[Sales]]</f>
        <v>-2.4616290531112788E-2</v>
      </c>
      <c r="M18" t="str">
        <f>TEXT(SalesData[[#This Row],[Order_Date]],"mmm")</f>
        <v>Jun</v>
      </c>
      <c r="N18">
        <f>YEAR(SalesData[[#This Row],[Order_Date]])</f>
        <v>2022</v>
      </c>
    </row>
    <row r="19" spans="1:14" x14ac:dyDescent="0.3">
      <c r="A19" t="s">
        <v>75</v>
      </c>
      <c r="B19" s="1">
        <v>44933</v>
      </c>
      <c r="C19" t="s">
        <v>76</v>
      </c>
      <c r="D19" t="s">
        <v>18</v>
      </c>
      <c r="E19" t="s">
        <v>13</v>
      </c>
      <c r="F19" t="s">
        <v>14</v>
      </c>
      <c r="G19" t="s">
        <v>77</v>
      </c>
      <c r="H19" s="8">
        <v>3034.83</v>
      </c>
      <c r="I19" s="8">
        <v>-858.49</v>
      </c>
      <c r="J19" s="8">
        <v>0.15</v>
      </c>
      <c r="K19" t="str">
        <f>IF(SalesData[[#This Row],[Profit]]&gt;0,"Profit","Loss")</f>
        <v>Loss</v>
      </c>
      <c r="L19" s="8">
        <f>SalesData[[#This Row],[Profit]]/SalesData[[#This Row],[Sales]]</f>
        <v>-0.28287910690219881</v>
      </c>
      <c r="M19" t="str">
        <f>TEXT(SalesData[[#This Row],[Order_Date]],"mmm")</f>
        <v>Jan</v>
      </c>
      <c r="N19">
        <f>YEAR(SalesData[[#This Row],[Order_Date]])</f>
        <v>2023</v>
      </c>
    </row>
    <row r="20" spans="1:14" x14ac:dyDescent="0.3">
      <c r="A20" t="s">
        <v>78</v>
      </c>
      <c r="B20" s="1">
        <v>44632</v>
      </c>
      <c r="C20" t="s">
        <v>79</v>
      </c>
      <c r="D20" t="s">
        <v>18</v>
      </c>
      <c r="E20" t="s">
        <v>56</v>
      </c>
      <c r="F20" t="s">
        <v>73</v>
      </c>
      <c r="G20" t="s">
        <v>80</v>
      </c>
      <c r="H20" s="8">
        <v>4740.05</v>
      </c>
      <c r="I20" s="8">
        <v>291.95999999999998</v>
      </c>
      <c r="J20" s="8">
        <v>0.03</v>
      </c>
      <c r="K20" t="str">
        <f>IF(SalesData[[#This Row],[Profit]]&gt;0,"Profit","Loss")</f>
        <v>Profit</v>
      </c>
      <c r="L20" s="8">
        <f>SalesData[[#This Row],[Profit]]/SalesData[[#This Row],[Sales]]</f>
        <v>6.1594286980095142E-2</v>
      </c>
      <c r="M20" t="str">
        <f>TEXT(SalesData[[#This Row],[Order_Date]],"mmm")</f>
        <v>Mar</v>
      </c>
      <c r="N20">
        <f>YEAR(SalesData[[#This Row],[Order_Date]])</f>
        <v>2022</v>
      </c>
    </row>
    <row r="21" spans="1:14" x14ac:dyDescent="0.3">
      <c r="A21" t="s">
        <v>81</v>
      </c>
      <c r="B21" s="1">
        <v>45183</v>
      </c>
      <c r="C21" t="s">
        <v>82</v>
      </c>
      <c r="D21" t="s">
        <v>18</v>
      </c>
      <c r="E21" t="s">
        <v>13</v>
      </c>
      <c r="F21" t="s">
        <v>36</v>
      </c>
      <c r="G21" t="s">
        <v>83</v>
      </c>
      <c r="H21" s="8">
        <v>4739.5600000000004</v>
      </c>
      <c r="I21" s="8">
        <v>315.67</v>
      </c>
      <c r="J21" s="8">
        <v>0.05</v>
      </c>
      <c r="K21" t="str">
        <f>IF(SalesData[[#This Row],[Profit]]&gt;0,"Profit","Loss")</f>
        <v>Profit</v>
      </c>
      <c r="L21" s="8">
        <f>SalesData[[#This Row],[Profit]]/SalesData[[#This Row],[Sales]]</f>
        <v>6.6603228991720748E-2</v>
      </c>
      <c r="M21" t="str">
        <f>TEXT(SalesData[[#This Row],[Order_Date]],"mmm")</f>
        <v>Sep</v>
      </c>
      <c r="N21">
        <f>YEAR(SalesData[[#This Row],[Order_Date]])</f>
        <v>2023</v>
      </c>
    </row>
    <row r="22" spans="1:14" x14ac:dyDescent="0.3">
      <c r="A22" t="s">
        <v>84</v>
      </c>
      <c r="B22" s="1">
        <v>45249</v>
      </c>
      <c r="C22" t="s">
        <v>85</v>
      </c>
      <c r="D22" t="s">
        <v>40</v>
      </c>
      <c r="E22" t="s">
        <v>13</v>
      </c>
      <c r="F22" t="s">
        <v>24</v>
      </c>
      <c r="G22" t="s">
        <v>86</v>
      </c>
      <c r="H22" s="8">
        <v>3480.35</v>
      </c>
      <c r="I22" s="8">
        <v>-593.76</v>
      </c>
      <c r="J22" s="8">
        <v>0.21</v>
      </c>
      <c r="K22" t="str">
        <f>IF(SalesData[[#This Row],[Profit]]&gt;0,"Profit","Loss")</f>
        <v>Loss</v>
      </c>
      <c r="L22" s="8">
        <f>SalesData[[#This Row],[Profit]]/SalesData[[#This Row],[Sales]]</f>
        <v>-0.17060353125404054</v>
      </c>
      <c r="M22" t="str">
        <f>TEXT(SalesData[[#This Row],[Order_Date]],"mmm")</f>
        <v>Nov</v>
      </c>
      <c r="N22">
        <f>YEAR(SalesData[[#This Row],[Order_Date]])</f>
        <v>2023</v>
      </c>
    </row>
    <row r="23" spans="1:14" x14ac:dyDescent="0.3">
      <c r="A23" t="s">
        <v>87</v>
      </c>
      <c r="B23" s="1">
        <v>45164</v>
      </c>
      <c r="C23" t="s">
        <v>88</v>
      </c>
      <c r="D23" t="s">
        <v>18</v>
      </c>
      <c r="E23" t="s">
        <v>13</v>
      </c>
      <c r="F23" t="s">
        <v>36</v>
      </c>
      <c r="G23" t="s">
        <v>89</v>
      </c>
      <c r="H23" s="8">
        <v>692.92</v>
      </c>
      <c r="I23" s="8">
        <v>-46.53</v>
      </c>
      <c r="J23" s="8">
        <v>7.0000000000000007E-2</v>
      </c>
      <c r="K23" t="str">
        <f>IF(SalesData[[#This Row],[Profit]]&gt;0,"Profit","Loss")</f>
        <v>Loss</v>
      </c>
      <c r="L23" s="8">
        <f>SalesData[[#This Row],[Profit]]/SalesData[[#This Row],[Sales]]</f>
        <v>-6.7150609016913929E-2</v>
      </c>
      <c r="M23" t="str">
        <f>TEXT(SalesData[[#This Row],[Order_Date]],"mmm")</f>
        <v>Aug</v>
      </c>
      <c r="N23">
        <f>YEAR(SalesData[[#This Row],[Order_Date]])</f>
        <v>2023</v>
      </c>
    </row>
    <row r="24" spans="1:14" x14ac:dyDescent="0.3">
      <c r="A24" t="s">
        <v>90</v>
      </c>
      <c r="B24" s="1">
        <v>44594</v>
      </c>
      <c r="C24" t="s">
        <v>91</v>
      </c>
      <c r="D24" t="s">
        <v>12</v>
      </c>
      <c r="E24" t="s">
        <v>56</v>
      </c>
      <c r="F24" t="s">
        <v>57</v>
      </c>
      <c r="G24" t="s">
        <v>92</v>
      </c>
      <c r="H24" s="8">
        <v>447.87</v>
      </c>
      <c r="I24" s="8">
        <v>-113.15</v>
      </c>
      <c r="J24" s="8">
        <v>0.19</v>
      </c>
      <c r="K24" t="str">
        <f>IF(SalesData[[#This Row],[Profit]]&gt;0,"Profit","Loss")</f>
        <v>Loss</v>
      </c>
      <c r="L24" s="8">
        <f>SalesData[[#This Row],[Profit]]/SalesData[[#This Row],[Sales]]</f>
        <v>-0.25264027507982229</v>
      </c>
      <c r="M24" t="str">
        <f>TEXT(SalesData[[#This Row],[Order_Date]],"mmm")</f>
        <v>Feb</v>
      </c>
      <c r="N24">
        <f>YEAR(SalesData[[#This Row],[Order_Date]])</f>
        <v>2022</v>
      </c>
    </row>
    <row r="25" spans="1:14" x14ac:dyDescent="0.3">
      <c r="A25" t="s">
        <v>93</v>
      </c>
      <c r="B25" s="1">
        <v>45146</v>
      </c>
      <c r="C25" t="s">
        <v>94</v>
      </c>
      <c r="D25" t="s">
        <v>28</v>
      </c>
      <c r="E25" t="s">
        <v>56</v>
      </c>
      <c r="F25" t="s">
        <v>95</v>
      </c>
      <c r="G25" t="s">
        <v>96</v>
      </c>
      <c r="H25" s="8">
        <v>3377.99</v>
      </c>
      <c r="I25" s="8">
        <v>-610.11</v>
      </c>
      <c r="J25" s="8">
        <v>0.06</v>
      </c>
      <c r="K25" t="str">
        <f>IF(SalesData[[#This Row],[Profit]]&gt;0,"Profit","Loss")</f>
        <v>Loss</v>
      </c>
      <c r="L25" s="8">
        <f>SalesData[[#This Row],[Profit]]/SalesData[[#This Row],[Sales]]</f>
        <v>-0.18061332330764746</v>
      </c>
      <c r="M25" t="str">
        <f>TEXT(SalesData[[#This Row],[Order_Date]],"mmm")</f>
        <v>Aug</v>
      </c>
      <c r="N25">
        <f>YEAR(SalesData[[#This Row],[Order_Date]])</f>
        <v>2023</v>
      </c>
    </row>
    <row r="26" spans="1:14" x14ac:dyDescent="0.3">
      <c r="A26" t="s">
        <v>97</v>
      </c>
      <c r="B26" s="1">
        <v>44995</v>
      </c>
      <c r="C26" t="s">
        <v>98</v>
      </c>
      <c r="D26" t="s">
        <v>28</v>
      </c>
      <c r="E26" t="s">
        <v>19</v>
      </c>
      <c r="F26" t="s">
        <v>29</v>
      </c>
      <c r="G26" t="s">
        <v>99</v>
      </c>
      <c r="H26" s="8">
        <v>1033.01</v>
      </c>
      <c r="I26" s="8">
        <v>29.58</v>
      </c>
      <c r="J26" s="8">
        <v>0.03</v>
      </c>
      <c r="K26" t="str">
        <f>IF(SalesData[[#This Row],[Profit]]&gt;0,"Profit","Loss")</f>
        <v>Profit</v>
      </c>
      <c r="L26" s="8">
        <f>SalesData[[#This Row],[Profit]]/SalesData[[#This Row],[Sales]]</f>
        <v>2.8634766362377904E-2</v>
      </c>
      <c r="M26" t="str">
        <f>TEXT(SalesData[[#This Row],[Order_Date]],"mmm")</f>
        <v>Mar</v>
      </c>
      <c r="N26">
        <f>YEAR(SalesData[[#This Row],[Order_Date]])</f>
        <v>2023</v>
      </c>
    </row>
    <row r="27" spans="1:14" x14ac:dyDescent="0.3">
      <c r="A27" t="s">
        <v>100</v>
      </c>
      <c r="B27" s="1">
        <v>44974</v>
      </c>
      <c r="C27" t="s">
        <v>101</v>
      </c>
      <c r="D27" t="s">
        <v>40</v>
      </c>
      <c r="E27" t="s">
        <v>13</v>
      </c>
      <c r="F27" t="s">
        <v>14</v>
      </c>
      <c r="G27" t="s">
        <v>102</v>
      </c>
      <c r="H27" s="8">
        <v>3399.49</v>
      </c>
      <c r="I27" s="8">
        <v>-1499</v>
      </c>
      <c r="J27" s="8">
        <v>0.3</v>
      </c>
      <c r="K27" t="str">
        <f>IF(SalesData[[#This Row],[Profit]]&gt;0,"Profit","Loss")</f>
        <v>Loss</v>
      </c>
      <c r="L27" s="8">
        <f>SalesData[[#This Row],[Profit]]/SalesData[[#This Row],[Sales]]</f>
        <v>-0.44094849521545881</v>
      </c>
      <c r="M27" t="str">
        <f>TEXT(SalesData[[#This Row],[Order_Date]],"mmm")</f>
        <v>Feb</v>
      </c>
      <c r="N27">
        <f>YEAR(SalesData[[#This Row],[Order_Date]])</f>
        <v>2023</v>
      </c>
    </row>
    <row r="28" spans="1:14" x14ac:dyDescent="0.3">
      <c r="A28" t="s">
        <v>103</v>
      </c>
      <c r="B28" s="1">
        <v>44749</v>
      </c>
      <c r="C28" t="s">
        <v>104</v>
      </c>
      <c r="D28" t="s">
        <v>28</v>
      </c>
      <c r="E28" t="s">
        <v>56</v>
      </c>
      <c r="F28" t="s">
        <v>57</v>
      </c>
      <c r="G28" t="s">
        <v>105</v>
      </c>
      <c r="H28" s="8">
        <v>1038.79</v>
      </c>
      <c r="I28" s="8">
        <v>-286.58999999999997</v>
      </c>
      <c r="J28" s="8">
        <v>0.16</v>
      </c>
      <c r="K28" t="str">
        <f>IF(SalesData[[#This Row],[Profit]]&gt;0,"Profit","Loss")</f>
        <v>Loss</v>
      </c>
      <c r="L28" s="8">
        <f>SalesData[[#This Row],[Profit]]/SalesData[[#This Row],[Sales]]</f>
        <v>-0.27588829311025326</v>
      </c>
      <c r="M28" t="str">
        <f>TEXT(SalesData[[#This Row],[Order_Date]],"mmm")</f>
        <v>Jul</v>
      </c>
      <c r="N28">
        <f>YEAR(SalesData[[#This Row],[Order_Date]])</f>
        <v>2022</v>
      </c>
    </row>
    <row r="29" spans="1:14" x14ac:dyDescent="0.3">
      <c r="A29" t="s">
        <v>106</v>
      </c>
      <c r="B29" s="1">
        <v>45229</v>
      </c>
      <c r="C29" t="s">
        <v>107</v>
      </c>
      <c r="D29" t="s">
        <v>12</v>
      </c>
      <c r="E29" t="s">
        <v>56</v>
      </c>
      <c r="F29" t="s">
        <v>95</v>
      </c>
      <c r="G29" t="s">
        <v>108</v>
      </c>
      <c r="H29" s="8">
        <v>4059.31</v>
      </c>
      <c r="I29" s="8">
        <v>-1628.82</v>
      </c>
      <c r="J29" s="8">
        <v>0.26</v>
      </c>
      <c r="K29" t="str">
        <f>IF(SalesData[[#This Row],[Profit]]&gt;0,"Profit","Loss")</f>
        <v>Loss</v>
      </c>
      <c r="L29" s="8">
        <f>SalesData[[#This Row],[Profit]]/SalesData[[#This Row],[Sales]]</f>
        <v>-0.40125538576753189</v>
      </c>
      <c r="M29" t="str">
        <f>TEXT(SalesData[[#This Row],[Order_Date]],"mmm")</f>
        <v>Oct</v>
      </c>
      <c r="N29">
        <f>YEAR(SalesData[[#This Row],[Order_Date]])</f>
        <v>2023</v>
      </c>
    </row>
    <row r="30" spans="1:14" x14ac:dyDescent="0.3">
      <c r="A30" t="s">
        <v>109</v>
      </c>
      <c r="B30" s="1">
        <v>44972</v>
      </c>
      <c r="C30" t="s">
        <v>110</v>
      </c>
      <c r="D30" t="s">
        <v>18</v>
      </c>
      <c r="E30" t="s">
        <v>56</v>
      </c>
      <c r="F30" t="s">
        <v>57</v>
      </c>
      <c r="G30" t="s">
        <v>111</v>
      </c>
      <c r="H30" s="8">
        <v>914.92</v>
      </c>
      <c r="I30" s="8">
        <v>-202.88</v>
      </c>
      <c r="J30" s="8">
        <v>0.15</v>
      </c>
      <c r="K30" t="str">
        <f>IF(SalesData[[#This Row],[Profit]]&gt;0,"Profit","Loss")</f>
        <v>Loss</v>
      </c>
      <c r="L30" s="8">
        <f>SalesData[[#This Row],[Profit]]/SalesData[[#This Row],[Sales]]</f>
        <v>-0.2217461635990032</v>
      </c>
      <c r="M30" t="str">
        <f>TEXT(SalesData[[#This Row],[Order_Date]],"mmm")</f>
        <v>Feb</v>
      </c>
      <c r="N30">
        <f>YEAR(SalesData[[#This Row],[Order_Date]])</f>
        <v>2023</v>
      </c>
    </row>
    <row r="31" spans="1:14" x14ac:dyDescent="0.3">
      <c r="A31" t="s">
        <v>112</v>
      </c>
      <c r="B31" s="1">
        <v>44995</v>
      </c>
      <c r="C31" t="s">
        <v>113</v>
      </c>
      <c r="D31" t="s">
        <v>28</v>
      </c>
      <c r="E31" t="s">
        <v>56</v>
      </c>
      <c r="F31" t="s">
        <v>95</v>
      </c>
      <c r="G31" t="s">
        <v>114</v>
      </c>
      <c r="H31" s="8">
        <v>1399.49</v>
      </c>
      <c r="I31" s="8">
        <v>-233.71</v>
      </c>
      <c r="J31" s="8">
        <v>0.24</v>
      </c>
      <c r="K31" t="str">
        <f>IF(SalesData[[#This Row],[Profit]]&gt;0,"Profit","Loss")</f>
        <v>Loss</v>
      </c>
      <c r="L31" s="8">
        <f>SalesData[[#This Row],[Profit]]/SalesData[[#This Row],[Sales]]</f>
        <v>-0.1669965487427563</v>
      </c>
      <c r="M31" t="str">
        <f>TEXT(SalesData[[#This Row],[Order_Date]],"mmm")</f>
        <v>Mar</v>
      </c>
      <c r="N31">
        <f>YEAR(SalesData[[#This Row],[Order_Date]])</f>
        <v>2023</v>
      </c>
    </row>
    <row r="32" spans="1:14" x14ac:dyDescent="0.3">
      <c r="A32" t="s">
        <v>115</v>
      </c>
      <c r="B32" s="1">
        <v>44624</v>
      </c>
      <c r="C32" t="s">
        <v>116</v>
      </c>
      <c r="D32" t="s">
        <v>40</v>
      </c>
      <c r="E32" t="s">
        <v>56</v>
      </c>
      <c r="F32" t="s">
        <v>95</v>
      </c>
      <c r="G32" t="s">
        <v>77</v>
      </c>
      <c r="H32" s="8">
        <v>1166.73</v>
      </c>
      <c r="I32" s="8">
        <v>258.36</v>
      </c>
      <c r="J32" s="8">
        <v>0.02</v>
      </c>
      <c r="K32" t="str">
        <f>IF(SalesData[[#This Row],[Profit]]&gt;0,"Profit","Loss")</f>
        <v>Profit</v>
      </c>
      <c r="L32" s="8">
        <f>SalesData[[#This Row],[Profit]]/SalesData[[#This Row],[Sales]]</f>
        <v>0.22143940757501737</v>
      </c>
      <c r="M32" t="str">
        <f>TEXT(SalesData[[#This Row],[Order_Date]],"mmm")</f>
        <v>Mar</v>
      </c>
      <c r="N32">
        <f>YEAR(SalesData[[#This Row],[Order_Date]])</f>
        <v>2022</v>
      </c>
    </row>
    <row r="33" spans="1:14" x14ac:dyDescent="0.3">
      <c r="A33" t="s">
        <v>117</v>
      </c>
      <c r="B33" s="1">
        <v>44620</v>
      </c>
      <c r="C33" t="s">
        <v>118</v>
      </c>
      <c r="D33" t="s">
        <v>12</v>
      </c>
      <c r="E33" t="s">
        <v>56</v>
      </c>
      <c r="F33" t="s">
        <v>73</v>
      </c>
      <c r="G33" t="s">
        <v>119</v>
      </c>
      <c r="H33" s="8">
        <v>2436.2600000000002</v>
      </c>
      <c r="I33" s="8">
        <v>-393.03</v>
      </c>
      <c r="J33" s="8">
        <v>0.28000000000000003</v>
      </c>
      <c r="K33" t="str">
        <f>IF(SalesData[[#This Row],[Profit]]&gt;0,"Profit","Loss")</f>
        <v>Loss</v>
      </c>
      <c r="L33" s="8">
        <f>SalesData[[#This Row],[Profit]]/SalesData[[#This Row],[Sales]]</f>
        <v>-0.16132514592038613</v>
      </c>
      <c r="M33" t="str">
        <f>TEXT(SalesData[[#This Row],[Order_Date]],"mmm")</f>
        <v>Feb</v>
      </c>
      <c r="N33">
        <f>YEAR(SalesData[[#This Row],[Order_Date]])</f>
        <v>2022</v>
      </c>
    </row>
    <row r="34" spans="1:14" x14ac:dyDescent="0.3">
      <c r="A34" t="s">
        <v>120</v>
      </c>
      <c r="B34" s="1">
        <v>44684</v>
      </c>
      <c r="C34" t="s">
        <v>121</v>
      </c>
      <c r="D34" t="s">
        <v>18</v>
      </c>
      <c r="E34" t="s">
        <v>56</v>
      </c>
      <c r="F34" t="s">
        <v>57</v>
      </c>
      <c r="G34" t="s">
        <v>122</v>
      </c>
      <c r="H34" s="8">
        <v>3015.67</v>
      </c>
      <c r="I34" s="8">
        <v>-780.69</v>
      </c>
      <c r="J34" s="8">
        <v>0.2</v>
      </c>
      <c r="K34" t="str">
        <f>IF(SalesData[[#This Row],[Profit]]&gt;0,"Profit","Loss")</f>
        <v>Loss</v>
      </c>
      <c r="L34" s="8">
        <f>SalesData[[#This Row],[Profit]]/SalesData[[#This Row],[Sales]]</f>
        <v>-0.25887779498419922</v>
      </c>
      <c r="M34" t="str">
        <f>TEXT(SalesData[[#This Row],[Order_Date]],"mmm")</f>
        <v>May</v>
      </c>
      <c r="N34">
        <f>YEAR(SalesData[[#This Row],[Order_Date]])</f>
        <v>2022</v>
      </c>
    </row>
    <row r="35" spans="1:14" x14ac:dyDescent="0.3">
      <c r="A35" t="s">
        <v>123</v>
      </c>
      <c r="B35" s="1">
        <v>45097</v>
      </c>
      <c r="C35" t="s">
        <v>124</v>
      </c>
      <c r="D35" t="s">
        <v>40</v>
      </c>
      <c r="E35" t="s">
        <v>13</v>
      </c>
      <c r="F35" t="s">
        <v>14</v>
      </c>
      <c r="G35" t="s">
        <v>125</v>
      </c>
      <c r="H35" s="8">
        <v>3134.97</v>
      </c>
      <c r="I35" s="8">
        <v>63.34</v>
      </c>
      <c r="J35" s="8">
        <v>0.13</v>
      </c>
      <c r="K35" t="str">
        <f>IF(SalesData[[#This Row],[Profit]]&gt;0,"Profit","Loss")</f>
        <v>Profit</v>
      </c>
      <c r="L35" s="8">
        <f>SalesData[[#This Row],[Profit]]/SalesData[[#This Row],[Sales]]</f>
        <v>2.0204340073429732E-2</v>
      </c>
      <c r="M35" t="str">
        <f>TEXT(SalesData[[#This Row],[Order_Date]],"mmm")</f>
        <v>Jun</v>
      </c>
      <c r="N35">
        <f>YEAR(SalesData[[#This Row],[Order_Date]])</f>
        <v>2023</v>
      </c>
    </row>
    <row r="36" spans="1:14" x14ac:dyDescent="0.3">
      <c r="A36" t="s">
        <v>126</v>
      </c>
      <c r="B36" s="1">
        <v>45222</v>
      </c>
      <c r="C36" t="s">
        <v>127</v>
      </c>
      <c r="D36" t="s">
        <v>28</v>
      </c>
      <c r="E36" t="s">
        <v>13</v>
      </c>
      <c r="F36" t="s">
        <v>24</v>
      </c>
      <c r="G36" t="s">
        <v>128</v>
      </c>
      <c r="H36" s="8">
        <v>1639.5</v>
      </c>
      <c r="I36" s="8">
        <v>-330.32</v>
      </c>
      <c r="J36" s="8">
        <v>0.08</v>
      </c>
      <c r="K36" t="str">
        <f>IF(SalesData[[#This Row],[Profit]]&gt;0,"Profit","Loss")</f>
        <v>Loss</v>
      </c>
      <c r="L36" s="8">
        <f>SalesData[[#This Row],[Profit]]/SalesData[[#This Row],[Sales]]</f>
        <v>-0.20147605977432143</v>
      </c>
      <c r="M36" t="str">
        <f>TEXT(SalesData[[#This Row],[Order_Date]],"mmm")</f>
        <v>Oct</v>
      </c>
      <c r="N36">
        <f>YEAR(SalesData[[#This Row],[Order_Date]])</f>
        <v>2023</v>
      </c>
    </row>
    <row r="37" spans="1:14" x14ac:dyDescent="0.3">
      <c r="A37" t="s">
        <v>129</v>
      </c>
      <c r="B37" s="1">
        <v>44637</v>
      </c>
      <c r="C37" t="s">
        <v>130</v>
      </c>
      <c r="D37" t="s">
        <v>18</v>
      </c>
      <c r="E37" t="s">
        <v>56</v>
      </c>
      <c r="F37" t="s">
        <v>57</v>
      </c>
      <c r="G37" t="s">
        <v>70</v>
      </c>
      <c r="H37" s="8">
        <v>2345.6</v>
      </c>
      <c r="I37" s="8">
        <v>229.07</v>
      </c>
      <c r="J37" s="8">
        <v>0.3</v>
      </c>
      <c r="K37" t="str">
        <f>IF(SalesData[[#This Row],[Profit]]&gt;0,"Profit","Loss")</f>
        <v>Profit</v>
      </c>
      <c r="L37" s="8">
        <f>SalesData[[#This Row],[Profit]]/SalesData[[#This Row],[Sales]]</f>
        <v>9.765944747612551E-2</v>
      </c>
      <c r="M37" t="str">
        <f>TEXT(SalesData[[#This Row],[Order_Date]],"mmm")</f>
        <v>Mar</v>
      </c>
      <c r="N37">
        <f>YEAR(SalesData[[#This Row],[Order_Date]])</f>
        <v>2022</v>
      </c>
    </row>
    <row r="38" spans="1:14" x14ac:dyDescent="0.3">
      <c r="A38" t="s">
        <v>131</v>
      </c>
      <c r="B38" s="1">
        <v>44940</v>
      </c>
      <c r="C38" t="s">
        <v>132</v>
      </c>
      <c r="D38" t="s">
        <v>18</v>
      </c>
      <c r="E38" t="s">
        <v>19</v>
      </c>
      <c r="F38" t="s">
        <v>20</v>
      </c>
      <c r="G38" t="s">
        <v>86</v>
      </c>
      <c r="H38" s="8">
        <v>4672.97</v>
      </c>
      <c r="I38" s="8">
        <v>315.72000000000003</v>
      </c>
      <c r="J38" s="8">
        <v>0.26</v>
      </c>
      <c r="K38" t="str">
        <f>IF(SalesData[[#This Row],[Profit]]&gt;0,"Profit","Loss")</f>
        <v>Profit</v>
      </c>
      <c r="L38" s="8">
        <f>SalesData[[#This Row],[Profit]]/SalesData[[#This Row],[Sales]]</f>
        <v>6.7563027368033601E-2</v>
      </c>
      <c r="M38" t="str">
        <f>TEXT(SalesData[[#This Row],[Order_Date]],"mmm")</f>
        <v>Jan</v>
      </c>
      <c r="N38">
        <f>YEAR(SalesData[[#This Row],[Order_Date]])</f>
        <v>2023</v>
      </c>
    </row>
    <row r="39" spans="1:14" x14ac:dyDescent="0.3">
      <c r="A39" t="s">
        <v>133</v>
      </c>
      <c r="B39" s="1">
        <v>45103</v>
      </c>
      <c r="C39" t="s">
        <v>134</v>
      </c>
      <c r="D39" t="s">
        <v>40</v>
      </c>
      <c r="E39" t="s">
        <v>13</v>
      </c>
      <c r="F39" t="s">
        <v>24</v>
      </c>
      <c r="G39" t="s">
        <v>135</v>
      </c>
      <c r="H39" s="8">
        <v>1582.33</v>
      </c>
      <c r="I39" s="8">
        <v>-24.91</v>
      </c>
      <c r="J39" s="8">
        <v>0.3</v>
      </c>
      <c r="K39" t="str">
        <f>IF(SalesData[[#This Row],[Profit]]&gt;0,"Profit","Loss")</f>
        <v>Loss</v>
      </c>
      <c r="L39" s="8">
        <f>SalesData[[#This Row],[Profit]]/SalesData[[#This Row],[Sales]]</f>
        <v>-1.5742607420702381E-2</v>
      </c>
      <c r="M39" t="str">
        <f>TEXT(SalesData[[#This Row],[Order_Date]],"mmm")</f>
        <v>Jun</v>
      </c>
      <c r="N39">
        <f>YEAR(SalesData[[#This Row],[Order_Date]])</f>
        <v>2023</v>
      </c>
    </row>
    <row r="40" spans="1:14" x14ac:dyDescent="0.3">
      <c r="A40" t="s">
        <v>136</v>
      </c>
      <c r="B40" s="1">
        <v>44671</v>
      </c>
      <c r="C40" t="s">
        <v>137</v>
      </c>
      <c r="D40" t="s">
        <v>18</v>
      </c>
      <c r="E40" t="s">
        <v>13</v>
      </c>
      <c r="F40" t="s">
        <v>14</v>
      </c>
      <c r="G40" t="s">
        <v>138</v>
      </c>
      <c r="H40" s="8">
        <v>4700.76</v>
      </c>
      <c r="I40" s="8">
        <v>-802.62</v>
      </c>
      <c r="J40" s="8">
        <v>0.04</v>
      </c>
      <c r="K40" t="str">
        <f>IF(SalesData[[#This Row],[Profit]]&gt;0,"Profit","Loss")</f>
        <v>Loss</v>
      </c>
      <c r="L40" s="8">
        <f>SalesData[[#This Row],[Profit]]/SalesData[[#This Row],[Sales]]</f>
        <v>-0.17074260332371785</v>
      </c>
      <c r="M40" t="str">
        <f>TEXT(SalesData[[#This Row],[Order_Date]],"mmm")</f>
        <v>Apr</v>
      </c>
      <c r="N40">
        <f>YEAR(SalesData[[#This Row],[Order_Date]])</f>
        <v>2022</v>
      </c>
    </row>
    <row r="41" spans="1:14" x14ac:dyDescent="0.3">
      <c r="A41" t="s">
        <v>139</v>
      </c>
      <c r="B41" s="1">
        <v>44832</v>
      </c>
      <c r="C41" t="s">
        <v>140</v>
      </c>
      <c r="D41" t="s">
        <v>28</v>
      </c>
      <c r="E41" t="s">
        <v>19</v>
      </c>
      <c r="F41" t="s">
        <v>141</v>
      </c>
      <c r="G41" t="s">
        <v>142</v>
      </c>
      <c r="H41" s="8">
        <v>1132.0899999999999</v>
      </c>
      <c r="I41" s="8">
        <v>127.36</v>
      </c>
      <c r="J41" s="8">
        <v>0.1</v>
      </c>
      <c r="K41" t="str">
        <f>IF(SalesData[[#This Row],[Profit]]&gt;0,"Profit","Loss")</f>
        <v>Profit</v>
      </c>
      <c r="L41" s="8">
        <f>SalesData[[#This Row],[Profit]]/SalesData[[#This Row],[Sales]]</f>
        <v>0.11249988958475034</v>
      </c>
      <c r="M41" t="str">
        <f>TEXT(SalesData[[#This Row],[Order_Date]],"mmm")</f>
        <v>Sep</v>
      </c>
      <c r="N41">
        <f>YEAR(SalesData[[#This Row],[Order_Date]])</f>
        <v>2022</v>
      </c>
    </row>
    <row r="42" spans="1:14" x14ac:dyDescent="0.3">
      <c r="A42" t="s">
        <v>143</v>
      </c>
      <c r="B42" s="1">
        <v>44903</v>
      </c>
      <c r="C42" t="s">
        <v>144</v>
      </c>
      <c r="D42" t="s">
        <v>18</v>
      </c>
      <c r="E42" t="s">
        <v>56</v>
      </c>
      <c r="F42" t="s">
        <v>57</v>
      </c>
      <c r="G42" t="s">
        <v>145</v>
      </c>
      <c r="H42" s="8">
        <v>3207.99</v>
      </c>
      <c r="I42" s="8">
        <v>-1358.74</v>
      </c>
      <c r="J42" s="8">
        <v>0.25</v>
      </c>
      <c r="K42" t="str">
        <f>IF(SalesData[[#This Row],[Profit]]&gt;0,"Profit","Loss")</f>
        <v>Loss</v>
      </c>
      <c r="L42" s="8">
        <f>SalesData[[#This Row],[Profit]]/SalesData[[#This Row],[Sales]]</f>
        <v>-0.42354870183510551</v>
      </c>
      <c r="M42" t="str">
        <f>TEXT(SalesData[[#This Row],[Order_Date]],"mmm")</f>
        <v>Dec</v>
      </c>
      <c r="N42">
        <f>YEAR(SalesData[[#This Row],[Order_Date]])</f>
        <v>2022</v>
      </c>
    </row>
    <row r="43" spans="1:14" x14ac:dyDescent="0.3">
      <c r="A43" t="s">
        <v>146</v>
      </c>
      <c r="B43" s="1">
        <v>44571</v>
      </c>
      <c r="C43" t="s">
        <v>147</v>
      </c>
      <c r="D43" t="s">
        <v>12</v>
      </c>
      <c r="E43" t="s">
        <v>19</v>
      </c>
      <c r="F43" t="s">
        <v>20</v>
      </c>
      <c r="G43" t="s">
        <v>148</v>
      </c>
      <c r="H43" s="8">
        <v>3732.03</v>
      </c>
      <c r="I43" s="8">
        <v>-423.17</v>
      </c>
      <c r="J43" s="8">
        <v>0.17</v>
      </c>
      <c r="K43" t="str">
        <f>IF(SalesData[[#This Row],[Profit]]&gt;0,"Profit","Loss")</f>
        <v>Loss</v>
      </c>
      <c r="L43" s="8">
        <f>SalesData[[#This Row],[Profit]]/SalesData[[#This Row],[Sales]]</f>
        <v>-0.11338869194513441</v>
      </c>
      <c r="M43" t="str">
        <f>TEXT(SalesData[[#This Row],[Order_Date]],"mmm")</f>
        <v>Jan</v>
      </c>
      <c r="N43">
        <f>YEAR(SalesData[[#This Row],[Order_Date]])</f>
        <v>2022</v>
      </c>
    </row>
    <row r="44" spans="1:14" x14ac:dyDescent="0.3">
      <c r="A44" t="s">
        <v>149</v>
      </c>
      <c r="B44" s="1">
        <v>44713</v>
      </c>
      <c r="C44" t="s">
        <v>150</v>
      </c>
      <c r="D44" t="s">
        <v>18</v>
      </c>
      <c r="E44" t="s">
        <v>13</v>
      </c>
      <c r="F44" t="s">
        <v>14</v>
      </c>
      <c r="G44" t="s">
        <v>151</v>
      </c>
      <c r="H44" s="8">
        <v>2773.39</v>
      </c>
      <c r="I44" s="8">
        <v>-278.70999999999998</v>
      </c>
      <c r="J44" s="8">
        <v>0.25</v>
      </c>
      <c r="K44" t="str">
        <f>IF(SalesData[[#This Row],[Profit]]&gt;0,"Profit","Loss")</f>
        <v>Loss</v>
      </c>
      <c r="L44" s="8">
        <f>SalesData[[#This Row],[Profit]]/SalesData[[#This Row],[Sales]]</f>
        <v>-0.10049434086082376</v>
      </c>
      <c r="M44" t="str">
        <f>TEXT(SalesData[[#This Row],[Order_Date]],"mmm")</f>
        <v>Jun</v>
      </c>
      <c r="N44">
        <f>YEAR(SalesData[[#This Row],[Order_Date]])</f>
        <v>2022</v>
      </c>
    </row>
    <row r="45" spans="1:14" x14ac:dyDescent="0.3">
      <c r="A45" t="s">
        <v>152</v>
      </c>
      <c r="B45" s="1">
        <v>44928</v>
      </c>
      <c r="C45" t="s">
        <v>153</v>
      </c>
      <c r="D45" t="s">
        <v>18</v>
      </c>
      <c r="E45" t="s">
        <v>19</v>
      </c>
      <c r="F45" t="s">
        <v>29</v>
      </c>
      <c r="G45" t="s">
        <v>154</v>
      </c>
      <c r="H45" s="8">
        <v>4505.01</v>
      </c>
      <c r="I45" s="8">
        <v>344.28</v>
      </c>
      <c r="J45" s="8">
        <v>0.24</v>
      </c>
      <c r="K45" t="str">
        <f>IF(SalesData[[#This Row],[Profit]]&gt;0,"Profit","Loss")</f>
        <v>Profit</v>
      </c>
      <c r="L45" s="8">
        <f>SalesData[[#This Row],[Profit]]/SalesData[[#This Row],[Sales]]</f>
        <v>7.6421583969846898E-2</v>
      </c>
      <c r="M45" t="str">
        <f>TEXT(SalesData[[#This Row],[Order_Date]],"mmm")</f>
        <v>Jan</v>
      </c>
      <c r="N45">
        <f>YEAR(SalesData[[#This Row],[Order_Date]])</f>
        <v>2023</v>
      </c>
    </row>
    <row r="46" spans="1:14" x14ac:dyDescent="0.3">
      <c r="A46" t="s">
        <v>155</v>
      </c>
      <c r="B46" s="1">
        <v>45197</v>
      </c>
      <c r="C46" t="s">
        <v>156</v>
      </c>
      <c r="D46" t="s">
        <v>18</v>
      </c>
      <c r="E46" t="s">
        <v>56</v>
      </c>
      <c r="F46" t="s">
        <v>95</v>
      </c>
      <c r="G46" t="s">
        <v>157</v>
      </c>
      <c r="H46" s="8">
        <v>3922.57</v>
      </c>
      <c r="I46" s="8">
        <v>-887.18</v>
      </c>
      <c r="J46" s="8">
        <v>0.27</v>
      </c>
      <c r="K46" t="str">
        <f>IF(SalesData[[#This Row],[Profit]]&gt;0,"Profit","Loss")</f>
        <v>Loss</v>
      </c>
      <c r="L46" s="8">
        <f>SalesData[[#This Row],[Profit]]/SalesData[[#This Row],[Sales]]</f>
        <v>-0.22617314668699345</v>
      </c>
      <c r="M46" t="str">
        <f>TEXT(SalesData[[#This Row],[Order_Date]],"mmm")</f>
        <v>Sep</v>
      </c>
      <c r="N46">
        <f>YEAR(SalesData[[#This Row],[Order_Date]])</f>
        <v>2023</v>
      </c>
    </row>
    <row r="47" spans="1:14" x14ac:dyDescent="0.3">
      <c r="A47" t="s">
        <v>158</v>
      </c>
      <c r="B47" s="1">
        <v>44587</v>
      </c>
      <c r="C47" t="s">
        <v>159</v>
      </c>
      <c r="D47" t="s">
        <v>40</v>
      </c>
      <c r="E47" t="s">
        <v>56</v>
      </c>
      <c r="F47" t="s">
        <v>57</v>
      </c>
      <c r="G47" t="s">
        <v>160</v>
      </c>
      <c r="H47" s="8">
        <v>4883.41</v>
      </c>
      <c r="I47" s="8">
        <v>433.89</v>
      </c>
      <c r="J47" s="8">
        <v>0.24</v>
      </c>
      <c r="K47" t="str">
        <f>IF(SalesData[[#This Row],[Profit]]&gt;0,"Profit","Loss")</f>
        <v>Profit</v>
      </c>
      <c r="L47" s="8">
        <f>SalesData[[#This Row],[Profit]]/SalesData[[#This Row],[Sales]]</f>
        <v>8.8849799627719162E-2</v>
      </c>
      <c r="M47" t="str">
        <f>TEXT(SalesData[[#This Row],[Order_Date]],"mmm")</f>
        <v>Jan</v>
      </c>
      <c r="N47">
        <f>YEAR(SalesData[[#This Row],[Order_Date]])</f>
        <v>2022</v>
      </c>
    </row>
    <row r="48" spans="1:14" x14ac:dyDescent="0.3">
      <c r="A48" t="s">
        <v>161</v>
      </c>
      <c r="B48" s="1">
        <v>45280</v>
      </c>
      <c r="C48" t="s">
        <v>162</v>
      </c>
      <c r="D48" t="s">
        <v>28</v>
      </c>
      <c r="E48" t="s">
        <v>19</v>
      </c>
      <c r="F48" t="s">
        <v>141</v>
      </c>
      <c r="G48" t="s">
        <v>163</v>
      </c>
      <c r="H48" s="8">
        <v>4333.91</v>
      </c>
      <c r="I48" s="8">
        <v>-1213.1300000000001</v>
      </c>
      <c r="J48" s="8">
        <v>0.24</v>
      </c>
      <c r="K48" t="str">
        <f>IF(SalesData[[#This Row],[Profit]]&gt;0,"Profit","Loss")</f>
        <v>Loss</v>
      </c>
      <c r="L48" s="8">
        <f>SalesData[[#This Row],[Profit]]/SalesData[[#This Row],[Sales]]</f>
        <v>-0.27991582658615433</v>
      </c>
      <c r="M48" t="str">
        <f>TEXT(SalesData[[#This Row],[Order_Date]],"mmm")</f>
        <v>Dec</v>
      </c>
      <c r="N48">
        <f>YEAR(SalesData[[#This Row],[Order_Date]])</f>
        <v>2023</v>
      </c>
    </row>
    <row r="49" spans="1:14" x14ac:dyDescent="0.3">
      <c r="A49" t="s">
        <v>164</v>
      </c>
      <c r="B49" s="1">
        <v>44874</v>
      </c>
      <c r="C49" t="s">
        <v>165</v>
      </c>
      <c r="D49" t="s">
        <v>18</v>
      </c>
      <c r="E49" t="s">
        <v>56</v>
      </c>
      <c r="F49" t="s">
        <v>95</v>
      </c>
      <c r="G49" t="s">
        <v>166</v>
      </c>
      <c r="H49" s="8">
        <v>1189.93</v>
      </c>
      <c r="I49" s="8">
        <v>-194.93</v>
      </c>
      <c r="J49" s="8">
        <v>0.24</v>
      </c>
      <c r="K49" t="str">
        <f>IF(SalesData[[#This Row],[Profit]]&gt;0,"Profit","Loss")</f>
        <v>Loss</v>
      </c>
      <c r="L49" s="8">
        <f>SalesData[[#This Row],[Profit]]/SalesData[[#This Row],[Sales]]</f>
        <v>-0.16381635894548419</v>
      </c>
      <c r="M49" t="str">
        <f>TEXT(SalesData[[#This Row],[Order_Date]],"mmm")</f>
        <v>Nov</v>
      </c>
      <c r="N49">
        <f>YEAR(SalesData[[#This Row],[Order_Date]])</f>
        <v>2022</v>
      </c>
    </row>
    <row r="50" spans="1:14" x14ac:dyDescent="0.3">
      <c r="A50" t="s">
        <v>167</v>
      </c>
      <c r="B50" s="1">
        <v>44847</v>
      </c>
      <c r="C50" t="s">
        <v>168</v>
      </c>
      <c r="D50" t="s">
        <v>28</v>
      </c>
      <c r="E50" t="s">
        <v>13</v>
      </c>
      <c r="F50" t="s">
        <v>14</v>
      </c>
      <c r="G50" t="s">
        <v>169</v>
      </c>
      <c r="H50" s="8">
        <v>2052.48</v>
      </c>
      <c r="I50" s="8">
        <v>-489.2</v>
      </c>
      <c r="J50" s="8">
        <v>0.08</v>
      </c>
      <c r="K50" t="str">
        <f>IF(SalesData[[#This Row],[Profit]]&gt;0,"Profit","Loss")</f>
        <v>Loss</v>
      </c>
      <c r="L50" s="8">
        <f>SalesData[[#This Row],[Profit]]/SalesData[[#This Row],[Sales]]</f>
        <v>-0.23834580604926722</v>
      </c>
      <c r="M50" t="str">
        <f>TEXT(SalesData[[#This Row],[Order_Date]],"mmm")</f>
        <v>Oct</v>
      </c>
      <c r="N50">
        <f>YEAR(SalesData[[#This Row],[Order_Date]])</f>
        <v>2022</v>
      </c>
    </row>
    <row r="51" spans="1:14" x14ac:dyDescent="0.3">
      <c r="A51" t="s">
        <v>170</v>
      </c>
      <c r="B51" s="1">
        <v>44744</v>
      </c>
      <c r="C51" t="s">
        <v>171</v>
      </c>
      <c r="D51" t="s">
        <v>40</v>
      </c>
      <c r="E51" t="s">
        <v>13</v>
      </c>
      <c r="F51" t="s">
        <v>36</v>
      </c>
      <c r="G51" t="s">
        <v>172</v>
      </c>
      <c r="H51" s="8">
        <v>4702.26</v>
      </c>
      <c r="I51" s="8">
        <v>1656.33</v>
      </c>
      <c r="J51" s="8">
        <v>0.03</v>
      </c>
      <c r="K51" t="str">
        <f>IF(SalesData[[#This Row],[Profit]]&gt;0,"Profit","Loss")</f>
        <v>Profit</v>
      </c>
      <c r="L51" s="8">
        <f>SalesData[[#This Row],[Profit]]/SalesData[[#This Row],[Sales]]</f>
        <v>0.35224126271197254</v>
      </c>
      <c r="M51" t="str">
        <f>TEXT(SalesData[[#This Row],[Order_Date]],"mmm")</f>
        <v>Jul</v>
      </c>
      <c r="N51">
        <f>YEAR(SalesData[[#This Row],[Order_Date]])</f>
        <v>2022</v>
      </c>
    </row>
    <row r="52" spans="1:14" x14ac:dyDescent="0.3">
      <c r="A52" t="s">
        <v>173</v>
      </c>
      <c r="B52" s="1">
        <v>45182</v>
      </c>
      <c r="C52" t="s">
        <v>174</v>
      </c>
      <c r="D52" t="s">
        <v>12</v>
      </c>
      <c r="E52" t="s">
        <v>56</v>
      </c>
      <c r="F52" t="s">
        <v>73</v>
      </c>
      <c r="G52" t="s">
        <v>175</v>
      </c>
      <c r="H52" s="8">
        <v>2229.36</v>
      </c>
      <c r="I52" s="8">
        <v>-516.75</v>
      </c>
      <c r="J52" s="8">
        <v>0.22</v>
      </c>
      <c r="K52" t="str">
        <f>IF(SalesData[[#This Row],[Profit]]&gt;0,"Profit","Loss")</f>
        <v>Loss</v>
      </c>
      <c r="L52" s="8">
        <f>SalesData[[#This Row],[Profit]]/SalesData[[#This Row],[Sales]]</f>
        <v>-0.23179298094520398</v>
      </c>
      <c r="M52" t="str">
        <f>TEXT(SalesData[[#This Row],[Order_Date]],"mmm")</f>
        <v>Sep</v>
      </c>
      <c r="N52">
        <f>YEAR(SalesData[[#This Row],[Order_Date]])</f>
        <v>2023</v>
      </c>
    </row>
    <row r="53" spans="1:14" x14ac:dyDescent="0.3">
      <c r="A53" t="s">
        <v>176</v>
      </c>
      <c r="B53" s="1">
        <v>45113</v>
      </c>
      <c r="C53" t="s">
        <v>177</v>
      </c>
      <c r="D53" t="s">
        <v>18</v>
      </c>
      <c r="E53" t="s">
        <v>13</v>
      </c>
      <c r="F53" t="s">
        <v>14</v>
      </c>
      <c r="G53" t="s">
        <v>178</v>
      </c>
      <c r="H53" s="8">
        <v>1348.14</v>
      </c>
      <c r="I53" s="8">
        <v>-551.37</v>
      </c>
      <c r="J53" s="8">
        <v>0.21</v>
      </c>
      <c r="K53" t="str">
        <f>IF(SalesData[[#This Row],[Profit]]&gt;0,"Profit","Loss")</f>
        <v>Loss</v>
      </c>
      <c r="L53" s="8">
        <f>SalesData[[#This Row],[Profit]]/SalesData[[#This Row],[Sales]]</f>
        <v>-0.40898571364991765</v>
      </c>
      <c r="M53" t="str">
        <f>TEXT(SalesData[[#This Row],[Order_Date]],"mmm")</f>
        <v>Jul</v>
      </c>
      <c r="N53">
        <f>YEAR(SalesData[[#This Row],[Order_Date]])</f>
        <v>2023</v>
      </c>
    </row>
    <row r="54" spans="1:14" x14ac:dyDescent="0.3">
      <c r="A54" t="s">
        <v>179</v>
      </c>
      <c r="B54" s="1">
        <v>45241</v>
      </c>
      <c r="C54" t="s">
        <v>32</v>
      </c>
      <c r="D54" t="s">
        <v>40</v>
      </c>
      <c r="E54" t="s">
        <v>19</v>
      </c>
      <c r="F54" t="s">
        <v>20</v>
      </c>
      <c r="G54" t="s">
        <v>70</v>
      </c>
      <c r="H54" s="8">
        <v>4749.4799999999996</v>
      </c>
      <c r="I54" s="8">
        <v>-503.95</v>
      </c>
      <c r="J54" s="8">
        <v>0.28000000000000003</v>
      </c>
      <c r="K54" t="str">
        <f>IF(SalesData[[#This Row],[Profit]]&gt;0,"Profit","Loss")</f>
        <v>Loss</v>
      </c>
      <c r="L54" s="8">
        <f>SalesData[[#This Row],[Profit]]/SalesData[[#This Row],[Sales]]</f>
        <v>-0.10610635269545299</v>
      </c>
      <c r="M54" t="str">
        <f>TEXT(SalesData[[#This Row],[Order_Date]],"mmm")</f>
        <v>Nov</v>
      </c>
      <c r="N54">
        <f>YEAR(SalesData[[#This Row],[Order_Date]])</f>
        <v>2023</v>
      </c>
    </row>
    <row r="55" spans="1:14" x14ac:dyDescent="0.3">
      <c r="A55" t="s">
        <v>180</v>
      </c>
      <c r="B55" s="1">
        <v>44692</v>
      </c>
      <c r="C55" t="s">
        <v>35</v>
      </c>
      <c r="D55" t="s">
        <v>28</v>
      </c>
      <c r="E55" t="s">
        <v>19</v>
      </c>
      <c r="F55" t="s">
        <v>141</v>
      </c>
      <c r="G55" t="s">
        <v>181</v>
      </c>
      <c r="H55" s="8">
        <v>2101.13</v>
      </c>
      <c r="I55" s="8">
        <v>-299.64</v>
      </c>
      <c r="J55" s="8">
        <v>0.12</v>
      </c>
      <c r="K55" t="str">
        <f>IF(SalesData[[#This Row],[Profit]]&gt;0,"Profit","Loss")</f>
        <v>Loss</v>
      </c>
      <c r="L55" s="8">
        <f>SalesData[[#This Row],[Profit]]/SalesData[[#This Row],[Sales]]</f>
        <v>-0.142608977074241</v>
      </c>
      <c r="M55" t="str">
        <f>TEXT(SalesData[[#This Row],[Order_Date]],"mmm")</f>
        <v>May</v>
      </c>
      <c r="N55">
        <f>YEAR(SalesData[[#This Row],[Order_Date]])</f>
        <v>2022</v>
      </c>
    </row>
    <row r="56" spans="1:14" x14ac:dyDescent="0.3">
      <c r="A56" t="s">
        <v>182</v>
      </c>
      <c r="B56" s="1">
        <v>44977</v>
      </c>
      <c r="C56" t="s">
        <v>183</v>
      </c>
      <c r="D56" t="s">
        <v>12</v>
      </c>
      <c r="E56" t="s">
        <v>19</v>
      </c>
      <c r="F56" t="s">
        <v>141</v>
      </c>
      <c r="G56" t="s">
        <v>184</v>
      </c>
      <c r="H56" s="8">
        <v>3765.86</v>
      </c>
      <c r="I56" s="8">
        <v>344.44</v>
      </c>
      <c r="J56" s="8">
        <v>0.05</v>
      </c>
      <c r="K56" t="str">
        <f>IF(SalesData[[#This Row],[Profit]]&gt;0,"Profit","Loss")</f>
        <v>Profit</v>
      </c>
      <c r="L56" s="8">
        <f>SalesData[[#This Row],[Profit]]/SalesData[[#This Row],[Sales]]</f>
        <v>9.1463835617893383E-2</v>
      </c>
      <c r="M56" t="str">
        <f>TEXT(SalesData[[#This Row],[Order_Date]],"mmm")</f>
        <v>Feb</v>
      </c>
      <c r="N56">
        <f>YEAR(SalesData[[#This Row],[Order_Date]])</f>
        <v>2023</v>
      </c>
    </row>
    <row r="57" spans="1:14" x14ac:dyDescent="0.3">
      <c r="A57" t="s">
        <v>185</v>
      </c>
      <c r="B57" s="1">
        <v>45038</v>
      </c>
      <c r="C57" t="s">
        <v>186</v>
      </c>
      <c r="D57" t="s">
        <v>28</v>
      </c>
      <c r="E57" t="s">
        <v>19</v>
      </c>
      <c r="F57" t="s">
        <v>20</v>
      </c>
      <c r="G57" t="s">
        <v>187</v>
      </c>
      <c r="H57" s="8">
        <v>2206.4499999999998</v>
      </c>
      <c r="I57" s="8">
        <v>50.36</v>
      </c>
      <c r="J57" s="8">
        <v>0.17</v>
      </c>
      <c r="K57" t="str">
        <f>IF(SalesData[[#This Row],[Profit]]&gt;0,"Profit","Loss")</f>
        <v>Profit</v>
      </c>
      <c r="L57" s="8">
        <f>SalesData[[#This Row],[Profit]]/SalesData[[#This Row],[Sales]]</f>
        <v>2.282399329239276E-2</v>
      </c>
      <c r="M57" t="str">
        <f>TEXT(SalesData[[#This Row],[Order_Date]],"mmm")</f>
        <v>Apr</v>
      </c>
      <c r="N57">
        <f>YEAR(SalesData[[#This Row],[Order_Date]])</f>
        <v>2023</v>
      </c>
    </row>
    <row r="58" spans="1:14" x14ac:dyDescent="0.3">
      <c r="A58" t="s">
        <v>188</v>
      </c>
      <c r="B58" s="1">
        <v>44735</v>
      </c>
      <c r="C58" t="s">
        <v>189</v>
      </c>
      <c r="D58" t="s">
        <v>12</v>
      </c>
      <c r="E58" t="s">
        <v>56</v>
      </c>
      <c r="F58" t="s">
        <v>73</v>
      </c>
      <c r="G58" t="s">
        <v>190</v>
      </c>
      <c r="H58" s="8">
        <v>2418.61</v>
      </c>
      <c r="I58" s="8">
        <v>18.420000000000002</v>
      </c>
      <c r="J58" s="8">
        <v>0.27</v>
      </c>
      <c r="K58" t="str">
        <f>IF(SalesData[[#This Row],[Profit]]&gt;0,"Profit","Loss")</f>
        <v>Profit</v>
      </c>
      <c r="L58" s="8">
        <f>SalesData[[#This Row],[Profit]]/SalesData[[#This Row],[Sales]]</f>
        <v>7.6159446955069241E-3</v>
      </c>
      <c r="M58" t="str">
        <f>TEXT(SalesData[[#This Row],[Order_Date]],"mmm")</f>
        <v>Jun</v>
      </c>
      <c r="N58">
        <f>YEAR(SalesData[[#This Row],[Order_Date]])</f>
        <v>2022</v>
      </c>
    </row>
    <row r="59" spans="1:14" x14ac:dyDescent="0.3">
      <c r="A59" t="s">
        <v>191</v>
      </c>
      <c r="B59" s="1">
        <v>44802</v>
      </c>
      <c r="C59" t="s">
        <v>192</v>
      </c>
      <c r="D59" t="s">
        <v>40</v>
      </c>
      <c r="E59" t="s">
        <v>13</v>
      </c>
      <c r="F59" t="s">
        <v>24</v>
      </c>
      <c r="G59" t="s">
        <v>193</v>
      </c>
      <c r="H59" s="8">
        <v>3201.41</v>
      </c>
      <c r="I59" s="8">
        <v>611.64</v>
      </c>
      <c r="J59" s="8">
        <v>0.1</v>
      </c>
      <c r="K59" t="str">
        <f>IF(SalesData[[#This Row],[Profit]]&gt;0,"Profit","Loss")</f>
        <v>Profit</v>
      </c>
      <c r="L59" s="8">
        <f>SalesData[[#This Row],[Profit]]/SalesData[[#This Row],[Sales]]</f>
        <v>0.19105331713213866</v>
      </c>
      <c r="M59" t="str">
        <f>TEXT(SalesData[[#This Row],[Order_Date]],"mmm")</f>
        <v>Aug</v>
      </c>
      <c r="N59">
        <f>YEAR(SalesData[[#This Row],[Order_Date]])</f>
        <v>2022</v>
      </c>
    </row>
    <row r="60" spans="1:14" x14ac:dyDescent="0.3">
      <c r="A60" t="s">
        <v>194</v>
      </c>
      <c r="B60" s="1">
        <v>44636</v>
      </c>
      <c r="C60" t="s">
        <v>195</v>
      </c>
      <c r="D60" t="s">
        <v>28</v>
      </c>
      <c r="E60" t="s">
        <v>56</v>
      </c>
      <c r="F60" t="s">
        <v>57</v>
      </c>
      <c r="G60" t="s">
        <v>196</v>
      </c>
      <c r="H60" s="8">
        <v>219.68</v>
      </c>
      <c r="I60" s="8">
        <v>3.31</v>
      </c>
      <c r="J60" s="8">
        <v>7.0000000000000007E-2</v>
      </c>
      <c r="K60" t="str">
        <f>IF(SalesData[[#This Row],[Profit]]&gt;0,"Profit","Loss")</f>
        <v>Profit</v>
      </c>
      <c r="L60" s="8">
        <f>SalesData[[#This Row],[Profit]]/SalesData[[#This Row],[Sales]]</f>
        <v>1.5067370721048799E-2</v>
      </c>
      <c r="M60" t="str">
        <f>TEXT(SalesData[[#This Row],[Order_Date]],"mmm")</f>
        <v>Mar</v>
      </c>
      <c r="N60">
        <f>YEAR(SalesData[[#This Row],[Order_Date]])</f>
        <v>2022</v>
      </c>
    </row>
    <row r="61" spans="1:14" x14ac:dyDescent="0.3">
      <c r="A61" t="s">
        <v>197</v>
      </c>
      <c r="B61" s="1">
        <v>44811</v>
      </c>
      <c r="C61" t="s">
        <v>198</v>
      </c>
      <c r="D61" t="s">
        <v>12</v>
      </c>
      <c r="E61" t="s">
        <v>13</v>
      </c>
      <c r="F61" t="s">
        <v>24</v>
      </c>
      <c r="G61" t="s">
        <v>199</v>
      </c>
      <c r="H61" s="8">
        <v>1052.73</v>
      </c>
      <c r="I61" s="8">
        <v>-119.35</v>
      </c>
      <c r="J61" s="8">
        <v>0.21</v>
      </c>
      <c r="K61" t="str">
        <f>IF(SalesData[[#This Row],[Profit]]&gt;0,"Profit","Loss")</f>
        <v>Loss</v>
      </c>
      <c r="L61" s="8">
        <f>SalesData[[#This Row],[Profit]]/SalesData[[#This Row],[Sales]]</f>
        <v>-0.11337189972737548</v>
      </c>
      <c r="M61" t="str">
        <f>TEXT(SalesData[[#This Row],[Order_Date]],"mmm")</f>
        <v>Sep</v>
      </c>
      <c r="N61">
        <f>YEAR(SalesData[[#This Row],[Order_Date]])</f>
        <v>2022</v>
      </c>
    </row>
    <row r="62" spans="1:14" x14ac:dyDescent="0.3">
      <c r="A62" t="s">
        <v>200</v>
      </c>
      <c r="B62" s="1">
        <v>45037</v>
      </c>
      <c r="C62" t="s">
        <v>201</v>
      </c>
      <c r="D62" t="s">
        <v>18</v>
      </c>
      <c r="E62" t="s">
        <v>56</v>
      </c>
      <c r="F62" t="s">
        <v>95</v>
      </c>
      <c r="G62" t="s">
        <v>202</v>
      </c>
      <c r="H62" s="8">
        <v>1172.32</v>
      </c>
      <c r="I62" s="8">
        <v>-26.32</v>
      </c>
      <c r="J62" s="8">
        <v>0.24</v>
      </c>
      <c r="K62" t="str">
        <f>IF(SalesData[[#This Row],[Profit]]&gt;0,"Profit","Loss")</f>
        <v>Loss</v>
      </c>
      <c r="L62" s="8">
        <f>SalesData[[#This Row],[Profit]]/SalesData[[#This Row],[Sales]]</f>
        <v>-2.2451207861334789E-2</v>
      </c>
      <c r="M62" t="str">
        <f>TEXT(SalesData[[#This Row],[Order_Date]],"mmm")</f>
        <v>Apr</v>
      </c>
      <c r="N62">
        <f>YEAR(SalesData[[#This Row],[Order_Date]])</f>
        <v>2023</v>
      </c>
    </row>
    <row r="63" spans="1:14" x14ac:dyDescent="0.3">
      <c r="A63" t="s">
        <v>203</v>
      </c>
      <c r="B63" s="1">
        <v>45134</v>
      </c>
      <c r="C63" t="s">
        <v>204</v>
      </c>
      <c r="D63" t="s">
        <v>40</v>
      </c>
      <c r="E63" t="s">
        <v>56</v>
      </c>
      <c r="F63" t="s">
        <v>95</v>
      </c>
      <c r="G63" t="s">
        <v>205</v>
      </c>
      <c r="H63" s="8">
        <v>753.36</v>
      </c>
      <c r="I63" s="8">
        <v>-16.059999999999999</v>
      </c>
      <c r="J63" s="8">
        <v>0.14000000000000001</v>
      </c>
      <c r="K63" t="str">
        <f>IF(SalesData[[#This Row],[Profit]]&gt;0,"Profit","Loss")</f>
        <v>Loss</v>
      </c>
      <c r="L63" s="8">
        <f>SalesData[[#This Row],[Profit]]/SalesData[[#This Row],[Sales]]</f>
        <v>-2.1317829457364337E-2</v>
      </c>
      <c r="M63" t="str">
        <f>TEXT(SalesData[[#This Row],[Order_Date]],"mmm")</f>
        <v>Jul</v>
      </c>
      <c r="N63">
        <f>YEAR(SalesData[[#This Row],[Order_Date]])</f>
        <v>2023</v>
      </c>
    </row>
    <row r="64" spans="1:14" x14ac:dyDescent="0.3">
      <c r="A64" t="s">
        <v>206</v>
      </c>
      <c r="B64" s="1">
        <v>45123</v>
      </c>
      <c r="C64" t="s">
        <v>207</v>
      </c>
      <c r="D64" t="s">
        <v>18</v>
      </c>
      <c r="E64" t="s">
        <v>19</v>
      </c>
      <c r="F64" t="s">
        <v>141</v>
      </c>
      <c r="G64" t="s">
        <v>208</v>
      </c>
      <c r="H64" s="8">
        <v>4093.53</v>
      </c>
      <c r="I64" s="8">
        <v>-875.83</v>
      </c>
      <c r="J64" s="8">
        <v>0.27</v>
      </c>
      <c r="K64" t="str">
        <f>IF(SalesData[[#This Row],[Profit]]&gt;0,"Profit","Loss")</f>
        <v>Loss</v>
      </c>
      <c r="L64" s="8">
        <f>SalesData[[#This Row],[Profit]]/SalesData[[#This Row],[Sales]]</f>
        <v>-0.21395470413066472</v>
      </c>
      <c r="M64" t="str">
        <f>TEXT(SalesData[[#This Row],[Order_Date]],"mmm")</f>
        <v>Jul</v>
      </c>
      <c r="N64">
        <f>YEAR(SalesData[[#This Row],[Order_Date]])</f>
        <v>2023</v>
      </c>
    </row>
    <row r="65" spans="1:14" x14ac:dyDescent="0.3">
      <c r="A65" t="s">
        <v>209</v>
      </c>
      <c r="B65" s="1">
        <v>45095</v>
      </c>
      <c r="C65" t="s">
        <v>210</v>
      </c>
      <c r="D65" t="s">
        <v>18</v>
      </c>
      <c r="E65" t="s">
        <v>19</v>
      </c>
      <c r="F65" t="s">
        <v>29</v>
      </c>
      <c r="G65" t="s">
        <v>211</v>
      </c>
      <c r="H65" s="8">
        <v>1370.04</v>
      </c>
      <c r="I65" s="8">
        <v>154.26</v>
      </c>
      <c r="J65" s="8">
        <v>7.0000000000000007E-2</v>
      </c>
      <c r="K65" t="str">
        <f>IF(SalesData[[#This Row],[Profit]]&gt;0,"Profit","Loss")</f>
        <v>Profit</v>
      </c>
      <c r="L65" s="8">
        <f>SalesData[[#This Row],[Profit]]/SalesData[[#This Row],[Sales]]</f>
        <v>0.11259525269335202</v>
      </c>
      <c r="M65" t="str">
        <f>TEXT(SalesData[[#This Row],[Order_Date]],"mmm")</f>
        <v>Jun</v>
      </c>
      <c r="N65">
        <f>YEAR(SalesData[[#This Row],[Order_Date]])</f>
        <v>2023</v>
      </c>
    </row>
    <row r="66" spans="1:14" x14ac:dyDescent="0.3">
      <c r="A66" t="s">
        <v>212</v>
      </c>
      <c r="B66" s="1">
        <v>45115</v>
      </c>
      <c r="C66" t="s">
        <v>213</v>
      </c>
      <c r="D66" t="s">
        <v>18</v>
      </c>
      <c r="E66" t="s">
        <v>19</v>
      </c>
      <c r="F66" t="s">
        <v>20</v>
      </c>
      <c r="G66" t="s">
        <v>214</v>
      </c>
      <c r="H66" s="8">
        <v>3596.37</v>
      </c>
      <c r="I66" s="8">
        <v>-246.32</v>
      </c>
      <c r="J66" s="8">
        <v>7.0000000000000007E-2</v>
      </c>
      <c r="K66" t="str">
        <f>IF(SalesData[[#This Row],[Profit]]&gt;0,"Profit","Loss")</f>
        <v>Loss</v>
      </c>
      <c r="L66" s="8">
        <f>SalesData[[#This Row],[Profit]]/SalesData[[#This Row],[Sales]]</f>
        <v>-6.8491284267191643E-2</v>
      </c>
      <c r="M66" t="str">
        <f>TEXT(SalesData[[#This Row],[Order_Date]],"mmm")</f>
        <v>Jul</v>
      </c>
      <c r="N66">
        <f>YEAR(SalesData[[#This Row],[Order_Date]])</f>
        <v>2023</v>
      </c>
    </row>
    <row r="67" spans="1:14" x14ac:dyDescent="0.3">
      <c r="A67" t="s">
        <v>215</v>
      </c>
      <c r="B67" s="1">
        <v>44979</v>
      </c>
      <c r="C67" t="s">
        <v>91</v>
      </c>
      <c r="D67" t="s">
        <v>28</v>
      </c>
      <c r="E67" t="s">
        <v>56</v>
      </c>
      <c r="F67" t="s">
        <v>95</v>
      </c>
      <c r="G67" t="s">
        <v>216</v>
      </c>
      <c r="H67" s="8">
        <v>3500.35</v>
      </c>
      <c r="I67" s="8">
        <v>-1300.25</v>
      </c>
      <c r="J67" s="8">
        <v>0.21</v>
      </c>
      <c r="K67" t="str">
        <f>IF(SalesData[[#This Row],[Profit]]&gt;0,"Profit","Loss")</f>
        <v>Loss</v>
      </c>
      <c r="L67" s="8">
        <f>SalesData[[#This Row],[Profit]]/SalesData[[#This Row],[Sales]]</f>
        <v>-0.37146285371462856</v>
      </c>
      <c r="M67" t="str">
        <f>TEXT(SalesData[[#This Row],[Order_Date]],"mmm")</f>
        <v>Feb</v>
      </c>
      <c r="N67">
        <f>YEAR(SalesData[[#This Row],[Order_Date]])</f>
        <v>2023</v>
      </c>
    </row>
    <row r="68" spans="1:14" x14ac:dyDescent="0.3">
      <c r="A68" t="s">
        <v>217</v>
      </c>
      <c r="B68" s="1">
        <v>45274</v>
      </c>
      <c r="C68" t="s">
        <v>218</v>
      </c>
      <c r="D68" t="s">
        <v>28</v>
      </c>
      <c r="E68" t="s">
        <v>56</v>
      </c>
      <c r="F68" t="s">
        <v>57</v>
      </c>
      <c r="G68" t="s">
        <v>219</v>
      </c>
      <c r="H68" s="8">
        <v>4181.17</v>
      </c>
      <c r="I68" s="8">
        <v>593.21</v>
      </c>
      <c r="J68" s="8">
        <v>0.12</v>
      </c>
      <c r="K68" t="str">
        <f>IF(SalesData[[#This Row],[Profit]]&gt;0,"Profit","Loss")</f>
        <v>Profit</v>
      </c>
      <c r="L68" s="8">
        <f>SalesData[[#This Row],[Profit]]/SalesData[[#This Row],[Sales]]</f>
        <v>0.14187655608358427</v>
      </c>
      <c r="M68" t="str">
        <f>TEXT(SalesData[[#This Row],[Order_Date]],"mmm")</f>
        <v>Dec</v>
      </c>
      <c r="N68">
        <f>YEAR(SalesData[[#This Row],[Order_Date]])</f>
        <v>2023</v>
      </c>
    </row>
    <row r="69" spans="1:14" x14ac:dyDescent="0.3">
      <c r="A69" t="s">
        <v>220</v>
      </c>
      <c r="B69" s="1">
        <v>44991</v>
      </c>
      <c r="C69" t="s">
        <v>221</v>
      </c>
      <c r="D69" t="s">
        <v>18</v>
      </c>
      <c r="E69" t="s">
        <v>56</v>
      </c>
      <c r="F69" t="s">
        <v>95</v>
      </c>
      <c r="G69" t="s">
        <v>222</v>
      </c>
      <c r="H69" s="8">
        <v>1563.2</v>
      </c>
      <c r="I69" s="8">
        <v>336.06</v>
      </c>
      <c r="J69" s="8">
        <v>0.12</v>
      </c>
      <c r="K69" t="str">
        <f>IF(SalesData[[#This Row],[Profit]]&gt;0,"Profit","Loss")</f>
        <v>Profit</v>
      </c>
      <c r="L69" s="8">
        <f>SalesData[[#This Row],[Profit]]/SalesData[[#This Row],[Sales]]</f>
        <v>0.21498208802456498</v>
      </c>
      <c r="M69" t="str">
        <f>TEXT(SalesData[[#This Row],[Order_Date]],"mmm")</f>
        <v>Mar</v>
      </c>
      <c r="N69">
        <f>YEAR(SalesData[[#This Row],[Order_Date]])</f>
        <v>2023</v>
      </c>
    </row>
    <row r="70" spans="1:14" x14ac:dyDescent="0.3">
      <c r="A70" t="s">
        <v>223</v>
      </c>
      <c r="B70" s="1">
        <v>45257</v>
      </c>
      <c r="C70" t="s">
        <v>224</v>
      </c>
      <c r="D70" t="s">
        <v>18</v>
      </c>
      <c r="E70" t="s">
        <v>56</v>
      </c>
      <c r="F70" t="s">
        <v>95</v>
      </c>
      <c r="G70" t="s">
        <v>225</v>
      </c>
      <c r="H70" s="8">
        <v>2235.6</v>
      </c>
      <c r="I70" s="8">
        <v>-18.61</v>
      </c>
      <c r="J70" s="8">
        <v>0.01</v>
      </c>
      <c r="K70" t="str">
        <f>IF(SalesData[[#This Row],[Profit]]&gt;0,"Profit","Loss")</f>
        <v>Loss</v>
      </c>
      <c r="L70" s="8">
        <f>SalesData[[#This Row],[Profit]]/SalesData[[#This Row],[Sales]]</f>
        <v>-8.3243871891214884E-3</v>
      </c>
      <c r="M70" t="str">
        <f>TEXT(SalesData[[#This Row],[Order_Date]],"mmm")</f>
        <v>Nov</v>
      </c>
      <c r="N70">
        <f>YEAR(SalesData[[#This Row],[Order_Date]])</f>
        <v>2023</v>
      </c>
    </row>
    <row r="71" spans="1:14" x14ac:dyDescent="0.3">
      <c r="A71" t="s">
        <v>226</v>
      </c>
      <c r="B71" s="1">
        <v>45168</v>
      </c>
      <c r="C71" t="s">
        <v>227</v>
      </c>
      <c r="D71" t="s">
        <v>12</v>
      </c>
      <c r="E71" t="s">
        <v>19</v>
      </c>
      <c r="F71" t="s">
        <v>20</v>
      </c>
      <c r="G71" t="s">
        <v>228</v>
      </c>
      <c r="H71" s="8">
        <v>4905.54</v>
      </c>
      <c r="I71" s="8">
        <v>903.39</v>
      </c>
      <c r="J71" s="8">
        <v>0.16</v>
      </c>
      <c r="K71" t="str">
        <f>IF(SalesData[[#This Row],[Profit]]&gt;0,"Profit","Loss")</f>
        <v>Profit</v>
      </c>
      <c r="L71" s="8">
        <f>SalesData[[#This Row],[Profit]]/SalesData[[#This Row],[Sales]]</f>
        <v>0.1841570958548906</v>
      </c>
      <c r="M71" t="str">
        <f>TEXT(SalesData[[#This Row],[Order_Date]],"mmm")</f>
        <v>Aug</v>
      </c>
      <c r="N71">
        <f>YEAR(SalesData[[#This Row],[Order_Date]])</f>
        <v>2023</v>
      </c>
    </row>
    <row r="72" spans="1:14" x14ac:dyDescent="0.3">
      <c r="A72" t="s">
        <v>229</v>
      </c>
      <c r="B72" s="1">
        <v>44950</v>
      </c>
      <c r="C72" t="s">
        <v>230</v>
      </c>
      <c r="D72" t="s">
        <v>18</v>
      </c>
      <c r="E72" t="s">
        <v>13</v>
      </c>
      <c r="F72" t="s">
        <v>36</v>
      </c>
      <c r="G72" t="s">
        <v>41</v>
      </c>
      <c r="H72" s="8">
        <v>764.93</v>
      </c>
      <c r="I72" s="8">
        <v>-237</v>
      </c>
      <c r="J72" s="8">
        <v>0.14000000000000001</v>
      </c>
      <c r="K72" t="str">
        <f>IF(SalesData[[#This Row],[Profit]]&gt;0,"Profit","Loss")</f>
        <v>Loss</v>
      </c>
      <c r="L72" s="8">
        <f>SalesData[[#This Row],[Profit]]/SalesData[[#This Row],[Sales]]</f>
        <v>-0.30983227223406068</v>
      </c>
      <c r="M72" t="str">
        <f>TEXT(SalesData[[#This Row],[Order_Date]],"mmm")</f>
        <v>Jan</v>
      </c>
      <c r="N72">
        <f>YEAR(SalesData[[#This Row],[Order_Date]])</f>
        <v>2023</v>
      </c>
    </row>
    <row r="73" spans="1:14" x14ac:dyDescent="0.3">
      <c r="A73" t="s">
        <v>231</v>
      </c>
      <c r="B73" s="1">
        <v>44993</v>
      </c>
      <c r="C73" t="s">
        <v>232</v>
      </c>
      <c r="D73" t="s">
        <v>12</v>
      </c>
      <c r="E73" t="s">
        <v>19</v>
      </c>
      <c r="F73" t="s">
        <v>29</v>
      </c>
      <c r="G73" t="s">
        <v>233</v>
      </c>
      <c r="H73" s="8">
        <v>3830.03</v>
      </c>
      <c r="I73" s="8">
        <v>540.82000000000005</v>
      </c>
      <c r="J73" s="8">
        <v>0.11</v>
      </c>
      <c r="K73" t="str">
        <f>IF(SalesData[[#This Row],[Profit]]&gt;0,"Profit","Loss")</f>
        <v>Profit</v>
      </c>
      <c r="L73" s="8">
        <f>SalesData[[#This Row],[Profit]]/SalesData[[#This Row],[Sales]]</f>
        <v>0.14120516027289604</v>
      </c>
      <c r="M73" t="str">
        <f>TEXT(SalesData[[#This Row],[Order_Date]],"mmm")</f>
        <v>Mar</v>
      </c>
      <c r="N73">
        <f>YEAR(SalesData[[#This Row],[Order_Date]])</f>
        <v>2023</v>
      </c>
    </row>
    <row r="74" spans="1:14" x14ac:dyDescent="0.3">
      <c r="A74" t="s">
        <v>234</v>
      </c>
      <c r="B74" s="1">
        <v>45227</v>
      </c>
      <c r="C74" t="s">
        <v>235</v>
      </c>
      <c r="D74" t="s">
        <v>12</v>
      </c>
      <c r="E74" t="s">
        <v>56</v>
      </c>
      <c r="F74" t="s">
        <v>73</v>
      </c>
      <c r="G74" t="s">
        <v>236</v>
      </c>
      <c r="H74" s="8">
        <v>2743.15</v>
      </c>
      <c r="I74" s="8">
        <v>-795.58</v>
      </c>
      <c r="J74" s="8">
        <v>0.3</v>
      </c>
      <c r="K74" t="str">
        <f>IF(SalesData[[#This Row],[Profit]]&gt;0,"Profit","Loss")</f>
        <v>Loss</v>
      </c>
      <c r="L74" s="8">
        <f>SalesData[[#This Row],[Profit]]/SalesData[[#This Row],[Sales]]</f>
        <v>-0.29002424220330641</v>
      </c>
      <c r="M74" t="str">
        <f>TEXT(SalesData[[#This Row],[Order_Date]],"mmm")</f>
        <v>Oct</v>
      </c>
      <c r="N74">
        <f>YEAR(SalesData[[#This Row],[Order_Date]])</f>
        <v>2023</v>
      </c>
    </row>
    <row r="75" spans="1:14" x14ac:dyDescent="0.3">
      <c r="A75" t="s">
        <v>237</v>
      </c>
      <c r="B75" s="1">
        <v>44691</v>
      </c>
      <c r="C75" t="s">
        <v>238</v>
      </c>
      <c r="D75" t="s">
        <v>12</v>
      </c>
      <c r="E75" t="s">
        <v>56</v>
      </c>
      <c r="F75" t="s">
        <v>57</v>
      </c>
      <c r="G75" t="s">
        <v>239</v>
      </c>
      <c r="H75" s="8">
        <v>1076.8699999999999</v>
      </c>
      <c r="I75" s="8">
        <v>-127.69</v>
      </c>
      <c r="J75" s="8">
        <v>0.01</v>
      </c>
      <c r="K75" t="str">
        <f>IF(SalesData[[#This Row],[Profit]]&gt;0,"Profit","Loss")</f>
        <v>Loss</v>
      </c>
      <c r="L75" s="8">
        <f>SalesData[[#This Row],[Profit]]/SalesData[[#This Row],[Sales]]</f>
        <v>-0.11857512977425316</v>
      </c>
      <c r="M75" t="str">
        <f>TEXT(SalesData[[#This Row],[Order_Date]],"mmm")</f>
        <v>May</v>
      </c>
      <c r="N75">
        <f>YEAR(SalesData[[#This Row],[Order_Date]])</f>
        <v>2022</v>
      </c>
    </row>
    <row r="76" spans="1:14" x14ac:dyDescent="0.3">
      <c r="A76" t="s">
        <v>240</v>
      </c>
      <c r="B76" s="1">
        <v>45183</v>
      </c>
      <c r="C76" t="s">
        <v>116</v>
      </c>
      <c r="D76" t="s">
        <v>12</v>
      </c>
      <c r="E76" t="s">
        <v>56</v>
      </c>
      <c r="F76" t="s">
        <v>95</v>
      </c>
      <c r="G76" t="s">
        <v>241</v>
      </c>
      <c r="H76" s="8">
        <v>3527.38</v>
      </c>
      <c r="I76" s="8">
        <v>-1161.6600000000001</v>
      </c>
      <c r="J76" s="8">
        <v>0.23</v>
      </c>
      <c r="K76" t="str">
        <f>IF(SalesData[[#This Row],[Profit]]&gt;0,"Profit","Loss")</f>
        <v>Loss</v>
      </c>
      <c r="L76" s="8">
        <f>SalesData[[#This Row],[Profit]]/SalesData[[#This Row],[Sales]]</f>
        <v>-0.32932658233589807</v>
      </c>
      <c r="M76" t="str">
        <f>TEXT(SalesData[[#This Row],[Order_Date]],"mmm")</f>
        <v>Sep</v>
      </c>
      <c r="N76">
        <f>YEAR(SalesData[[#This Row],[Order_Date]])</f>
        <v>2023</v>
      </c>
    </row>
    <row r="77" spans="1:14" x14ac:dyDescent="0.3">
      <c r="A77" t="s">
        <v>242</v>
      </c>
      <c r="B77" s="1">
        <v>45255</v>
      </c>
      <c r="C77" t="s">
        <v>243</v>
      </c>
      <c r="D77" t="s">
        <v>28</v>
      </c>
      <c r="E77" t="s">
        <v>56</v>
      </c>
      <c r="F77" t="s">
        <v>95</v>
      </c>
      <c r="G77" t="s">
        <v>244</v>
      </c>
      <c r="H77" s="8">
        <v>629.67999999999995</v>
      </c>
      <c r="I77" s="8">
        <v>-14.37</v>
      </c>
      <c r="J77" s="8">
        <v>0.01</v>
      </c>
      <c r="K77" t="str">
        <f>IF(SalesData[[#This Row],[Profit]]&gt;0,"Profit","Loss")</f>
        <v>Loss</v>
      </c>
      <c r="L77" s="8">
        <f>SalesData[[#This Row],[Profit]]/SalesData[[#This Row],[Sales]]</f>
        <v>-2.2821115487231609E-2</v>
      </c>
      <c r="M77" t="str">
        <f>TEXT(SalesData[[#This Row],[Order_Date]],"mmm")</f>
        <v>Nov</v>
      </c>
      <c r="N77">
        <f>YEAR(SalesData[[#This Row],[Order_Date]])</f>
        <v>2023</v>
      </c>
    </row>
    <row r="78" spans="1:14" x14ac:dyDescent="0.3">
      <c r="A78" t="s">
        <v>245</v>
      </c>
      <c r="B78" s="1">
        <v>44666</v>
      </c>
      <c r="C78" t="s">
        <v>113</v>
      </c>
      <c r="D78" t="s">
        <v>40</v>
      </c>
      <c r="E78" t="s">
        <v>13</v>
      </c>
      <c r="F78" t="s">
        <v>14</v>
      </c>
      <c r="G78" t="s">
        <v>119</v>
      </c>
      <c r="H78" s="8">
        <v>472.38</v>
      </c>
      <c r="I78" s="8">
        <v>-15.9</v>
      </c>
      <c r="J78" s="8">
        <v>0.21</v>
      </c>
      <c r="K78" t="str">
        <f>IF(SalesData[[#This Row],[Profit]]&gt;0,"Profit","Loss")</f>
        <v>Loss</v>
      </c>
      <c r="L78" s="8">
        <f>SalesData[[#This Row],[Profit]]/SalesData[[#This Row],[Sales]]</f>
        <v>-3.3659342055125115E-2</v>
      </c>
      <c r="M78" t="str">
        <f>TEXT(SalesData[[#This Row],[Order_Date]],"mmm")</f>
        <v>Apr</v>
      </c>
      <c r="N78">
        <f>YEAR(SalesData[[#This Row],[Order_Date]])</f>
        <v>2022</v>
      </c>
    </row>
    <row r="79" spans="1:14" x14ac:dyDescent="0.3">
      <c r="A79" t="s">
        <v>246</v>
      </c>
      <c r="B79" s="1">
        <v>44604</v>
      </c>
      <c r="C79" t="s">
        <v>247</v>
      </c>
      <c r="D79" t="s">
        <v>28</v>
      </c>
      <c r="E79" t="s">
        <v>13</v>
      </c>
      <c r="F79" t="s">
        <v>24</v>
      </c>
      <c r="G79" t="s">
        <v>248</v>
      </c>
      <c r="H79" s="8">
        <v>4047.09</v>
      </c>
      <c r="I79" s="8">
        <v>-406.49</v>
      </c>
      <c r="J79" s="8">
        <v>0.24</v>
      </c>
      <c r="K79" t="str">
        <f>IF(SalesData[[#This Row],[Profit]]&gt;0,"Profit","Loss")</f>
        <v>Loss</v>
      </c>
      <c r="L79" s="8">
        <f>SalesData[[#This Row],[Profit]]/SalesData[[#This Row],[Sales]]</f>
        <v>-0.10044006928434999</v>
      </c>
      <c r="M79" t="str">
        <f>TEXT(SalesData[[#This Row],[Order_Date]],"mmm")</f>
        <v>Feb</v>
      </c>
      <c r="N79">
        <f>YEAR(SalesData[[#This Row],[Order_Date]])</f>
        <v>2022</v>
      </c>
    </row>
    <row r="80" spans="1:14" x14ac:dyDescent="0.3">
      <c r="A80" t="s">
        <v>249</v>
      </c>
      <c r="B80" s="1">
        <v>45063</v>
      </c>
      <c r="C80" t="s">
        <v>250</v>
      </c>
      <c r="D80" t="s">
        <v>28</v>
      </c>
      <c r="E80" t="s">
        <v>19</v>
      </c>
      <c r="F80" t="s">
        <v>20</v>
      </c>
      <c r="G80" t="s">
        <v>251</v>
      </c>
      <c r="H80" s="8">
        <v>2579.21</v>
      </c>
      <c r="I80" s="8">
        <v>540.98</v>
      </c>
      <c r="J80" s="8">
        <v>0.1</v>
      </c>
      <c r="K80" t="str">
        <f>IF(SalesData[[#This Row],[Profit]]&gt;0,"Profit","Loss")</f>
        <v>Profit</v>
      </c>
      <c r="L80" s="8">
        <f>SalesData[[#This Row],[Profit]]/SalesData[[#This Row],[Sales]]</f>
        <v>0.2097463952140384</v>
      </c>
      <c r="M80" t="str">
        <f>TEXT(SalesData[[#This Row],[Order_Date]],"mmm")</f>
        <v>May</v>
      </c>
      <c r="N80">
        <f>YEAR(SalesData[[#This Row],[Order_Date]])</f>
        <v>2023</v>
      </c>
    </row>
    <row r="81" spans="1:14" x14ac:dyDescent="0.3">
      <c r="A81" t="s">
        <v>252</v>
      </c>
      <c r="B81" s="1">
        <v>44742</v>
      </c>
      <c r="C81" t="s">
        <v>253</v>
      </c>
      <c r="D81" t="s">
        <v>40</v>
      </c>
      <c r="E81" t="s">
        <v>19</v>
      </c>
      <c r="F81" t="s">
        <v>141</v>
      </c>
      <c r="G81" t="s">
        <v>254</v>
      </c>
      <c r="H81" s="8">
        <v>4468.72</v>
      </c>
      <c r="I81" s="8">
        <v>-1109.1600000000001</v>
      </c>
      <c r="J81" s="8">
        <v>0.14000000000000001</v>
      </c>
      <c r="K81" t="str">
        <f>IF(SalesData[[#This Row],[Profit]]&gt;0,"Profit","Loss")</f>
        <v>Loss</v>
      </c>
      <c r="L81" s="8">
        <f>SalesData[[#This Row],[Profit]]/SalesData[[#This Row],[Sales]]</f>
        <v>-0.24820530263699672</v>
      </c>
      <c r="M81" t="str">
        <f>TEXT(SalesData[[#This Row],[Order_Date]],"mmm")</f>
        <v>Jun</v>
      </c>
      <c r="N81">
        <f>YEAR(SalesData[[#This Row],[Order_Date]])</f>
        <v>2022</v>
      </c>
    </row>
    <row r="82" spans="1:14" x14ac:dyDescent="0.3">
      <c r="A82" t="s">
        <v>255</v>
      </c>
      <c r="B82" s="1">
        <v>44892</v>
      </c>
      <c r="C82" t="s">
        <v>256</v>
      </c>
      <c r="D82" t="s">
        <v>12</v>
      </c>
      <c r="E82" t="s">
        <v>13</v>
      </c>
      <c r="F82" t="s">
        <v>36</v>
      </c>
      <c r="G82" t="s">
        <v>257</v>
      </c>
      <c r="H82" s="8">
        <v>2377.88</v>
      </c>
      <c r="I82" s="8">
        <v>-224.75</v>
      </c>
      <c r="J82" s="8">
        <v>0.25</v>
      </c>
      <c r="K82" t="str">
        <f>IF(SalesData[[#This Row],[Profit]]&gt;0,"Profit","Loss")</f>
        <v>Loss</v>
      </c>
      <c r="L82" s="8">
        <f>SalesData[[#This Row],[Profit]]/SalesData[[#This Row],[Sales]]</f>
        <v>-9.4516964691237562E-2</v>
      </c>
      <c r="M82" t="str">
        <f>TEXT(SalesData[[#This Row],[Order_Date]],"mmm")</f>
        <v>Nov</v>
      </c>
      <c r="N82">
        <f>YEAR(SalesData[[#This Row],[Order_Date]])</f>
        <v>2022</v>
      </c>
    </row>
    <row r="83" spans="1:14" x14ac:dyDescent="0.3">
      <c r="A83" t="s">
        <v>258</v>
      </c>
      <c r="B83" s="1">
        <v>44906</v>
      </c>
      <c r="C83" t="s">
        <v>259</v>
      </c>
      <c r="D83" t="s">
        <v>28</v>
      </c>
      <c r="E83" t="s">
        <v>19</v>
      </c>
      <c r="F83" t="s">
        <v>20</v>
      </c>
      <c r="G83" t="s">
        <v>119</v>
      </c>
      <c r="H83" s="8">
        <v>3777.33</v>
      </c>
      <c r="I83" s="8">
        <v>116.77</v>
      </c>
      <c r="J83" s="8">
        <v>0.17</v>
      </c>
      <c r="K83" t="str">
        <f>IF(SalesData[[#This Row],[Profit]]&gt;0,"Profit","Loss")</f>
        <v>Profit</v>
      </c>
      <c r="L83" s="8">
        <f>SalesData[[#This Row],[Profit]]/SalesData[[#This Row],[Sales]]</f>
        <v>3.0913370025917777E-2</v>
      </c>
      <c r="M83" t="str">
        <f>TEXT(SalesData[[#This Row],[Order_Date]],"mmm")</f>
        <v>Dec</v>
      </c>
      <c r="N83">
        <f>YEAR(SalesData[[#This Row],[Order_Date]])</f>
        <v>2022</v>
      </c>
    </row>
    <row r="84" spans="1:14" x14ac:dyDescent="0.3">
      <c r="A84" t="s">
        <v>260</v>
      </c>
      <c r="B84" s="1">
        <v>44848</v>
      </c>
      <c r="C84" t="s">
        <v>261</v>
      </c>
      <c r="D84" t="s">
        <v>40</v>
      </c>
      <c r="E84" t="s">
        <v>19</v>
      </c>
      <c r="F84" t="s">
        <v>20</v>
      </c>
      <c r="G84" t="s">
        <v>262</v>
      </c>
      <c r="H84" s="8">
        <v>2488.9899999999998</v>
      </c>
      <c r="I84" s="8">
        <v>-385.76</v>
      </c>
      <c r="J84" s="8">
        <v>0.11</v>
      </c>
      <c r="K84" t="str">
        <f>IF(SalesData[[#This Row],[Profit]]&gt;0,"Profit","Loss")</f>
        <v>Loss</v>
      </c>
      <c r="L84" s="8">
        <f>SalesData[[#This Row],[Profit]]/SalesData[[#This Row],[Sales]]</f>
        <v>-0.15498656081382409</v>
      </c>
      <c r="M84" t="str">
        <f>TEXT(SalesData[[#This Row],[Order_Date]],"mmm")</f>
        <v>Oct</v>
      </c>
      <c r="N84">
        <f>YEAR(SalesData[[#This Row],[Order_Date]])</f>
        <v>2022</v>
      </c>
    </row>
    <row r="85" spans="1:14" x14ac:dyDescent="0.3">
      <c r="A85" t="s">
        <v>263</v>
      </c>
      <c r="B85" s="1">
        <v>45062</v>
      </c>
      <c r="C85" t="s">
        <v>264</v>
      </c>
      <c r="D85" t="s">
        <v>18</v>
      </c>
      <c r="E85" t="s">
        <v>56</v>
      </c>
      <c r="F85" t="s">
        <v>73</v>
      </c>
      <c r="G85" t="s">
        <v>265</v>
      </c>
      <c r="H85" s="8">
        <v>4745.51</v>
      </c>
      <c r="I85" s="8">
        <v>958.81</v>
      </c>
      <c r="J85" s="8">
        <v>0.03</v>
      </c>
      <c r="K85" t="str">
        <f>IF(SalesData[[#This Row],[Profit]]&gt;0,"Profit","Loss")</f>
        <v>Profit</v>
      </c>
      <c r="L85" s="8">
        <f>SalesData[[#This Row],[Profit]]/SalesData[[#This Row],[Sales]]</f>
        <v>0.20204572322047576</v>
      </c>
      <c r="M85" t="str">
        <f>TEXT(SalesData[[#This Row],[Order_Date]],"mmm")</f>
        <v>May</v>
      </c>
      <c r="N85">
        <f>YEAR(SalesData[[#This Row],[Order_Date]])</f>
        <v>2023</v>
      </c>
    </row>
    <row r="86" spans="1:14" x14ac:dyDescent="0.3">
      <c r="A86" t="s">
        <v>266</v>
      </c>
      <c r="B86" s="1">
        <v>44863</v>
      </c>
      <c r="C86" t="s">
        <v>267</v>
      </c>
      <c r="D86" t="s">
        <v>28</v>
      </c>
      <c r="E86" t="s">
        <v>19</v>
      </c>
      <c r="F86" t="s">
        <v>141</v>
      </c>
      <c r="G86" t="s">
        <v>268</v>
      </c>
      <c r="H86" s="8">
        <v>3588.03</v>
      </c>
      <c r="I86" s="8">
        <v>-1146.93</v>
      </c>
      <c r="J86" s="8">
        <v>0.13</v>
      </c>
      <c r="K86" t="str">
        <f>IF(SalesData[[#This Row],[Profit]]&gt;0,"Profit","Loss")</f>
        <v>Loss</v>
      </c>
      <c r="L86" s="8">
        <f>SalesData[[#This Row],[Profit]]/SalesData[[#This Row],[Sales]]</f>
        <v>-0.31965451793881322</v>
      </c>
      <c r="M86" t="str">
        <f>TEXT(SalesData[[#This Row],[Order_Date]],"mmm")</f>
        <v>Oct</v>
      </c>
      <c r="N86">
        <f>YEAR(SalesData[[#This Row],[Order_Date]])</f>
        <v>2022</v>
      </c>
    </row>
    <row r="87" spans="1:14" x14ac:dyDescent="0.3">
      <c r="A87" t="s">
        <v>269</v>
      </c>
      <c r="B87" s="1">
        <v>44914</v>
      </c>
      <c r="C87" t="s">
        <v>270</v>
      </c>
      <c r="D87" t="s">
        <v>40</v>
      </c>
      <c r="E87" t="s">
        <v>56</v>
      </c>
      <c r="F87" t="s">
        <v>95</v>
      </c>
      <c r="G87" t="s">
        <v>271</v>
      </c>
      <c r="H87" s="8">
        <v>3353.4</v>
      </c>
      <c r="I87" s="8">
        <v>74.06</v>
      </c>
      <c r="J87" s="8">
        <v>0.11</v>
      </c>
      <c r="K87" t="str">
        <f>IF(SalesData[[#This Row],[Profit]]&gt;0,"Profit","Loss")</f>
        <v>Profit</v>
      </c>
      <c r="L87" s="8">
        <f>SalesData[[#This Row],[Profit]]/SalesData[[#This Row],[Sales]]</f>
        <v>2.2085048010973937E-2</v>
      </c>
      <c r="M87" t="str">
        <f>TEXT(SalesData[[#This Row],[Order_Date]],"mmm")</f>
        <v>Dec</v>
      </c>
      <c r="N87">
        <f>YEAR(SalesData[[#This Row],[Order_Date]])</f>
        <v>2022</v>
      </c>
    </row>
    <row r="88" spans="1:14" x14ac:dyDescent="0.3">
      <c r="A88" t="s">
        <v>272</v>
      </c>
      <c r="B88" s="1">
        <v>44759</v>
      </c>
      <c r="C88" t="s">
        <v>124</v>
      </c>
      <c r="D88" t="s">
        <v>12</v>
      </c>
      <c r="E88" t="s">
        <v>13</v>
      </c>
      <c r="F88" t="s">
        <v>36</v>
      </c>
      <c r="G88" t="s">
        <v>208</v>
      </c>
      <c r="H88" s="8">
        <v>1427.49</v>
      </c>
      <c r="I88" s="8">
        <v>-296.36</v>
      </c>
      <c r="J88" s="8">
        <v>0.08</v>
      </c>
      <c r="K88" t="str">
        <f>IF(SalesData[[#This Row],[Profit]]&gt;0,"Profit","Loss")</f>
        <v>Loss</v>
      </c>
      <c r="L88" s="8">
        <f>SalesData[[#This Row],[Profit]]/SalesData[[#This Row],[Sales]]</f>
        <v>-0.20760916013422162</v>
      </c>
      <c r="M88" t="str">
        <f>TEXT(SalesData[[#This Row],[Order_Date]],"mmm")</f>
        <v>Jul</v>
      </c>
      <c r="N88">
        <f>YEAR(SalesData[[#This Row],[Order_Date]])</f>
        <v>2022</v>
      </c>
    </row>
    <row r="89" spans="1:14" x14ac:dyDescent="0.3">
      <c r="A89" t="s">
        <v>273</v>
      </c>
      <c r="B89" s="1">
        <v>45165</v>
      </c>
      <c r="C89" t="s">
        <v>79</v>
      </c>
      <c r="D89" t="s">
        <v>40</v>
      </c>
      <c r="E89" t="s">
        <v>13</v>
      </c>
      <c r="F89" t="s">
        <v>24</v>
      </c>
      <c r="G89" t="s">
        <v>274</v>
      </c>
      <c r="H89" s="8">
        <v>1007.23</v>
      </c>
      <c r="I89" s="8">
        <v>30.74</v>
      </c>
      <c r="J89" s="8">
        <v>0.06</v>
      </c>
      <c r="K89" t="str">
        <f>IF(SalesData[[#This Row],[Profit]]&gt;0,"Profit","Loss")</f>
        <v>Profit</v>
      </c>
      <c r="L89" s="8">
        <f>SalesData[[#This Row],[Profit]]/SalesData[[#This Row],[Sales]]</f>
        <v>3.0519345134676287E-2</v>
      </c>
      <c r="M89" t="str">
        <f>TEXT(SalesData[[#This Row],[Order_Date]],"mmm")</f>
        <v>Aug</v>
      </c>
      <c r="N89">
        <f>YEAR(SalesData[[#This Row],[Order_Date]])</f>
        <v>2023</v>
      </c>
    </row>
    <row r="90" spans="1:14" x14ac:dyDescent="0.3">
      <c r="A90" t="s">
        <v>275</v>
      </c>
      <c r="B90" s="1">
        <v>45108</v>
      </c>
      <c r="C90" t="s">
        <v>276</v>
      </c>
      <c r="D90" t="s">
        <v>40</v>
      </c>
      <c r="E90" t="s">
        <v>56</v>
      </c>
      <c r="F90" t="s">
        <v>95</v>
      </c>
      <c r="G90" t="s">
        <v>37</v>
      </c>
      <c r="H90" s="8">
        <v>1214.67</v>
      </c>
      <c r="I90" s="8">
        <v>-293.36</v>
      </c>
      <c r="J90" s="8">
        <v>0.05</v>
      </c>
      <c r="K90" t="str">
        <f>IF(SalesData[[#This Row],[Profit]]&gt;0,"Profit","Loss")</f>
        <v>Loss</v>
      </c>
      <c r="L90" s="8">
        <f>SalesData[[#This Row],[Profit]]/SalesData[[#This Row],[Sales]]</f>
        <v>-0.24151415610824339</v>
      </c>
      <c r="M90" t="str">
        <f>TEXT(SalesData[[#This Row],[Order_Date]],"mmm")</f>
        <v>Jul</v>
      </c>
      <c r="N90">
        <f>YEAR(SalesData[[#This Row],[Order_Date]])</f>
        <v>2023</v>
      </c>
    </row>
    <row r="91" spans="1:14" x14ac:dyDescent="0.3">
      <c r="A91" t="s">
        <v>277</v>
      </c>
      <c r="B91" s="1">
        <v>45064</v>
      </c>
      <c r="C91" t="s">
        <v>278</v>
      </c>
      <c r="D91" t="s">
        <v>12</v>
      </c>
      <c r="E91" t="s">
        <v>56</v>
      </c>
      <c r="F91" t="s">
        <v>73</v>
      </c>
      <c r="G91" t="s">
        <v>279</v>
      </c>
      <c r="H91" s="8">
        <v>1531.47</v>
      </c>
      <c r="I91" s="8">
        <v>-148.97999999999999</v>
      </c>
      <c r="J91" s="8">
        <v>0.28000000000000003</v>
      </c>
      <c r="K91" t="str">
        <f>IF(SalesData[[#This Row],[Profit]]&gt;0,"Profit","Loss")</f>
        <v>Loss</v>
      </c>
      <c r="L91" s="8">
        <f>SalesData[[#This Row],[Profit]]/SalesData[[#This Row],[Sales]]</f>
        <v>-9.7279084800877574E-2</v>
      </c>
      <c r="M91" t="str">
        <f>TEXT(SalesData[[#This Row],[Order_Date]],"mmm")</f>
        <v>May</v>
      </c>
      <c r="N91">
        <f>YEAR(SalesData[[#This Row],[Order_Date]])</f>
        <v>2023</v>
      </c>
    </row>
    <row r="92" spans="1:14" x14ac:dyDescent="0.3">
      <c r="A92" t="s">
        <v>280</v>
      </c>
      <c r="B92" s="1">
        <v>44820</v>
      </c>
      <c r="C92" t="s">
        <v>281</v>
      </c>
      <c r="D92" t="s">
        <v>12</v>
      </c>
      <c r="E92" t="s">
        <v>19</v>
      </c>
      <c r="F92" t="s">
        <v>29</v>
      </c>
      <c r="G92" t="s">
        <v>282</v>
      </c>
      <c r="H92" s="8">
        <v>2445.6999999999998</v>
      </c>
      <c r="I92" s="8">
        <v>683.08</v>
      </c>
      <c r="J92" s="8">
        <v>0.1</v>
      </c>
      <c r="K92" t="str">
        <f>IF(SalesData[[#This Row],[Profit]]&gt;0,"Profit","Loss")</f>
        <v>Profit</v>
      </c>
      <c r="L92" s="8">
        <f>SalesData[[#This Row],[Profit]]/SalesData[[#This Row],[Sales]]</f>
        <v>0.27929836038761913</v>
      </c>
      <c r="M92" t="str">
        <f>TEXT(SalesData[[#This Row],[Order_Date]],"mmm")</f>
        <v>Sep</v>
      </c>
      <c r="N92">
        <f>YEAR(SalesData[[#This Row],[Order_Date]])</f>
        <v>2022</v>
      </c>
    </row>
    <row r="93" spans="1:14" x14ac:dyDescent="0.3">
      <c r="A93" t="s">
        <v>283</v>
      </c>
      <c r="B93" s="1">
        <v>44717</v>
      </c>
      <c r="C93" t="s">
        <v>284</v>
      </c>
      <c r="D93" t="s">
        <v>40</v>
      </c>
      <c r="E93" t="s">
        <v>56</v>
      </c>
      <c r="F93" t="s">
        <v>95</v>
      </c>
      <c r="G93" t="s">
        <v>285</v>
      </c>
      <c r="H93" s="8">
        <v>2509.56</v>
      </c>
      <c r="I93" s="8">
        <v>105.08</v>
      </c>
      <c r="J93" s="8">
        <v>0.17</v>
      </c>
      <c r="K93" t="str">
        <f>IF(SalesData[[#This Row],[Profit]]&gt;0,"Profit","Loss")</f>
        <v>Profit</v>
      </c>
      <c r="L93" s="8">
        <f>SalesData[[#This Row],[Profit]]/SalesData[[#This Row],[Sales]]</f>
        <v>4.1871881923524444E-2</v>
      </c>
      <c r="M93" t="str">
        <f>TEXT(SalesData[[#This Row],[Order_Date]],"mmm")</f>
        <v>Jun</v>
      </c>
      <c r="N93">
        <f>YEAR(SalesData[[#This Row],[Order_Date]])</f>
        <v>2022</v>
      </c>
    </row>
    <row r="94" spans="1:14" x14ac:dyDescent="0.3">
      <c r="A94" t="s">
        <v>286</v>
      </c>
      <c r="B94" s="1">
        <v>45195</v>
      </c>
      <c r="C94" t="s">
        <v>287</v>
      </c>
      <c r="D94" t="s">
        <v>28</v>
      </c>
      <c r="E94" t="s">
        <v>56</v>
      </c>
      <c r="F94" t="s">
        <v>57</v>
      </c>
      <c r="G94" t="s">
        <v>288</v>
      </c>
      <c r="H94" s="8">
        <v>2834.56</v>
      </c>
      <c r="I94" s="8">
        <v>106.8</v>
      </c>
      <c r="J94" s="8">
        <v>0.12</v>
      </c>
      <c r="K94" t="str">
        <f>IF(SalesData[[#This Row],[Profit]]&gt;0,"Profit","Loss")</f>
        <v>Profit</v>
      </c>
      <c r="L94" s="8">
        <f>SalesData[[#This Row],[Profit]]/SalesData[[#This Row],[Sales]]</f>
        <v>3.7677805373673517E-2</v>
      </c>
      <c r="M94" t="str">
        <f>TEXT(SalesData[[#This Row],[Order_Date]],"mmm")</f>
        <v>Sep</v>
      </c>
      <c r="N94">
        <f>YEAR(SalesData[[#This Row],[Order_Date]])</f>
        <v>2023</v>
      </c>
    </row>
    <row r="95" spans="1:14" x14ac:dyDescent="0.3">
      <c r="A95" t="s">
        <v>289</v>
      </c>
      <c r="B95" s="1">
        <v>45197</v>
      </c>
      <c r="C95" t="s">
        <v>290</v>
      </c>
      <c r="D95" t="s">
        <v>12</v>
      </c>
      <c r="E95" t="s">
        <v>19</v>
      </c>
      <c r="F95" t="s">
        <v>29</v>
      </c>
      <c r="G95" t="s">
        <v>291</v>
      </c>
      <c r="H95" s="8">
        <v>4314.82</v>
      </c>
      <c r="I95" s="8">
        <v>-1366.81</v>
      </c>
      <c r="J95" s="8">
        <v>0.3</v>
      </c>
      <c r="K95" t="str">
        <f>IF(SalesData[[#This Row],[Profit]]&gt;0,"Profit","Loss")</f>
        <v>Loss</v>
      </c>
      <c r="L95" s="8">
        <f>SalesData[[#This Row],[Profit]]/SalesData[[#This Row],[Sales]]</f>
        <v>-0.31677103563995718</v>
      </c>
      <c r="M95" t="str">
        <f>TEXT(SalesData[[#This Row],[Order_Date]],"mmm")</f>
        <v>Sep</v>
      </c>
      <c r="N95">
        <f>YEAR(SalesData[[#This Row],[Order_Date]])</f>
        <v>2023</v>
      </c>
    </row>
    <row r="96" spans="1:14" x14ac:dyDescent="0.3">
      <c r="A96" t="s">
        <v>292</v>
      </c>
      <c r="B96" s="1">
        <v>44739</v>
      </c>
      <c r="C96" t="s">
        <v>293</v>
      </c>
      <c r="D96" t="s">
        <v>12</v>
      </c>
      <c r="E96" t="s">
        <v>56</v>
      </c>
      <c r="F96" t="s">
        <v>73</v>
      </c>
      <c r="G96" t="s">
        <v>294</v>
      </c>
      <c r="H96" s="8">
        <v>1134.02</v>
      </c>
      <c r="I96" s="8">
        <v>-346.74</v>
      </c>
      <c r="J96" s="8">
        <v>0.2</v>
      </c>
      <c r="K96" t="str">
        <f>IF(SalesData[[#This Row],[Profit]]&gt;0,"Profit","Loss")</f>
        <v>Loss</v>
      </c>
      <c r="L96" s="8">
        <f>SalesData[[#This Row],[Profit]]/SalesData[[#This Row],[Sales]]</f>
        <v>-0.30576180314280171</v>
      </c>
      <c r="M96" t="str">
        <f>TEXT(SalesData[[#This Row],[Order_Date]],"mmm")</f>
        <v>Jun</v>
      </c>
      <c r="N96">
        <f>YEAR(SalesData[[#This Row],[Order_Date]])</f>
        <v>2022</v>
      </c>
    </row>
    <row r="97" spans="1:14" x14ac:dyDescent="0.3">
      <c r="A97" t="s">
        <v>295</v>
      </c>
      <c r="B97" s="1">
        <v>44799</v>
      </c>
      <c r="C97" t="s">
        <v>296</v>
      </c>
      <c r="D97" t="s">
        <v>40</v>
      </c>
      <c r="E97" t="s">
        <v>56</v>
      </c>
      <c r="F97" t="s">
        <v>95</v>
      </c>
      <c r="G97" t="s">
        <v>297</v>
      </c>
      <c r="H97" s="8">
        <v>2307.4699999999998</v>
      </c>
      <c r="I97" s="8">
        <v>-473.6</v>
      </c>
      <c r="J97" s="8">
        <v>0.18</v>
      </c>
      <c r="K97" t="str">
        <f>IF(SalesData[[#This Row],[Profit]]&gt;0,"Profit","Loss")</f>
        <v>Loss</v>
      </c>
      <c r="L97" s="8">
        <f>SalesData[[#This Row],[Profit]]/SalesData[[#This Row],[Sales]]</f>
        <v>-0.20524643874026535</v>
      </c>
      <c r="M97" t="str">
        <f>TEXT(SalesData[[#This Row],[Order_Date]],"mmm")</f>
        <v>Aug</v>
      </c>
      <c r="N97">
        <f>YEAR(SalesData[[#This Row],[Order_Date]])</f>
        <v>2022</v>
      </c>
    </row>
    <row r="98" spans="1:14" x14ac:dyDescent="0.3">
      <c r="A98" t="s">
        <v>298</v>
      </c>
      <c r="B98" s="1">
        <v>45202</v>
      </c>
      <c r="C98" t="s">
        <v>299</v>
      </c>
      <c r="D98" t="s">
        <v>18</v>
      </c>
      <c r="E98" t="s">
        <v>19</v>
      </c>
      <c r="F98" t="s">
        <v>20</v>
      </c>
      <c r="G98" t="s">
        <v>300</v>
      </c>
      <c r="H98" s="8">
        <v>3468.19</v>
      </c>
      <c r="I98" s="8">
        <v>-25.33</v>
      </c>
      <c r="J98" s="8">
        <v>0.28000000000000003</v>
      </c>
      <c r="K98" t="str">
        <f>IF(SalesData[[#This Row],[Profit]]&gt;0,"Profit","Loss")</f>
        <v>Loss</v>
      </c>
      <c r="L98" s="8">
        <f>SalesData[[#This Row],[Profit]]/SalesData[[#This Row],[Sales]]</f>
        <v>-7.303521433370143E-3</v>
      </c>
      <c r="M98" t="str">
        <f>TEXT(SalesData[[#This Row],[Order_Date]],"mmm")</f>
        <v>Oct</v>
      </c>
      <c r="N98">
        <f>YEAR(SalesData[[#This Row],[Order_Date]])</f>
        <v>2023</v>
      </c>
    </row>
    <row r="99" spans="1:14" x14ac:dyDescent="0.3">
      <c r="A99" t="s">
        <v>301</v>
      </c>
      <c r="B99" s="1">
        <v>44707</v>
      </c>
      <c r="C99" t="s">
        <v>302</v>
      </c>
      <c r="D99" t="s">
        <v>12</v>
      </c>
      <c r="E99" t="s">
        <v>56</v>
      </c>
      <c r="F99" t="s">
        <v>73</v>
      </c>
      <c r="G99" t="s">
        <v>303</v>
      </c>
      <c r="H99" s="8">
        <v>1201.57</v>
      </c>
      <c r="I99" s="8">
        <v>-96.87</v>
      </c>
      <c r="J99" s="8">
        <v>0.04</v>
      </c>
      <c r="K99" t="str">
        <f>IF(SalesData[[#This Row],[Profit]]&gt;0,"Profit","Loss")</f>
        <v>Loss</v>
      </c>
      <c r="L99" s="8">
        <f>SalesData[[#This Row],[Profit]]/SalesData[[#This Row],[Sales]]</f>
        <v>-8.06195227910151E-2</v>
      </c>
      <c r="M99" t="str">
        <f>TEXT(SalesData[[#This Row],[Order_Date]],"mmm")</f>
        <v>May</v>
      </c>
      <c r="N99">
        <f>YEAR(SalesData[[#This Row],[Order_Date]])</f>
        <v>2022</v>
      </c>
    </row>
    <row r="100" spans="1:14" x14ac:dyDescent="0.3">
      <c r="A100" t="s">
        <v>304</v>
      </c>
      <c r="B100" s="1">
        <v>44689</v>
      </c>
      <c r="C100" t="s">
        <v>305</v>
      </c>
      <c r="D100" t="s">
        <v>40</v>
      </c>
      <c r="E100" t="s">
        <v>19</v>
      </c>
      <c r="F100" t="s">
        <v>141</v>
      </c>
      <c r="G100" t="s">
        <v>306</v>
      </c>
      <c r="H100" s="8">
        <v>3769.89</v>
      </c>
      <c r="I100" s="8">
        <v>-742.04</v>
      </c>
      <c r="J100" s="8">
        <v>0.17</v>
      </c>
      <c r="K100" t="str">
        <f>IF(SalesData[[#This Row],[Profit]]&gt;0,"Profit","Loss")</f>
        <v>Loss</v>
      </c>
      <c r="L100" s="8">
        <f>SalesData[[#This Row],[Profit]]/SalesData[[#This Row],[Sales]]</f>
        <v>-0.1968333293544374</v>
      </c>
      <c r="M100" t="str">
        <f>TEXT(SalesData[[#This Row],[Order_Date]],"mmm")</f>
        <v>May</v>
      </c>
      <c r="N100">
        <f>YEAR(SalesData[[#This Row],[Order_Date]])</f>
        <v>2022</v>
      </c>
    </row>
    <row r="101" spans="1:14" x14ac:dyDescent="0.3">
      <c r="A101" t="s">
        <v>307</v>
      </c>
      <c r="B101" s="1">
        <v>44602</v>
      </c>
      <c r="C101" t="s">
        <v>308</v>
      </c>
      <c r="D101" t="s">
        <v>40</v>
      </c>
      <c r="E101" t="s">
        <v>19</v>
      </c>
      <c r="F101" t="s">
        <v>29</v>
      </c>
      <c r="G101" t="s">
        <v>309</v>
      </c>
      <c r="H101" s="8">
        <v>2552.31</v>
      </c>
      <c r="I101" s="8">
        <v>-770.12</v>
      </c>
      <c r="J101" s="8">
        <v>0.15</v>
      </c>
      <c r="K101" t="str">
        <f>IF(SalesData[[#This Row],[Profit]]&gt;0,"Profit","Loss")</f>
        <v>Loss</v>
      </c>
      <c r="L101" s="8">
        <f>SalesData[[#This Row],[Profit]]/SalesData[[#This Row],[Sales]]</f>
        <v>-0.30173450717193445</v>
      </c>
      <c r="M101" t="str">
        <f>TEXT(SalesData[[#This Row],[Order_Date]],"mmm")</f>
        <v>Feb</v>
      </c>
      <c r="N101">
        <f>YEAR(SalesData[[#This Row],[Order_Date]])</f>
        <v>2022</v>
      </c>
    </row>
    <row r="102" spans="1:14" x14ac:dyDescent="0.3">
      <c r="A102" t="s">
        <v>310</v>
      </c>
      <c r="B102" s="1">
        <v>45151</v>
      </c>
      <c r="C102" t="s">
        <v>311</v>
      </c>
      <c r="D102" t="s">
        <v>12</v>
      </c>
      <c r="E102" t="s">
        <v>19</v>
      </c>
      <c r="F102" t="s">
        <v>20</v>
      </c>
      <c r="G102" t="s">
        <v>312</v>
      </c>
      <c r="H102" s="8">
        <v>547.5</v>
      </c>
      <c r="I102" s="8">
        <v>6.34</v>
      </c>
      <c r="J102" s="8">
        <v>0.28999999999999998</v>
      </c>
      <c r="K102" t="str">
        <f>IF(SalesData[[#This Row],[Profit]]&gt;0,"Profit","Loss")</f>
        <v>Profit</v>
      </c>
      <c r="L102" s="8">
        <f>SalesData[[#This Row],[Profit]]/SalesData[[#This Row],[Sales]]</f>
        <v>1.1579908675799087E-2</v>
      </c>
      <c r="M102" t="str">
        <f>TEXT(SalesData[[#This Row],[Order_Date]],"mmm")</f>
        <v>Aug</v>
      </c>
      <c r="N102">
        <f>YEAR(SalesData[[#This Row],[Order_Date]])</f>
        <v>2023</v>
      </c>
    </row>
    <row r="103" spans="1:14" x14ac:dyDescent="0.3">
      <c r="A103" t="s">
        <v>313</v>
      </c>
      <c r="B103" s="1">
        <v>45093</v>
      </c>
      <c r="C103" t="s">
        <v>314</v>
      </c>
      <c r="D103" t="s">
        <v>28</v>
      </c>
      <c r="E103" t="s">
        <v>13</v>
      </c>
      <c r="F103" t="s">
        <v>36</v>
      </c>
      <c r="G103" t="s">
        <v>202</v>
      </c>
      <c r="H103" s="8">
        <v>2923.61</v>
      </c>
      <c r="I103" s="8">
        <v>-949.84</v>
      </c>
      <c r="J103" s="8">
        <v>0.23</v>
      </c>
      <c r="K103" t="str">
        <f>IF(SalesData[[#This Row],[Profit]]&gt;0,"Profit","Loss")</f>
        <v>Loss</v>
      </c>
      <c r="L103" s="8">
        <f>SalesData[[#This Row],[Profit]]/SalesData[[#This Row],[Sales]]</f>
        <v>-0.32488601420846147</v>
      </c>
      <c r="M103" t="str">
        <f>TEXT(SalesData[[#This Row],[Order_Date]],"mmm")</f>
        <v>Jun</v>
      </c>
      <c r="N103">
        <f>YEAR(SalesData[[#This Row],[Order_Date]])</f>
        <v>2023</v>
      </c>
    </row>
    <row r="104" spans="1:14" x14ac:dyDescent="0.3">
      <c r="A104" t="s">
        <v>315</v>
      </c>
      <c r="B104" s="1">
        <v>44655</v>
      </c>
      <c r="C104" t="s">
        <v>316</v>
      </c>
      <c r="D104" t="s">
        <v>40</v>
      </c>
      <c r="E104" t="s">
        <v>19</v>
      </c>
      <c r="F104" t="s">
        <v>20</v>
      </c>
      <c r="G104" t="s">
        <v>317</v>
      </c>
      <c r="H104" s="8">
        <v>4985.03</v>
      </c>
      <c r="I104" s="8">
        <v>790.36</v>
      </c>
      <c r="J104" s="8">
        <v>0.13</v>
      </c>
      <c r="K104" t="str">
        <f>IF(SalesData[[#This Row],[Profit]]&gt;0,"Profit","Loss")</f>
        <v>Profit</v>
      </c>
      <c r="L104" s="8">
        <f>SalesData[[#This Row],[Profit]]/SalesData[[#This Row],[Sales]]</f>
        <v>0.15854668878622596</v>
      </c>
      <c r="M104" t="str">
        <f>TEXT(SalesData[[#This Row],[Order_Date]],"mmm")</f>
        <v>Apr</v>
      </c>
      <c r="N104">
        <f>YEAR(SalesData[[#This Row],[Order_Date]])</f>
        <v>2022</v>
      </c>
    </row>
    <row r="105" spans="1:14" x14ac:dyDescent="0.3">
      <c r="A105" t="s">
        <v>318</v>
      </c>
      <c r="B105" s="1">
        <v>45272</v>
      </c>
      <c r="C105" t="s">
        <v>319</v>
      </c>
      <c r="D105" t="s">
        <v>40</v>
      </c>
      <c r="E105" t="s">
        <v>19</v>
      </c>
      <c r="F105" t="s">
        <v>29</v>
      </c>
      <c r="G105" t="s">
        <v>320</v>
      </c>
      <c r="H105" s="8">
        <v>3383.65</v>
      </c>
      <c r="I105" s="8">
        <v>-886.91</v>
      </c>
      <c r="J105" s="8">
        <v>0.26</v>
      </c>
      <c r="K105" t="str">
        <f>IF(SalesData[[#This Row],[Profit]]&gt;0,"Profit","Loss")</f>
        <v>Loss</v>
      </c>
      <c r="L105" s="8">
        <f>SalesData[[#This Row],[Profit]]/SalesData[[#This Row],[Sales]]</f>
        <v>-0.26211635364177738</v>
      </c>
      <c r="M105" t="str">
        <f>TEXT(SalesData[[#This Row],[Order_Date]],"mmm")</f>
        <v>Dec</v>
      </c>
      <c r="N105">
        <f>YEAR(SalesData[[#This Row],[Order_Date]])</f>
        <v>2023</v>
      </c>
    </row>
    <row r="106" spans="1:14" x14ac:dyDescent="0.3">
      <c r="A106" t="s">
        <v>321</v>
      </c>
      <c r="B106" s="1">
        <v>44680</v>
      </c>
      <c r="C106" t="s">
        <v>322</v>
      </c>
      <c r="D106" t="s">
        <v>28</v>
      </c>
      <c r="E106" t="s">
        <v>19</v>
      </c>
      <c r="F106" t="s">
        <v>141</v>
      </c>
      <c r="G106" t="s">
        <v>99</v>
      </c>
      <c r="H106" s="8">
        <v>279.82</v>
      </c>
      <c r="I106" s="8">
        <v>-21.98</v>
      </c>
      <c r="J106" s="8">
        <v>0.03</v>
      </c>
      <c r="K106" t="str">
        <f>IF(SalesData[[#This Row],[Profit]]&gt;0,"Profit","Loss")</f>
        <v>Loss</v>
      </c>
      <c r="L106" s="8">
        <f>SalesData[[#This Row],[Profit]]/SalesData[[#This Row],[Sales]]</f>
        <v>-7.8550496747909371E-2</v>
      </c>
      <c r="M106" t="str">
        <f>TEXT(SalesData[[#This Row],[Order_Date]],"mmm")</f>
        <v>Apr</v>
      </c>
      <c r="N106">
        <f>YEAR(SalesData[[#This Row],[Order_Date]])</f>
        <v>2022</v>
      </c>
    </row>
    <row r="107" spans="1:14" x14ac:dyDescent="0.3">
      <c r="A107" t="s">
        <v>323</v>
      </c>
      <c r="B107" s="1">
        <v>44754</v>
      </c>
      <c r="C107" t="s">
        <v>324</v>
      </c>
      <c r="D107" t="s">
        <v>40</v>
      </c>
      <c r="E107" t="s">
        <v>13</v>
      </c>
      <c r="F107" t="s">
        <v>14</v>
      </c>
      <c r="G107" t="s">
        <v>325</v>
      </c>
      <c r="H107" s="8">
        <v>3322.54</v>
      </c>
      <c r="I107" s="8">
        <v>-372.3</v>
      </c>
      <c r="J107" s="8">
        <v>0.16</v>
      </c>
      <c r="K107" t="str">
        <f>IF(SalesData[[#This Row],[Profit]]&gt;0,"Profit","Loss")</f>
        <v>Loss</v>
      </c>
      <c r="L107" s="8">
        <f>SalesData[[#This Row],[Profit]]/SalesData[[#This Row],[Sales]]</f>
        <v>-0.11205282705400085</v>
      </c>
      <c r="M107" t="str">
        <f>TEXT(SalesData[[#This Row],[Order_Date]],"mmm")</f>
        <v>Jul</v>
      </c>
      <c r="N107">
        <f>YEAR(SalesData[[#This Row],[Order_Date]])</f>
        <v>2022</v>
      </c>
    </row>
    <row r="108" spans="1:14" x14ac:dyDescent="0.3">
      <c r="A108" t="s">
        <v>326</v>
      </c>
      <c r="B108" s="1">
        <v>44696</v>
      </c>
      <c r="C108" t="s">
        <v>327</v>
      </c>
      <c r="D108" t="s">
        <v>28</v>
      </c>
      <c r="E108" t="s">
        <v>19</v>
      </c>
      <c r="F108" t="s">
        <v>141</v>
      </c>
      <c r="G108" t="s">
        <v>328</v>
      </c>
      <c r="H108" s="8">
        <v>2266</v>
      </c>
      <c r="I108" s="8">
        <v>-135.43</v>
      </c>
      <c r="J108" s="8">
        <v>0.02</v>
      </c>
      <c r="K108" t="str">
        <f>IF(SalesData[[#This Row],[Profit]]&gt;0,"Profit","Loss")</f>
        <v>Loss</v>
      </c>
      <c r="L108" s="8">
        <f>SalesData[[#This Row],[Profit]]/SalesData[[#This Row],[Sales]]</f>
        <v>-5.9766107678729044E-2</v>
      </c>
      <c r="M108" t="str">
        <f>TEXT(SalesData[[#This Row],[Order_Date]],"mmm")</f>
        <v>May</v>
      </c>
      <c r="N108">
        <f>YEAR(SalesData[[#This Row],[Order_Date]])</f>
        <v>2022</v>
      </c>
    </row>
    <row r="109" spans="1:14" x14ac:dyDescent="0.3">
      <c r="A109" t="s">
        <v>329</v>
      </c>
      <c r="B109" s="1">
        <v>44807</v>
      </c>
      <c r="C109" t="s">
        <v>330</v>
      </c>
      <c r="D109" t="s">
        <v>18</v>
      </c>
      <c r="E109" t="s">
        <v>13</v>
      </c>
      <c r="F109" t="s">
        <v>36</v>
      </c>
      <c r="G109" t="s">
        <v>331</v>
      </c>
      <c r="H109" s="8">
        <v>694.99</v>
      </c>
      <c r="I109" s="8">
        <v>-86.65</v>
      </c>
      <c r="J109" s="8">
        <v>0.28999999999999998</v>
      </c>
      <c r="K109" t="str">
        <f>IF(SalesData[[#This Row],[Profit]]&gt;0,"Profit","Loss")</f>
        <v>Loss</v>
      </c>
      <c r="L109" s="8">
        <f>SalesData[[#This Row],[Profit]]/SalesData[[#This Row],[Sales]]</f>
        <v>-0.12467805292162477</v>
      </c>
      <c r="M109" t="str">
        <f>TEXT(SalesData[[#This Row],[Order_Date]],"mmm")</f>
        <v>Sep</v>
      </c>
      <c r="N109">
        <f>YEAR(SalesData[[#This Row],[Order_Date]])</f>
        <v>2022</v>
      </c>
    </row>
    <row r="110" spans="1:14" x14ac:dyDescent="0.3">
      <c r="A110" t="s">
        <v>332</v>
      </c>
      <c r="B110" s="1">
        <v>44678</v>
      </c>
      <c r="C110" t="s">
        <v>333</v>
      </c>
      <c r="D110" t="s">
        <v>12</v>
      </c>
      <c r="E110" t="s">
        <v>13</v>
      </c>
      <c r="F110" t="s">
        <v>14</v>
      </c>
      <c r="G110" t="s">
        <v>334</v>
      </c>
      <c r="H110" s="8">
        <v>2806.03</v>
      </c>
      <c r="I110" s="8">
        <v>1025.2</v>
      </c>
      <c r="J110" s="8">
        <v>0.03</v>
      </c>
      <c r="K110" t="str">
        <f>IF(SalesData[[#This Row],[Profit]]&gt;0,"Profit","Loss")</f>
        <v>Profit</v>
      </c>
      <c r="L110" s="8">
        <f>SalesData[[#This Row],[Profit]]/SalesData[[#This Row],[Sales]]</f>
        <v>0.365356036820704</v>
      </c>
      <c r="M110" t="str">
        <f>TEXT(SalesData[[#This Row],[Order_Date]],"mmm")</f>
        <v>Apr</v>
      </c>
      <c r="N110">
        <f>YEAR(SalesData[[#This Row],[Order_Date]])</f>
        <v>2022</v>
      </c>
    </row>
    <row r="111" spans="1:14" x14ac:dyDescent="0.3">
      <c r="A111" t="s">
        <v>335</v>
      </c>
      <c r="B111" s="1">
        <v>44987</v>
      </c>
      <c r="C111" t="s">
        <v>336</v>
      </c>
      <c r="D111" t="s">
        <v>28</v>
      </c>
      <c r="E111" t="s">
        <v>56</v>
      </c>
      <c r="F111" t="s">
        <v>95</v>
      </c>
      <c r="G111" t="s">
        <v>96</v>
      </c>
      <c r="H111" s="8">
        <v>4670</v>
      </c>
      <c r="I111" s="8">
        <v>622.26</v>
      </c>
      <c r="J111" s="8">
        <v>0.09</v>
      </c>
      <c r="K111" t="str">
        <f>IF(SalesData[[#This Row],[Profit]]&gt;0,"Profit","Loss")</f>
        <v>Profit</v>
      </c>
      <c r="L111" s="8">
        <f>SalesData[[#This Row],[Profit]]/SalesData[[#This Row],[Sales]]</f>
        <v>0.13324625267665952</v>
      </c>
      <c r="M111" t="str">
        <f>TEXT(SalesData[[#This Row],[Order_Date]],"mmm")</f>
        <v>Mar</v>
      </c>
      <c r="N111">
        <f>YEAR(SalesData[[#This Row],[Order_Date]])</f>
        <v>2023</v>
      </c>
    </row>
    <row r="112" spans="1:14" x14ac:dyDescent="0.3">
      <c r="A112" t="s">
        <v>337</v>
      </c>
      <c r="B112" s="1">
        <v>44701</v>
      </c>
      <c r="C112" t="s">
        <v>338</v>
      </c>
      <c r="D112" t="s">
        <v>40</v>
      </c>
      <c r="E112" t="s">
        <v>19</v>
      </c>
      <c r="F112" t="s">
        <v>141</v>
      </c>
      <c r="G112" t="s">
        <v>339</v>
      </c>
      <c r="H112" s="8">
        <v>808.75</v>
      </c>
      <c r="I112" s="8">
        <v>80.569999999999993</v>
      </c>
      <c r="J112" s="8">
        <v>0.06</v>
      </c>
      <c r="K112" t="str">
        <f>IF(SalesData[[#This Row],[Profit]]&gt;0,"Profit","Loss")</f>
        <v>Profit</v>
      </c>
      <c r="L112" s="8">
        <f>SalesData[[#This Row],[Profit]]/SalesData[[#This Row],[Sales]]</f>
        <v>9.9622874806800613E-2</v>
      </c>
      <c r="M112" t="str">
        <f>TEXT(SalesData[[#This Row],[Order_Date]],"mmm")</f>
        <v>May</v>
      </c>
      <c r="N112">
        <f>YEAR(SalesData[[#This Row],[Order_Date]])</f>
        <v>2022</v>
      </c>
    </row>
    <row r="113" spans="1:14" x14ac:dyDescent="0.3">
      <c r="A113" t="s">
        <v>340</v>
      </c>
      <c r="B113" s="1">
        <v>44851</v>
      </c>
      <c r="C113" t="s">
        <v>341</v>
      </c>
      <c r="D113" t="s">
        <v>40</v>
      </c>
      <c r="E113" t="s">
        <v>19</v>
      </c>
      <c r="F113" t="s">
        <v>29</v>
      </c>
      <c r="G113" t="s">
        <v>342</v>
      </c>
      <c r="H113" s="8">
        <v>4677.82</v>
      </c>
      <c r="I113" s="8">
        <v>665.79</v>
      </c>
      <c r="J113" s="8">
        <v>0.15</v>
      </c>
      <c r="K113" t="str">
        <f>IF(SalesData[[#This Row],[Profit]]&gt;0,"Profit","Loss")</f>
        <v>Profit</v>
      </c>
      <c r="L113" s="8">
        <f>SalesData[[#This Row],[Profit]]/SalesData[[#This Row],[Sales]]</f>
        <v>0.1423291191195899</v>
      </c>
      <c r="M113" t="str">
        <f>TEXT(SalesData[[#This Row],[Order_Date]],"mmm")</f>
        <v>Oct</v>
      </c>
      <c r="N113">
        <f>YEAR(SalesData[[#This Row],[Order_Date]])</f>
        <v>2022</v>
      </c>
    </row>
    <row r="114" spans="1:14" x14ac:dyDescent="0.3">
      <c r="A114" t="s">
        <v>343</v>
      </c>
      <c r="B114" s="1">
        <v>45113</v>
      </c>
      <c r="C114" t="s">
        <v>344</v>
      </c>
      <c r="D114" t="s">
        <v>40</v>
      </c>
      <c r="E114" t="s">
        <v>13</v>
      </c>
      <c r="F114" t="s">
        <v>24</v>
      </c>
      <c r="G114" t="s">
        <v>345</v>
      </c>
      <c r="H114" s="8">
        <v>4994.62</v>
      </c>
      <c r="I114" s="8">
        <v>-1302.81</v>
      </c>
      <c r="J114" s="8">
        <v>0.15</v>
      </c>
      <c r="K114" t="str">
        <f>IF(SalesData[[#This Row],[Profit]]&gt;0,"Profit","Loss")</f>
        <v>Loss</v>
      </c>
      <c r="L114" s="8">
        <f>SalesData[[#This Row],[Profit]]/SalesData[[#This Row],[Sales]]</f>
        <v>-0.26084266670937928</v>
      </c>
      <c r="M114" t="str">
        <f>TEXT(SalesData[[#This Row],[Order_Date]],"mmm")</f>
        <v>Jul</v>
      </c>
      <c r="N114">
        <f>YEAR(SalesData[[#This Row],[Order_Date]])</f>
        <v>2023</v>
      </c>
    </row>
    <row r="115" spans="1:14" x14ac:dyDescent="0.3">
      <c r="A115" t="s">
        <v>346</v>
      </c>
      <c r="B115" s="1">
        <v>45276</v>
      </c>
      <c r="C115" t="s">
        <v>347</v>
      </c>
      <c r="D115" t="s">
        <v>28</v>
      </c>
      <c r="E115" t="s">
        <v>13</v>
      </c>
      <c r="F115" t="s">
        <v>24</v>
      </c>
      <c r="G115" t="s">
        <v>348</v>
      </c>
      <c r="H115" s="8">
        <v>1948.33</v>
      </c>
      <c r="I115" s="8">
        <v>81.36</v>
      </c>
      <c r="J115" s="8">
        <v>0.28000000000000003</v>
      </c>
      <c r="K115" t="str">
        <f>IF(SalesData[[#This Row],[Profit]]&gt;0,"Profit","Loss")</f>
        <v>Profit</v>
      </c>
      <c r="L115" s="8">
        <f>SalesData[[#This Row],[Profit]]/SalesData[[#This Row],[Sales]]</f>
        <v>4.1758839621624674E-2</v>
      </c>
      <c r="M115" t="str">
        <f>TEXT(SalesData[[#This Row],[Order_Date]],"mmm")</f>
        <v>Dec</v>
      </c>
      <c r="N115">
        <f>YEAR(SalesData[[#This Row],[Order_Date]])</f>
        <v>2023</v>
      </c>
    </row>
    <row r="116" spans="1:14" x14ac:dyDescent="0.3">
      <c r="A116" t="s">
        <v>349</v>
      </c>
      <c r="B116" s="1">
        <v>44952</v>
      </c>
      <c r="C116" t="s">
        <v>350</v>
      </c>
      <c r="D116" t="s">
        <v>18</v>
      </c>
      <c r="E116" t="s">
        <v>19</v>
      </c>
      <c r="F116" t="s">
        <v>20</v>
      </c>
      <c r="G116" t="s">
        <v>351</v>
      </c>
      <c r="H116" s="8">
        <v>1659.06</v>
      </c>
      <c r="I116" s="8">
        <v>345.18</v>
      </c>
      <c r="J116" s="8">
        <v>0.14000000000000001</v>
      </c>
      <c r="K116" t="str">
        <f>IF(SalesData[[#This Row],[Profit]]&gt;0,"Profit","Loss")</f>
        <v>Profit</v>
      </c>
      <c r="L116" s="8">
        <f>SalesData[[#This Row],[Profit]]/SalesData[[#This Row],[Sales]]</f>
        <v>0.20805757477125603</v>
      </c>
      <c r="M116" t="str">
        <f>TEXT(SalesData[[#This Row],[Order_Date]],"mmm")</f>
        <v>Jan</v>
      </c>
      <c r="N116">
        <f>YEAR(SalesData[[#This Row],[Order_Date]])</f>
        <v>2023</v>
      </c>
    </row>
    <row r="117" spans="1:14" x14ac:dyDescent="0.3">
      <c r="A117" t="s">
        <v>352</v>
      </c>
      <c r="B117" s="1">
        <v>45012</v>
      </c>
      <c r="C117" t="s">
        <v>353</v>
      </c>
      <c r="D117" t="s">
        <v>28</v>
      </c>
      <c r="E117" t="s">
        <v>56</v>
      </c>
      <c r="F117" t="s">
        <v>57</v>
      </c>
      <c r="G117" t="s">
        <v>354</v>
      </c>
      <c r="H117" s="8">
        <v>2561.23</v>
      </c>
      <c r="I117" s="8">
        <v>363.23</v>
      </c>
      <c r="J117" s="8">
        <v>0.18</v>
      </c>
      <c r="K117" t="str">
        <f>IF(SalesData[[#This Row],[Profit]]&gt;0,"Profit","Loss")</f>
        <v>Profit</v>
      </c>
      <c r="L117" s="8">
        <f>SalesData[[#This Row],[Profit]]/SalesData[[#This Row],[Sales]]</f>
        <v>0.1418185793544508</v>
      </c>
      <c r="M117" t="str">
        <f>TEXT(SalesData[[#This Row],[Order_Date]],"mmm")</f>
        <v>Mar</v>
      </c>
      <c r="N117">
        <f>YEAR(SalesData[[#This Row],[Order_Date]])</f>
        <v>2023</v>
      </c>
    </row>
    <row r="118" spans="1:14" x14ac:dyDescent="0.3">
      <c r="A118" t="s">
        <v>355</v>
      </c>
      <c r="B118" s="1">
        <v>45042</v>
      </c>
      <c r="C118" t="s">
        <v>356</v>
      </c>
      <c r="D118" t="s">
        <v>40</v>
      </c>
      <c r="E118" t="s">
        <v>13</v>
      </c>
      <c r="F118" t="s">
        <v>14</v>
      </c>
      <c r="G118" t="s">
        <v>357</v>
      </c>
      <c r="H118" s="8">
        <v>2108.9</v>
      </c>
      <c r="I118" s="8">
        <v>-648.24</v>
      </c>
      <c r="J118" s="8">
        <v>0.2</v>
      </c>
      <c r="K118" t="str">
        <f>IF(SalesData[[#This Row],[Profit]]&gt;0,"Profit","Loss")</f>
        <v>Loss</v>
      </c>
      <c r="L118" s="8">
        <f>SalesData[[#This Row],[Profit]]/SalesData[[#This Row],[Sales]]</f>
        <v>-0.30738299587462659</v>
      </c>
      <c r="M118" t="str">
        <f>TEXT(SalesData[[#This Row],[Order_Date]],"mmm")</f>
        <v>Apr</v>
      </c>
      <c r="N118">
        <f>YEAR(SalesData[[#This Row],[Order_Date]])</f>
        <v>2023</v>
      </c>
    </row>
    <row r="119" spans="1:14" x14ac:dyDescent="0.3">
      <c r="A119" t="s">
        <v>358</v>
      </c>
      <c r="B119" s="1">
        <v>45108</v>
      </c>
      <c r="C119" t="s">
        <v>39</v>
      </c>
      <c r="D119" t="s">
        <v>40</v>
      </c>
      <c r="E119" t="s">
        <v>13</v>
      </c>
      <c r="F119" t="s">
        <v>36</v>
      </c>
      <c r="G119" t="s">
        <v>359</v>
      </c>
      <c r="H119" s="8">
        <v>3284.2</v>
      </c>
      <c r="I119" s="8">
        <v>168.82</v>
      </c>
      <c r="J119" s="8">
        <v>0.26</v>
      </c>
      <c r="K119" t="str">
        <f>IF(SalesData[[#This Row],[Profit]]&gt;0,"Profit","Loss")</f>
        <v>Profit</v>
      </c>
      <c r="L119" s="8">
        <f>SalesData[[#This Row],[Profit]]/SalesData[[#This Row],[Sales]]</f>
        <v>5.1403690396443581E-2</v>
      </c>
      <c r="M119" t="str">
        <f>TEXT(SalesData[[#This Row],[Order_Date]],"mmm")</f>
        <v>Jul</v>
      </c>
      <c r="N119">
        <f>YEAR(SalesData[[#This Row],[Order_Date]])</f>
        <v>2023</v>
      </c>
    </row>
    <row r="120" spans="1:14" x14ac:dyDescent="0.3">
      <c r="A120" t="s">
        <v>360</v>
      </c>
      <c r="B120" s="1">
        <v>45208</v>
      </c>
      <c r="C120" t="s">
        <v>361</v>
      </c>
      <c r="D120" t="s">
        <v>40</v>
      </c>
      <c r="E120" t="s">
        <v>13</v>
      </c>
      <c r="F120" t="s">
        <v>36</v>
      </c>
      <c r="G120" t="s">
        <v>362</v>
      </c>
      <c r="H120" s="8">
        <v>4374.68</v>
      </c>
      <c r="I120" s="8">
        <v>-739.09</v>
      </c>
      <c r="J120" s="8">
        <v>0.01</v>
      </c>
      <c r="K120" t="str">
        <f>IF(SalesData[[#This Row],[Profit]]&gt;0,"Profit","Loss")</f>
        <v>Loss</v>
      </c>
      <c r="L120" s="8">
        <f>SalesData[[#This Row],[Profit]]/SalesData[[#This Row],[Sales]]</f>
        <v>-0.16894721442482649</v>
      </c>
      <c r="M120" t="str">
        <f>TEXT(SalesData[[#This Row],[Order_Date]],"mmm")</f>
        <v>Oct</v>
      </c>
      <c r="N120">
        <f>YEAR(SalesData[[#This Row],[Order_Date]])</f>
        <v>2023</v>
      </c>
    </row>
    <row r="121" spans="1:14" x14ac:dyDescent="0.3">
      <c r="A121" t="s">
        <v>363</v>
      </c>
      <c r="B121" s="1">
        <v>44664</v>
      </c>
      <c r="C121" t="s">
        <v>364</v>
      </c>
      <c r="D121" t="s">
        <v>18</v>
      </c>
      <c r="E121" t="s">
        <v>13</v>
      </c>
      <c r="F121" t="s">
        <v>14</v>
      </c>
      <c r="G121" t="s">
        <v>365</v>
      </c>
      <c r="H121" s="8">
        <v>2226.46</v>
      </c>
      <c r="I121" s="8">
        <v>334.52</v>
      </c>
      <c r="J121" s="8">
        <v>0.03</v>
      </c>
      <c r="K121" t="str">
        <f>IF(SalesData[[#This Row],[Profit]]&gt;0,"Profit","Loss")</f>
        <v>Profit</v>
      </c>
      <c r="L121" s="8">
        <f>SalesData[[#This Row],[Profit]]/SalesData[[#This Row],[Sales]]</f>
        <v>0.15024747805934083</v>
      </c>
      <c r="M121" t="str">
        <f>TEXT(SalesData[[#This Row],[Order_Date]],"mmm")</f>
        <v>Apr</v>
      </c>
      <c r="N121">
        <f>YEAR(SalesData[[#This Row],[Order_Date]])</f>
        <v>2022</v>
      </c>
    </row>
    <row r="122" spans="1:14" x14ac:dyDescent="0.3">
      <c r="A122" t="s">
        <v>366</v>
      </c>
      <c r="B122" s="1">
        <v>44945</v>
      </c>
      <c r="C122" t="s">
        <v>367</v>
      </c>
      <c r="D122" t="s">
        <v>18</v>
      </c>
      <c r="E122" t="s">
        <v>19</v>
      </c>
      <c r="F122" t="s">
        <v>20</v>
      </c>
      <c r="G122" t="s">
        <v>368</v>
      </c>
      <c r="H122" s="8">
        <v>325.36</v>
      </c>
      <c r="I122" s="8">
        <v>-85.89</v>
      </c>
      <c r="J122" s="8">
        <v>0.24</v>
      </c>
      <c r="K122" t="str">
        <f>IF(SalesData[[#This Row],[Profit]]&gt;0,"Profit","Loss")</f>
        <v>Loss</v>
      </c>
      <c r="L122" s="8">
        <f>SalesData[[#This Row],[Profit]]/SalesData[[#This Row],[Sales]]</f>
        <v>-0.26398450946643714</v>
      </c>
      <c r="M122" t="str">
        <f>TEXT(SalesData[[#This Row],[Order_Date]],"mmm")</f>
        <v>Jan</v>
      </c>
      <c r="N122">
        <f>YEAR(SalesData[[#This Row],[Order_Date]])</f>
        <v>2023</v>
      </c>
    </row>
    <row r="123" spans="1:14" x14ac:dyDescent="0.3">
      <c r="A123" t="s">
        <v>369</v>
      </c>
      <c r="B123" s="1">
        <v>44642</v>
      </c>
      <c r="C123" t="s">
        <v>370</v>
      </c>
      <c r="D123" t="s">
        <v>28</v>
      </c>
      <c r="E123" t="s">
        <v>13</v>
      </c>
      <c r="F123" t="s">
        <v>36</v>
      </c>
      <c r="G123" t="s">
        <v>371</v>
      </c>
      <c r="H123" s="8">
        <v>2873.05</v>
      </c>
      <c r="I123" s="8">
        <v>-971.12</v>
      </c>
      <c r="J123" s="8">
        <v>0.24</v>
      </c>
      <c r="K123" t="str">
        <f>IF(SalesData[[#This Row],[Profit]]&gt;0,"Profit","Loss")</f>
        <v>Loss</v>
      </c>
      <c r="L123" s="8">
        <f>SalesData[[#This Row],[Profit]]/SalesData[[#This Row],[Sales]]</f>
        <v>-0.33801012860896956</v>
      </c>
      <c r="M123" t="str">
        <f>TEXT(SalesData[[#This Row],[Order_Date]],"mmm")</f>
        <v>Mar</v>
      </c>
      <c r="N123">
        <f>YEAR(SalesData[[#This Row],[Order_Date]])</f>
        <v>2022</v>
      </c>
    </row>
    <row r="124" spans="1:14" x14ac:dyDescent="0.3">
      <c r="A124" t="s">
        <v>372</v>
      </c>
      <c r="B124" s="1">
        <v>45215</v>
      </c>
      <c r="C124" t="s">
        <v>373</v>
      </c>
      <c r="D124" t="s">
        <v>28</v>
      </c>
      <c r="E124" t="s">
        <v>13</v>
      </c>
      <c r="F124" t="s">
        <v>14</v>
      </c>
      <c r="G124" t="s">
        <v>374</v>
      </c>
      <c r="H124" s="8">
        <v>2538.5700000000002</v>
      </c>
      <c r="I124" s="8">
        <v>-585.61</v>
      </c>
      <c r="J124" s="8">
        <v>0.17</v>
      </c>
      <c r="K124" t="str">
        <f>IF(SalesData[[#This Row],[Profit]]&gt;0,"Profit","Loss")</f>
        <v>Loss</v>
      </c>
      <c r="L124" s="8">
        <f>SalesData[[#This Row],[Profit]]/SalesData[[#This Row],[Sales]]</f>
        <v>-0.23068499194428357</v>
      </c>
      <c r="M124" t="str">
        <f>TEXT(SalesData[[#This Row],[Order_Date]],"mmm")</f>
        <v>Oct</v>
      </c>
      <c r="N124">
        <f>YEAR(SalesData[[#This Row],[Order_Date]])</f>
        <v>2023</v>
      </c>
    </row>
    <row r="125" spans="1:14" x14ac:dyDescent="0.3">
      <c r="A125" t="s">
        <v>375</v>
      </c>
      <c r="B125" s="1">
        <v>45121</v>
      </c>
      <c r="C125" t="s">
        <v>376</v>
      </c>
      <c r="D125" t="s">
        <v>12</v>
      </c>
      <c r="E125" t="s">
        <v>13</v>
      </c>
      <c r="F125" t="s">
        <v>14</v>
      </c>
      <c r="G125" t="s">
        <v>377</v>
      </c>
      <c r="H125" s="8">
        <v>4504.6499999999996</v>
      </c>
      <c r="I125" s="8">
        <v>-754.17</v>
      </c>
      <c r="J125" s="8">
        <v>0.14000000000000001</v>
      </c>
      <c r="K125" t="str">
        <f>IF(SalesData[[#This Row],[Profit]]&gt;0,"Profit","Loss")</f>
        <v>Loss</v>
      </c>
      <c r="L125" s="8">
        <f>SalesData[[#This Row],[Profit]]/SalesData[[#This Row],[Sales]]</f>
        <v>-0.16742033232326597</v>
      </c>
      <c r="M125" t="str">
        <f>TEXT(SalesData[[#This Row],[Order_Date]],"mmm")</f>
        <v>Jul</v>
      </c>
      <c r="N125">
        <f>YEAR(SalesData[[#This Row],[Order_Date]])</f>
        <v>2023</v>
      </c>
    </row>
    <row r="126" spans="1:14" x14ac:dyDescent="0.3">
      <c r="A126" t="s">
        <v>378</v>
      </c>
      <c r="B126" s="1">
        <v>45029</v>
      </c>
      <c r="C126" t="s">
        <v>379</v>
      </c>
      <c r="D126" t="s">
        <v>18</v>
      </c>
      <c r="E126" t="s">
        <v>19</v>
      </c>
      <c r="F126" t="s">
        <v>141</v>
      </c>
      <c r="G126" t="s">
        <v>380</v>
      </c>
      <c r="H126" s="8">
        <v>1565.86</v>
      </c>
      <c r="I126" s="8">
        <v>-118.71</v>
      </c>
      <c r="J126" s="8">
        <v>0.28999999999999998</v>
      </c>
      <c r="K126" t="str">
        <f>IF(SalesData[[#This Row],[Profit]]&gt;0,"Profit","Loss")</f>
        <v>Loss</v>
      </c>
      <c r="L126" s="8">
        <f>SalesData[[#This Row],[Profit]]/SalesData[[#This Row],[Sales]]</f>
        <v>-7.5811375218729646E-2</v>
      </c>
      <c r="M126" t="str">
        <f>TEXT(SalesData[[#This Row],[Order_Date]],"mmm")</f>
        <v>Apr</v>
      </c>
      <c r="N126">
        <f>YEAR(SalesData[[#This Row],[Order_Date]])</f>
        <v>2023</v>
      </c>
    </row>
    <row r="127" spans="1:14" x14ac:dyDescent="0.3">
      <c r="A127" t="s">
        <v>381</v>
      </c>
      <c r="B127" s="1">
        <v>45278</v>
      </c>
      <c r="C127" t="s">
        <v>382</v>
      </c>
      <c r="D127" t="s">
        <v>12</v>
      </c>
      <c r="E127" t="s">
        <v>19</v>
      </c>
      <c r="F127" t="s">
        <v>20</v>
      </c>
      <c r="G127" t="s">
        <v>383</v>
      </c>
      <c r="H127" s="8">
        <v>1262.31</v>
      </c>
      <c r="I127" s="8">
        <v>-31.7</v>
      </c>
      <c r="J127" s="8">
        <v>0.17</v>
      </c>
      <c r="K127" t="str">
        <f>IF(SalesData[[#This Row],[Profit]]&gt;0,"Profit","Loss")</f>
        <v>Loss</v>
      </c>
      <c r="L127" s="8">
        <f>SalesData[[#This Row],[Profit]]/SalesData[[#This Row],[Sales]]</f>
        <v>-2.5112690226647971E-2</v>
      </c>
      <c r="M127" t="str">
        <f>TEXT(SalesData[[#This Row],[Order_Date]],"mmm")</f>
        <v>Dec</v>
      </c>
      <c r="N127">
        <f>YEAR(SalesData[[#This Row],[Order_Date]])</f>
        <v>2023</v>
      </c>
    </row>
    <row r="128" spans="1:14" x14ac:dyDescent="0.3">
      <c r="A128" t="s">
        <v>384</v>
      </c>
      <c r="B128" s="1">
        <v>44612</v>
      </c>
      <c r="C128" t="s">
        <v>385</v>
      </c>
      <c r="D128" t="s">
        <v>28</v>
      </c>
      <c r="E128" t="s">
        <v>13</v>
      </c>
      <c r="F128" t="s">
        <v>36</v>
      </c>
      <c r="G128" t="s">
        <v>386</v>
      </c>
      <c r="H128" s="8">
        <v>1444.95</v>
      </c>
      <c r="I128" s="8">
        <v>59.94</v>
      </c>
      <c r="J128" s="8">
        <v>0.17</v>
      </c>
      <c r="K128" t="str">
        <f>IF(SalesData[[#This Row],[Profit]]&gt;0,"Profit","Loss")</f>
        <v>Profit</v>
      </c>
      <c r="L128" s="8">
        <f>SalesData[[#This Row],[Profit]]/SalesData[[#This Row],[Sales]]</f>
        <v>4.1482404235440667E-2</v>
      </c>
      <c r="M128" t="str">
        <f>TEXT(SalesData[[#This Row],[Order_Date]],"mmm")</f>
        <v>Feb</v>
      </c>
      <c r="N128">
        <f>YEAR(SalesData[[#This Row],[Order_Date]])</f>
        <v>2022</v>
      </c>
    </row>
    <row r="129" spans="1:14" x14ac:dyDescent="0.3">
      <c r="A129" t="s">
        <v>387</v>
      </c>
      <c r="B129" s="1">
        <v>45197</v>
      </c>
      <c r="C129" t="s">
        <v>388</v>
      </c>
      <c r="D129" t="s">
        <v>18</v>
      </c>
      <c r="E129" t="s">
        <v>19</v>
      </c>
      <c r="F129" t="s">
        <v>20</v>
      </c>
      <c r="G129" t="s">
        <v>389</v>
      </c>
      <c r="H129" s="8">
        <v>3074.62</v>
      </c>
      <c r="I129" s="8">
        <v>221.28</v>
      </c>
      <c r="J129" s="8">
        <v>0.11</v>
      </c>
      <c r="K129" t="str">
        <f>IF(SalesData[[#This Row],[Profit]]&gt;0,"Profit","Loss")</f>
        <v>Profit</v>
      </c>
      <c r="L129" s="8">
        <f>SalesData[[#This Row],[Profit]]/SalesData[[#This Row],[Sales]]</f>
        <v>7.1969869447281287E-2</v>
      </c>
      <c r="M129" t="str">
        <f>TEXT(SalesData[[#This Row],[Order_Date]],"mmm")</f>
        <v>Sep</v>
      </c>
      <c r="N129">
        <f>YEAR(SalesData[[#This Row],[Order_Date]])</f>
        <v>2023</v>
      </c>
    </row>
    <row r="130" spans="1:14" x14ac:dyDescent="0.3">
      <c r="A130" t="s">
        <v>390</v>
      </c>
      <c r="B130" s="1">
        <v>45155</v>
      </c>
      <c r="C130" t="s">
        <v>391</v>
      </c>
      <c r="D130" t="s">
        <v>18</v>
      </c>
      <c r="E130" t="s">
        <v>56</v>
      </c>
      <c r="F130" t="s">
        <v>73</v>
      </c>
      <c r="G130" t="s">
        <v>392</v>
      </c>
      <c r="H130" s="8">
        <v>3267.07</v>
      </c>
      <c r="I130" s="8">
        <v>-83.33</v>
      </c>
      <c r="J130" s="8">
        <v>0.09</v>
      </c>
      <c r="K130" t="str">
        <f>IF(SalesData[[#This Row],[Profit]]&gt;0,"Profit","Loss")</f>
        <v>Loss</v>
      </c>
      <c r="L130" s="8">
        <f>SalesData[[#This Row],[Profit]]/SalesData[[#This Row],[Sales]]</f>
        <v>-2.550603445901067E-2</v>
      </c>
      <c r="M130" t="str">
        <f>TEXT(SalesData[[#This Row],[Order_Date]],"mmm")</f>
        <v>Aug</v>
      </c>
      <c r="N130">
        <f>YEAR(SalesData[[#This Row],[Order_Date]])</f>
        <v>2023</v>
      </c>
    </row>
    <row r="131" spans="1:14" x14ac:dyDescent="0.3">
      <c r="A131" t="s">
        <v>393</v>
      </c>
      <c r="B131" s="1">
        <v>45114</v>
      </c>
      <c r="C131" t="s">
        <v>394</v>
      </c>
      <c r="D131" t="s">
        <v>40</v>
      </c>
      <c r="E131" t="s">
        <v>19</v>
      </c>
      <c r="F131" t="s">
        <v>29</v>
      </c>
      <c r="G131" t="s">
        <v>395</v>
      </c>
      <c r="H131" s="8">
        <v>3762.66</v>
      </c>
      <c r="I131" s="8">
        <v>-642.29999999999995</v>
      </c>
      <c r="J131" s="8">
        <v>0.05</v>
      </c>
      <c r="K131" t="str">
        <f>IF(SalesData[[#This Row],[Profit]]&gt;0,"Profit","Loss")</f>
        <v>Loss</v>
      </c>
      <c r="L131" s="8">
        <f>SalesData[[#This Row],[Profit]]/SalesData[[#This Row],[Sales]]</f>
        <v>-0.17070370429430243</v>
      </c>
      <c r="M131" t="str">
        <f>TEXT(SalesData[[#This Row],[Order_Date]],"mmm")</f>
        <v>Jul</v>
      </c>
      <c r="N131">
        <f>YEAR(SalesData[[#This Row],[Order_Date]])</f>
        <v>2023</v>
      </c>
    </row>
    <row r="132" spans="1:14" x14ac:dyDescent="0.3">
      <c r="A132" t="s">
        <v>396</v>
      </c>
      <c r="B132" s="1">
        <v>44864</v>
      </c>
      <c r="C132" t="s">
        <v>397</v>
      </c>
      <c r="D132" t="s">
        <v>40</v>
      </c>
      <c r="E132" t="s">
        <v>56</v>
      </c>
      <c r="F132" t="s">
        <v>95</v>
      </c>
      <c r="G132" t="s">
        <v>398</v>
      </c>
      <c r="H132" s="8">
        <v>4578.84</v>
      </c>
      <c r="I132" s="8">
        <v>459.85</v>
      </c>
      <c r="J132" s="8">
        <v>0.28000000000000003</v>
      </c>
      <c r="K132" t="str">
        <f>IF(SalesData[[#This Row],[Profit]]&gt;0,"Profit","Loss")</f>
        <v>Profit</v>
      </c>
      <c r="L132" s="8">
        <f>SalesData[[#This Row],[Profit]]/SalesData[[#This Row],[Sales]]</f>
        <v>0.10042936638974063</v>
      </c>
      <c r="M132" t="str">
        <f>TEXT(SalesData[[#This Row],[Order_Date]],"mmm")</f>
        <v>Oct</v>
      </c>
      <c r="N132">
        <f>YEAR(SalesData[[#This Row],[Order_Date]])</f>
        <v>2022</v>
      </c>
    </row>
    <row r="133" spans="1:14" x14ac:dyDescent="0.3">
      <c r="A133" t="s">
        <v>399</v>
      </c>
      <c r="B133" s="1">
        <v>45254</v>
      </c>
      <c r="C133" t="s">
        <v>400</v>
      </c>
      <c r="D133" t="s">
        <v>28</v>
      </c>
      <c r="E133" t="s">
        <v>56</v>
      </c>
      <c r="F133" t="s">
        <v>95</v>
      </c>
      <c r="G133" t="s">
        <v>401</v>
      </c>
      <c r="H133" s="8">
        <v>4818.18</v>
      </c>
      <c r="I133" s="8">
        <v>1637.7</v>
      </c>
      <c r="J133" s="8">
        <v>0.04</v>
      </c>
      <c r="K133" t="str">
        <f>IF(SalesData[[#This Row],[Profit]]&gt;0,"Profit","Loss")</f>
        <v>Profit</v>
      </c>
      <c r="L133" s="8">
        <f>SalesData[[#This Row],[Profit]]/SalesData[[#This Row],[Sales]]</f>
        <v>0.33990012826419935</v>
      </c>
      <c r="M133" t="str">
        <f>TEXT(SalesData[[#This Row],[Order_Date]],"mmm")</f>
        <v>Nov</v>
      </c>
      <c r="N133">
        <f>YEAR(SalesData[[#This Row],[Order_Date]])</f>
        <v>2023</v>
      </c>
    </row>
    <row r="134" spans="1:14" x14ac:dyDescent="0.3">
      <c r="A134" t="s">
        <v>402</v>
      </c>
      <c r="B134" s="1">
        <v>44688</v>
      </c>
      <c r="C134" t="s">
        <v>403</v>
      </c>
      <c r="D134" t="s">
        <v>40</v>
      </c>
      <c r="E134" t="s">
        <v>13</v>
      </c>
      <c r="F134" t="s">
        <v>36</v>
      </c>
      <c r="G134" t="s">
        <v>404</v>
      </c>
      <c r="H134" s="8">
        <v>542.48</v>
      </c>
      <c r="I134" s="8">
        <v>-87.52</v>
      </c>
      <c r="J134" s="8">
        <v>0.12</v>
      </c>
      <c r="K134" t="str">
        <f>IF(SalesData[[#This Row],[Profit]]&gt;0,"Profit","Loss")</f>
        <v>Loss</v>
      </c>
      <c r="L134" s="8">
        <f>SalesData[[#This Row],[Profit]]/SalesData[[#This Row],[Sales]]</f>
        <v>-0.16133313670550065</v>
      </c>
      <c r="M134" t="str">
        <f>TEXT(SalesData[[#This Row],[Order_Date]],"mmm")</f>
        <v>May</v>
      </c>
      <c r="N134">
        <f>YEAR(SalesData[[#This Row],[Order_Date]])</f>
        <v>2022</v>
      </c>
    </row>
    <row r="135" spans="1:14" x14ac:dyDescent="0.3">
      <c r="A135" t="s">
        <v>405</v>
      </c>
      <c r="B135" s="1">
        <v>44942</v>
      </c>
      <c r="C135" t="s">
        <v>162</v>
      </c>
      <c r="D135" t="s">
        <v>18</v>
      </c>
      <c r="E135" t="s">
        <v>13</v>
      </c>
      <c r="F135" t="s">
        <v>24</v>
      </c>
      <c r="G135" t="s">
        <v>406</v>
      </c>
      <c r="H135" s="8">
        <v>1384.59</v>
      </c>
      <c r="I135" s="8">
        <v>101.25</v>
      </c>
      <c r="J135" s="8">
        <v>0.11</v>
      </c>
      <c r="K135" t="str">
        <f>IF(SalesData[[#This Row],[Profit]]&gt;0,"Profit","Loss")</f>
        <v>Profit</v>
      </c>
      <c r="L135" s="8">
        <f>SalesData[[#This Row],[Profit]]/SalesData[[#This Row],[Sales]]</f>
        <v>7.3126340649578583E-2</v>
      </c>
      <c r="M135" t="str">
        <f>TEXT(SalesData[[#This Row],[Order_Date]],"mmm")</f>
        <v>Jan</v>
      </c>
      <c r="N135">
        <f>YEAR(SalesData[[#This Row],[Order_Date]])</f>
        <v>2023</v>
      </c>
    </row>
    <row r="136" spans="1:14" x14ac:dyDescent="0.3">
      <c r="A136" t="s">
        <v>407</v>
      </c>
      <c r="B136" s="1">
        <v>44788</v>
      </c>
      <c r="C136" t="s">
        <v>408</v>
      </c>
      <c r="D136" t="s">
        <v>12</v>
      </c>
      <c r="E136" t="s">
        <v>56</v>
      </c>
      <c r="F136" t="s">
        <v>73</v>
      </c>
      <c r="G136" t="s">
        <v>409</v>
      </c>
      <c r="H136" s="8">
        <v>4432.75</v>
      </c>
      <c r="I136" s="8">
        <v>794.14</v>
      </c>
      <c r="J136" s="8">
        <v>0.17</v>
      </c>
      <c r="K136" t="str">
        <f>IF(SalesData[[#This Row],[Profit]]&gt;0,"Profit","Loss")</f>
        <v>Profit</v>
      </c>
      <c r="L136" s="8">
        <f>SalesData[[#This Row],[Profit]]/SalesData[[#This Row],[Sales]]</f>
        <v>0.17915289605775195</v>
      </c>
      <c r="M136" t="str">
        <f>TEXT(SalesData[[#This Row],[Order_Date]],"mmm")</f>
        <v>Aug</v>
      </c>
      <c r="N136">
        <f>YEAR(SalesData[[#This Row],[Order_Date]])</f>
        <v>2022</v>
      </c>
    </row>
    <row r="137" spans="1:14" x14ac:dyDescent="0.3">
      <c r="A137" t="s">
        <v>410</v>
      </c>
      <c r="B137" s="1">
        <v>44600</v>
      </c>
      <c r="C137" t="s">
        <v>411</v>
      </c>
      <c r="D137" t="s">
        <v>28</v>
      </c>
      <c r="E137" t="s">
        <v>19</v>
      </c>
      <c r="F137" t="s">
        <v>141</v>
      </c>
      <c r="G137" t="s">
        <v>412</v>
      </c>
      <c r="H137" s="8">
        <v>1580.73</v>
      </c>
      <c r="I137" s="8">
        <v>-373.26</v>
      </c>
      <c r="J137" s="8">
        <v>0.12</v>
      </c>
      <c r="K137" t="str">
        <f>IF(SalesData[[#This Row],[Profit]]&gt;0,"Profit","Loss")</f>
        <v>Loss</v>
      </c>
      <c r="L137" s="8">
        <f>SalesData[[#This Row],[Profit]]/SalesData[[#This Row],[Sales]]</f>
        <v>-0.23613140764077356</v>
      </c>
      <c r="M137" t="str">
        <f>TEXT(SalesData[[#This Row],[Order_Date]],"mmm")</f>
        <v>Feb</v>
      </c>
      <c r="N137">
        <f>YEAR(SalesData[[#This Row],[Order_Date]])</f>
        <v>2022</v>
      </c>
    </row>
    <row r="138" spans="1:14" x14ac:dyDescent="0.3">
      <c r="A138" t="s">
        <v>413</v>
      </c>
      <c r="B138" s="1">
        <v>45248</v>
      </c>
      <c r="C138" t="s">
        <v>137</v>
      </c>
      <c r="D138" t="s">
        <v>28</v>
      </c>
      <c r="E138" t="s">
        <v>56</v>
      </c>
      <c r="F138" t="s">
        <v>57</v>
      </c>
      <c r="G138" t="s">
        <v>414</v>
      </c>
      <c r="H138" s="8">
        <v>4447.57</v>
      </c>
      <c r="I138" s="8">
        <v>143.15</v>
      </c>
      <c r="J138" s="8">
        <v>0.04</v>
      </c>
      <c r="K138" t="str">
        <f>IF(SalesData[[#This Row],[Profit]]&gt;0,"Profit","Loss")</f>
        <v>Profit</v>
      </c>
      <c r="L138" s="8">
        <f>SalesData[[#This Row],[Profit]]/SalesData[[#This Row],[Sales]]</f>
        <v>3.2186115114545701E-2</v>
      </c>
      <c r="M138" t="str">
        <f>TEXT(SalesData[[#This Row],[Order_Date]],"mmm")</f>
        <v>Nov</v>
      </c>
      <c r="N138">
        <f>YEAR(SalesData[[#This Row],[Order_Date]])</f>
        <v>2023</v>
      </c>
    </row>
    <row r="139" spans="1:14" x14ac:dyDescent="0.3">
      <c r="A139" t="s">
        <v>415</v>
      </c>
      <c r="B139" s="1">
        <v>45063</v>
      </c>
      <c r="C139" t="s">
        <v>416</v>
      </c>
      <c r="D139" t="s">
        <v>28</v>
      </c>
      <c r="E139" t="s">
        <v>13</v>
      </c>
      <c r="F139" t="s">
        <v>24</v>
      </c>
      <c r="G139" t="s">
        <v>417</v>
      </c>
      <c r="H139" s="8">
        <v>857.16</v>
      </c>
      <c r="I139" s="8">
        <v>-223.36</v>
      </c>
      <c r="J139" s="8">
        <v>0.12</v>
      </c>
      <c r="K139" t="str">
        <f>IF(SalesData[[#This Row],[Profit]]&gt;0,"Profit","Loss")</f>
        <v>Loss</v>
      </c>
      <c r="L139" s="8">
        <f>SalesData[[#This Row],[Profit]]/SalesData[[#This Row],[Sales]]</f>
        <v>-0.26058145503756597</v>
      </c>
      <c r="M139" t="str">
        <f>TEXT(SalesData[[#This Row],[Order_Date]],"mmm")</f>
        <v>May</v>
      </c>
      <c r="N139">
        <f>YEAR(SalesData[[#This Row],[Order_Date]])</f>
        <v>2023</v>
      </c>
    </row>
    <row r="140" spans="1:14" x14ac:dyDescent="0.3">
      <c r="A140" t="s">
        <v>418</v>
      </c>
      <c r="B140" s="1">
        <v>44803</v>
      </c>
      <c r="C140" t="s">
        <v>419</v>
      </c>
      <c r="D140" t="s">
        <v>12</v>
      </c>
      <c r="E140" t="s">
        <v>19</v>
      </c>
      <c r="F140" t="s">
        <v>20</v>
      </c>
      <c r="G140" t="s">
        <v>420</v>
      </c>
      <c r="H140" s="8">
        <v>3482.38</v>
      </c>
      <c r="I140" s="8">
        <v>-11.08</v>
      </c>
      <c r="J140" s="8">
        <v>7.0000000000000007E-2</v>
      </c>
      <c r="K140" t="str">
        <f>IF(SalesData[[#This Row],[Profit]]&gt;0,"Profit","Loss")</f>
        <v>Loss</v>
      </c>
      <c r="L140" s="8">
        <f>SalesData[[#This Row],[Profit]]/SalesData[[#This Row],[Sales]]</f>
        <v>-3.1817320338389261E-3</v>
      </c>
      <c r="M140" t="str">
        <f>TEXT(SalesData[[#This Row],[Order_Date]],"mmm")</f>
        <v>Aug</v>
      </c>
      <c r="N140">
        <f>YEAR(SalesData[[#This Row],[Order_Date]])</f>
        <v>2022</v>
      </c>
    </row>
    <row r="141" spans="1:14" x14ac:dyDescent="0.3">
      <c r="A141" t="s">
        <v>421</v>
      </c>
      <c r="B141" s="1">
        <v>44844</v>
      </c>
      <c r="C141" t="s">
        <v>422</v>
      </c>
      <c r="D141" t="s">
        <v>12</v>
      </c>
      <c r="E141" t="s">
        <v>19</v>
      </c>
      <c r="F141" t="s">
        <v>141</v>
      </c>
      <c r="G141" t="s">
        <v>291</v>
      </c>
      <c r="H141" s="8">
        <v>4518.3100000000004</v>
      </c>
      <c r="I141" s="8">
        <v>-1597.99</v>
      </c>
      <c r="J141" s="8">
        <v>0.19</v>
      </c>
      <c r="K141" t="str">
        <f>IF(SalesData[[#This Row],[Profit]]&gt;0,"Profit","Loss")</f>
        <v>Loss</v>
      </c>
      <c r="L141" s="8">
        <f>SalesData[[#This Row],[Profit]]/SalesData[[#This Row],[Sales]]</f>
        <v>-0.35366984558385767</v>
      </c>
      <c r="M141" t="str">
        <f>TEXT(SalesData[[#This Row],[Order_Date]],"mmm")</f>
        <v>Oct</v>
      </c>
      <c r="N141">
        <f>YEAR(SalesData[[#This Row],[Order_Date]])</f>
        <v>2022</v>
      </c>
    </row>
    <row r="142" spans="1:14" x14ac:dyDescent="0.3">
      <c r="A142" t="s">
        <v>423</v>
      </c>
      <c r="B142" s="1">
        <v>44583</v>
      </c>
      <c r="C142" t="s">
        <v>201</v>
      </c>
      <c r="D142" t="s">
        <v>40</v>
      </c>
      <c r="E142" t="s">
        <v>19</v>
      </c>
      <c r="F142" t="s">
        <v>20</v>
      </c>
      <c r="G142" t="s">
        <v>96</v>
      </c>
      <c r="H142" s="8">
        <v>3347.57</v>
      </c>
      <c r="I142" s="8">
        <v>-106.16</v>
      </c>
      <c r="J142" s="8">
        <v>0.19</v>
      </c>
      <c r="K142" t="str">
        <f>IF(SalesData[[#This Row],[Profit]]&gt;0,"Profit","Loss")</f>
        <v>Loss</v>
      </c>
      <c r="L142" s="8">
        <f>SalesData[[#This Row],[Profit]]/SalesData[[#This Row],[Sales]]</f>
        <v>-3.1712555674713296E-2</v>
      </c>
      <c r="M142" t="str">
        <f>TEXT(SalesData[[#This Row],[Order_Date]],"mmm")</f>
        <v>Jan</v>
      </c>
      <c r="N142">
        <f>YEAR(SalesData[[#This Row],[Order_Date]])</f>
        <v>2022</v>
      </c>
    </row>
    <row r="143" spans="1:14" x14ac:dyDescent="0.3">
      <c r="A143" t="s">
        <v>424</v>
      </c>
      <c r="B143" s="1">
        <v>45162</v>
      </c>
      <c r="C143" t="s">
        <v>425</v>
      </c>
      <c r="D143" t="s">
        <v>18</v>
      </c>
      <c r="E143" t="s">
        <v>56</v>
      </c>
      <c r="F143" t="s">
        <v>73</v>
      </c>
      <c r="G143" t="s">
        <v>426</v>
      </c>
      <c r="H143" s="8">
        <v>1105.51</v>
      </c>
      <c r="I143" s="8">
        <v>-129.87</v>
      </c>
      <c r="J143" s="8">
        <v>0.25</v>
      </c>
      <c r="K143" t="str">
        <f>IF(SalesData[[#This Row],[Profit]]&gt;0,"Profit","Loss")</f>
        <v>Loss</v>
      </c>
      <c r="L143" s="8">
        <f>SalesData[[#This Row],[Profit]]/SalesData[[#This Row],[Sales]]</f>
        <v>-0.11747519244511584</v>
      </c>
      <c r="M143" t="str">
        <f>TEXT(SalesData[[#This Row],[Order_Date]],"mmm")</f>
        <v>Aug</v>
      </c>
      <c r="N143">
        <f>YEAR(SalesData[[#This Row],[Order_Date]])</f>
        <v>2023</v>
      </c>
    </row>
    <row r="144" spans="1:14" x14ac:dyDescent="0.3">
      <c r="A144" t="s">
        <v>427</v>
      </c>
      <c r="B144" s="1">
        <v>44695</v>
      </c>
      <c r="C144" t="s">
        <v>107</v>
      </c>
      <c r="D144" t="s">
        <v>40</v>
      </c>
      <c r="E144" t="s">
        <v>56</v>
      </c>
      <c r="F144" t="s">
        <v>73</v>
      </c>
      <c r="G144" t="s">
        <v>428</v>
      </c>
      <c r="H144" s="8">
        <v>113.89</v>
      </c>
      <c r="I144" s="8">
        <v>-42.5</v>
      </c>
      <c r="J144" s="8">
        <v>0.26</v>
      </c>
      <c r="K144" t="str">
        <f>IF(SalesData[[#This Row],[Profit]]&gt;0,"Profit","Loss")</f>
        <v>Loss</v>
      </c>
      <c r="L144" s="8">
        <f>SalesData[[#This Row],[Profit]]/SalesData[[#This Row],[Sales]]</f>
        <v>-0.37316709105277024</v>
      </c>
      <c r="M144" t="str">
        <f>TEXT(SalesData[[#This Row],[Order_Date]],"mmm")</f>
        <v>May</v>
      </c>
      <c r="N144">
        <f>YEAR(SalesData[[#This Row],[Order_Date]])</f>
        <v>2022</v>
      </c>
    </row>
    <row r="145" spans="1:14" x14ac:dyDescent="0.3">
      <c r="A145" t="s">
        <v>429</v>
      </c>
      <c r="B145" s="1">
        <v>44805</v>
      </c>
      <c r="C145" t="s">
        <v>430</v>
      </c>
      <c r="D145" t="s">
        <v>40</v>
      </c>
      <c r="E145" t="s">
        <v>56</v>
      </c>
      <c r="F145" t="s">
        <v>57</v>
      </c>
      <c r="G145" t="s">
        <v>431</v>
      </c>
      <c r="H145" s="8">
        <v>3339.18</v>
      </c>
      <c r="I145" s="8">
        <v>-671.46</v>
      </c>
      <c r="J145" s="8">
        <v>0.01</v>
      </c>
      <c r="K145" t="str">
        <f>IF(SalesData[[#This Row],[Profit]]&gt;0,"Profit","Loss")</f>
        <v>Loss</v>
      </c>
      <c r="L145" s="8">
        <f>SalesData[[#This Row],[Profit]]/SalesData[[#This Row],[Sales]]</f>
        <v>-0.20108529639013173</v>
      </c>
      <c r="M145" t="str">
        <f>TEXT(SalesData[[#This Row],[Order_Date]],"mmm")</f>
        <v>Sep</v>
      </c>
      <c r="N145">
        <f>YEAR(SalesData[[#This Row],[Order_Date]])</f>
        <v>2022</v>
      </c>
    </row>
    <row r="146" spans="1:14" x14ac:dyDescent="0.3">
      <c r="A146" t="s">
        <v>432</v>
      </c>
      <c r="B146" s="1">
        <v>44627</v>
      </c>
      <c r="C146" t="s">
        <v>433</v>
      </c>
      <c r="D146" t="s">
        <v>28</v>
      </c>
      <c r="E146" t="s">
        <v>56</v>
      </c>
      <c r="F146" t="s">
        <v>95</v>
      </c>
      <c r="G146" t="s">
        <v>241</v>
      </c>
      <c r="H146" s="8">
        <v>356.76</v>
      </c>
      <c r="I146" s="8">
        <v>-37.229999999999997</v>
      </c>
      <c r="J146" s="8">
        <v>0.22</v>
      </c>
      <c r="K146" t="str">
        <f>IF(SalesData[[#This Row],[Profit]]&gt;0,"Profit","Loss")</f>
        <v>Loss</v>
      </c>
      <c r="L146" s="8">
        <f>SalesData[[#This Row],[Profit]]/SalesData[[#This Row],[Sales]]</f>
        <v>-0.10435586949209552</v>
      </c>
      <c r="M146" t="str">
        <f>TEXT(SalesData[[#This Row],[Order_Date]],"mmm")</f>
        <v>Mar</v>
      </c>
      <c r="N146">
        <f>YEAR(SalesData[[#This Row],[Order_Date]])</f>
        <v>2022</v>
      </c>
    </row>
    <row r="147" spans="1:14" x14ac:dyDescent="0.3">
      <c r="A147" t="s">
        <v>434</v>
      </c>
      <c r="B147" s="1">
        <v>45191</v>
      </c>
      <c r="C147" t="s">
        <v>435</v>
      </c>
      <c r="D147" t="s">
        <v>40</v>
      </c>
      <c r="E147" t="s">
        <v>19</v>
      </c>
      <c r="F147" t="s">
        <v>141</v>
      </c>
      <c r="G147" t="s">
        <v>436</v>
      </c>
      <c r="H147" s="8">
        <v>3008.96</v>
      </c>
      <c r="I147" s="8">
        <v>-623.07000000000005</v>
      </c>
      <c r="J147" s="8">
        <v>0.14000000000000001</v>
      </c>
      <c r="K147" t="str">
        <f>IF(SalesData[[#This Row],[Profit]]&gt;0,"Profit","Loss")</f>
        <v>Loss</v>
      </c>
      <c r="L147" s="8">
        <f>SalesData[[#This Row],[Profit]]/SalesData[[#This Row],[Sales]]</f>
        <v>-0.20707154631500585</v>
      </c>
      <c r="M147" t="str">
        <f>TEXT(SalesData[[#This Row],[Order_Date]],"mmm")</f>
        <v>Sep</v>
      </c>
      <c r="N147">
        <f>YEAR(SalesData[[#This Row],[Order_Date]])</f>
        <v>2023</v>
      </c>
    </row>
    <row r="148" spans="1:14" x14ac:dyDescent="0.3">
      <c r="A148" t="s">
        <v>437</v>
      </c>
      <c r="B148" s="1">
        <v>45264</v>
      </c>
      <c r="C148" t="s">
        <v>162</v>
      </c>
      <c r="D148" t="s">
        <v>28</v>
      </c>
      <c r="E148" t="s">
        <v>13</v>
      </c>
      <c r="F148" t="s">
        <v>14</v>
      </c>
      <c r="G148" t="s">
        <v>438</v>
      </c>
      <c r="H148" s="8">
        <v>398.04</v>
      </c>
      <c r="I148" s="8">
        <v>-39.42</v>
      </c>
      <c r="J148" s="8">
        <v>0.14000000000000001</v>
      </c>
      <c r="K148" t="str">
        <f>IF(SalesData[[#This Row],[Profit]]&gt;0,"Profit","Loss")</f>
        <v>Loss</v>
      </c>
      <c r="L148" s="8">
        <f>SalesData[[#This Row],[Profit]]/SalesData[[#This Row],[Sales]]</f>
        <v>-9.903527283690082E-2</v>
      </c>
      <c r="M148" t="str">
        <f>TEXT(SalesData[[#This Row],[Order_Date]],"mmm")</f>
        <v>Dec</v>
      </c>
      <c r="N148">
        <f>YEAR(SalesData[[#This Row],[Order_Date]])</f>
        <v>2023</v>
      </c>
    </row>
    <row r="149" spans="1:14" x14ac:dyDescent="0.3">
      <c r="A149" t="s">
        <v>439</v>
      </c>
      <c r="B149" s="1">
        <v>44691</v>
      </c>
      <c r="C149" t="s">
        <v>440</v>
      </c>
      <c r="D149" t="s">
        <v>40</v>
      </c>
      <c r="E149" t="s">
        <v>19</v>
      </c>
      <c r="F149" t="s">
        <v>20</v>
      </c>
      <c r="G149" t="s">
        <v>441</v>
      </c>
      <c r="H149" s="8">
        <v>4506.41</v>
      </c>
      <c r="I149" s="8">
        <v>-950.85</v>
      </c>
      <c r="J149" s="8">
        <v>0.1</v>
      </c>
      <c r="K149" t="str">
        <f>IF(SalesData[[#This Row],[Profit]]&gt;0,"Profit","Loss")</f>
        <v>Loss</v>
      </c>
      <c r="L149" s="8">
        <f>SalesData[[#This Row],[Profit]]/SalesData[[#This Row],[Sales]]</f>
        <v>-0.21099944301561555</v>
      </c>
      <c r="M149" t="str">
        <f>TEXT(SalesData[[#This Row],[Order_Date]],"mmm")</f>
        <v>May</v>
      </c>
      <c r="N149">
        <f>YEAR(SalesData[[#This Row],[Order_Date]])</f>
        <v>2022</v>
      </c>
    </row>
    <row r="150" spans="1:14" x14ac:dyDescent="0.3">
      <c r="A150" t="s">
        <v>442</v>
      </c>
      <c r="B150" s="1">
        <v>45280</v>
      </c>
      <c r="C150" t="s">
        <v>443</v>
      </c>
      <c r="D150" t="s">
        <v>18</v>
      </c>
      <c r="E150" t="s">
        <v>13</v>
      </c>
      <c r="F150" t="s">
        <v>24</v>
      </c>
      <c r="G150" t="s">
        <v>444</v>
      </c>
      <c r="H150" s="8">
        <v>1545</v>
      </c>
      <c r="I150" s="8">
        <v>-141.96</v>
      </c>
      <c r="J150" s="8">
        <v>0.15</v>
      </c>
      <c r="K150" t="str">
        <f>IF(SalesData[[#This Row],[Profit]]&gt;0,"Profit","Loss")</f>
        <v>Loss</v>
      </c>
      <c r="L150" s="8">
        <f>SalesData[[#This Row],[Profit]]/SalesData[[#This Row],[Sales]]</f>
        <v>-9.1883495145631072E-2</v>
      </c>
      <c r="M150" t="str">
        <f>TEXT(SalesData[[#This Row],[Order_Date]],"mmm")</f>
        <v>Dec</v>
      </c>
      <c r="N150">
        <f>YEAR(SalesData[[#This Row],[Order_Date]])</f>
        <v>2023</v>
      </c>
    </row>
    <row r="151" spans="1:14" x14ac:dyDescent="0.3">
      <c r="A151" t="s">
        <v>445</v>
      </c>
      <c r="B151" s="1">
        <v>44659</v>
      </c>
      <c r="C151" t="s">
        <v>446</v>
      </c>
      <c r="D151" t="s">
        <v>28</v>
      </c>
      <c r="E151" t="s">
        <v>19</v>
      </c>
      <c r="F151" t="s">
        <v>20</v>
      </c>
      <c r="G151" t="s">
        <v>447</v>
      </c>
      <c r="H151" s="8">
        <v>2127.69</v>
      </c>
      <c r="I151" s="8">
        <v>-448.44</v>
      </c>
      <c r="J151" s="8">
        <v>0.25</v>
      </c>
      <c r="K151" t="str">
        <f>IF(SalesData[[#This Row],[Profit]]&gt;0,"Profit","Loss")</f>
        <v>Loss</v>
      </c>
      <c r="L151" s="8">
        <f>SalesData[[#This Row],[Profit]]/SalesData[[#This Row],[Sales]]</f>
        <v>-0.21076378607785909</v>
      </c>
      <c r="M151" t="str">
        <f>TEXT(SalesData[[#This Row],[Order_Date]],"mmm")</f>
        <v>Apr</v>
      </c>
      <c r="N151">
        <f>YEAR(SalesData[[#This Row],[Order_Date]])</f>
        <v>2022</v>
      </c>
    </row>
    <row r="152" spans="1:14" x14ac:dyDescent="0.3">
      <c r="A152" t="s">
        <v>448</v>
      </c>
      <c r="B152" s="1">
        <v>44630</v>
      </c>
      <c r="C152" t="s">
        <v>449</v>
      </c>
      <c r="D152" t="s">
        <v>12</v>
      </c>
      <c r="E152" t="s">
        <v>13</v>
      </c>
      <c r="F152" t="s">
        <v>36</v>
      </c>
      <c r="G152" t="s">
        <v>450</v>
      </c>
      <c r="H152" s="8">
        <v>1934.08</v>
      </c>
      <c r="I152" s="8">
        <v>587.55999999999995</v>
      </c>
      <c r="J152" s="8">
        <v>0.05</v>
      </c>
      <c r="K152" t="str">
        <f>IF(SalesData[[#This Row],[Profit]]&gt;0,"Profit","Loss")</f>
        <v>Profit</v>
      </c>
      <c r="L152" s="8">
        <f>SalesData[[#This Row],[Profit]]/SalesData[[#This Row],[Sales]]</f>
        <v>0.30379301786896096</v>
      </c>
      <c r="M152" t="str">
        <f>TEXT(SalesData[[#This Row],[Order_Date]],"mmm")</f>
        <v>Mar</v>
      </c>
      <c r="N152">
        <f>YEAR(SalesData[[#This Row],[Order_Date]])</f>
        <v>2022</v>
      </c>
    </row>
    <row r="153" spans="1:14" x14ac:dyDescent="0.3">
      <c r="A153" t="s">
        <v>451</v>
      </c>
      <c r="B153" s="1">
        <v>44623</v>
      </c>
      <c r="C153" t="s">
        <v>452</v>
      </c>
      <c r="D153" t="s">
        <v>40</v>
      </c>
      <c r="E153" t="s">
        <v>19</v>
      </c>
      <c r="F153" t="s">
        <v>20</v>
      </c>
      <c r="G153" t="s">
        <v>453</v>
      </c>
      <c r="H153" s="8">
        <v>3748.49</v>
      </c>
      <c r="I153" s="8">
        <v>-869.39</v>
      </c>
      <c r="J153" s="8">
        <v>0.11</v>
      </c>
      <c r="K153" t="str">
        <f>IF(SalesData[[#This Row],[Profit]]&gt;0,"Profit","Loss")</f>
        <v>Loss</v>
      </c>
      <c r="L153" s="8">
        <f>SalesData[[#This Row],[Profit]]/SalesData[[#This Row],[Sales]]</f>
        <v>-0.23193072410490626</v>
      </c>
      <c r="M153" t="str">
        <f>TEXT(SalesData[[#This Row],[Order_Date]],"mmm")</f>
        <v>Mar</v>
      </c>
      <c r="N153">
        <f>YEAR(SalesData[[#This Row],[Order_Date]])</f>
        <v>2022</v>
      </c>
    </row>
    <row r="154" spans="1:14" x14ac:dyDescent="0.3">
      <c r="A154" t="s">
        <v>454</v>
      </c>
      <c r="B154" s="1">
        <v>44614</v>
      </c>
      <c r="C154" t="s">
        <v>327</v>
      </c>
      <c r="D154" t="s">
        <v>40</v>
      </c>
      <c r="E154" t="s">
        <v>56</v>
      </c>
      <c r="F154" t="s">
        <v>95</v>
      </c>
      <c r="G154" t="s">
        <v>271</v>
      </c>
      <c r="H154" s="8">
        <v>1832.63</v>
      </c>
      <c r="I154" s="8">
        <v>91.94</v>
      </c>
      <c r="J154" s="8">
        <v>0.2</v>
      </c>
      <c r="K154" t="str">
        <f>IF(SalesData[[#This Row],[Profit]]&gt;0,"Profit","Loss")</f>
        <v>Profit</v>
      </c>
      <c r="L154" s="8">
        <f>SalesData[[#This Row],[Profit]]/SalesData[[#This Row],[Sales]]</f>
        <v>5.016833730758527E-2</v>
      </c>
      <c r="M154" t="str">
        <f>TEXT(SalesData[[#This Row],[Order_Date]],"mmm")</f>
        <v>Feb</v>
      </c>
      <c r="N154">
        <f>YEAR(SalesData[[#This Row],[Order_Date]])</f>
        <v>2022</v>
      </c>
    </row>
    <row r="155" spans="1:14" x14ac:dyDescent="0.3">
      <c r="A155" t="s">
        <v>455</v>
      </c>
      <c r="B155" s="1">
        <v>44672</v>
      </c>
      <c r="C155" t="s">
        <v>456</v>
      </c>
      <c r="D155" t="s">
        <v>40</v>
      </c>
      <c r="E155" t="s">
        <v>56</v>
      </c>
      <c r="F155" t="s">
        <v>73</v>
      </c>
      <c r="G155" t="s">
        <v>457</v>
      </c>
      <c r="H155" s="8">
        <v>2586.3200000000002</v>
      </c>
      <c r="I155" s="8">
        <v>101.68</v>
      </c>
      <c r="J155" s="8">
        <v>0.05</v>
      </c>
      <c r="K155" t="str">
        <f>IF(SalesData[[#This Row],[Profit]]&gt;0,"Profit","Loss")</f>
        <v>Profit</v>
      </c>
      <c r="L155" s="8">
        <f>SalesData[[#This Row],[Profit]]/SalesData[[#This Row],[Sales]]</f>
        <v>3.9314547310464291E-2</v>
      </c>
      <c r="M155" t="str">
        <f>TEXT(SalesData[[#This Row],[Order_Date]],"mmm")</f>
        <v>Apr</v>
      </c>
      <c r="N155">
        <f>YEAR(SalesData[[#This Row],[Order_Date]])</f>
        <v>2022</v>
      </c>
    </row>
    <row r="156" spans="1:14" x14ac:dyDescent="0.3">
      <c r="A156" t="s">
        <v>458</v>
      </c>
      <c r="B156" s="1">
        <v>45198</v>
      </c>
      <c r="C156" t="s">
        <v>459</v>
      </c>
      <c r="D156" t="s">
        <v>12</v>
      </c>
      <c r="E156" t="s">
        <v>19</v>
      </c>
      <c r="F156" t="s">
        <v>141</v>
      </c>
      <c r="G156" t="s">
        <v>44</v>
      </c>
      <c r="H156" s="8">
        <v>1208.18</v>
      </c>
      <c r="I156" s="8">
        <v>7.95</v>
      </c>
      <c r="J156" s="8">
        <v>0.13</v>
      </c>
      <c r="K156" t="str">
        <f>IF(SalesData[[#This Row],[Profit]]&gt;0,"Profit","Loss")</f>
        <v>Profit</v>
      </c>
      <c r="L156" s="8">
        <f>SalesData[[#This Row],[Profit]]/SalesData[[#This Row],[Sales]]</f>
        <v>6.5801453425814033E-3</v>
      </c>
      <c r="M156" t="str">
        <f>TEXT(SalesData[[#This Row],[Order_Date]],"mmm")</f>
        <v>Sep</v>
      </c>
      <c r="N156">
        <f>YEAR(SalesData[[#This Row],[Order_Date]])</f>
        <v>2023</v>
      </c>
    </row>
    <row r="157" spans="1:14" x14ac:dyDescent="0.3">
      <c r="A157" t="s">
        <v>460</v>
      </c>
      <c r="B157" s="1">
        <v>44878</v>
      </c>
      <c r="C157" t="s">
        <v>461</v>
      </c>
      <c r="D157" t="s">
        <v>40</v>
      </c>
      <c r="E157" t="s">
        <v>13</v>
      </c>
      <c r="F157" t="s">
        <v>24</v>
      </c>
      <c r="G157" t="s">
        <v>462</v>
      </c>
      <c r="H157" s="8">
        <v>1410.49</v>
      </c>
      <c r="I157" s="8">
        <v>242.07</v>
      </c>
      <c r="J157" s="8">
        <v>0.05</v>
      </c>
      <c r="K157" t="str">
        <f>IF(SalesData[[#This Row],[Profit]]&gt;0,"Profit","Loss")</f>
        <v>Profit</v>
      </c>
      <c r="L157" s="8">
        <f>SalesData[[#This Row],[Profit]]/SalesData[[#This Row],[Sales]]</f>
        <v>0.17162120965054697</v>
      </c>
      <c r="M157" t="str">
        <f>TEXT(SalesData[[#This Row],[Order_Date]],"mmm")</f>
        <v>Nov</v>
      </c>
      <c r="N157">
        <f>YEAR(SalesData[[#This Row],[Order_Date]])</f>
        <v>2022</v>
      </c>
    </row>
    <row r="158" spans="1:14" x14ac:dyDescent="0.3">
      <c r="A158" t="s">
        <v>463</v>
      </c>
      <c r="B158" s="1">
        <v>45210</v>
      </c>
      <c r="C158" t="s">
        <v>464</v>
      </c>
      <c r="D158" t="s">
        <v>12</v>
      </c>
      <c r="E158" t="s">
        <v>56</v>
      </c>
      <c r="F158" t="s">
        <v>57</v>
      </c>
      <c r="G158" t="s">
        <v>465</v>
      </c>
      <c r="H158" s="8">
        <v>2874.97</v>
      </c>
      <c r="I158" s="8">
        <v>-675.26</v>
      </c>
      <c r="J158" s="8">
        <v>0.12</v>
      </c>
      <c r="K158" t="str">
        <f>IF(SalesData[[#This Row],[Profit]]&gt;0,"Profit","Loss")</f>
        <v>Loss</v>
      </c>
      <c r="L158" s="8">
        <f>SalesData[[#This Row],[Profit]]/SalesData[[#This Row],[Sales]]</f>
        <v>-0.23487549435298458</v>
      </c>
      <c r="M158" t="str">
        <f>TEXT(SalesData[[#This Row],[Order_Date]],"mmm")</f>
        <v>Oct</v>
      </c>
      <c r="N158">
        <f>YEAR(SalesData[[#This Row],[Order_Date]])</f>
        <v>2023</v>
      </c>
    </row>
    <row r="159" spans="1:14" x14ac:dyDescent="0.3">
      <c r="A159" t="s">
        <v>466</v>
      </c>
      <c r="B159" s="1">
        <v>44881</v>
      </c>
      <c r="C159" t="s">
        <v>467</v>
      </c>
      <c r="D159" t="s">
        <v>40</v>
      </c>
      <c r="E159" t="s">
        <v>13</v>
      </c>
      <c r="F159" t="s">
        <v>14</v>
      </c>
      <c r="G159" t="s">
        <v>468</v>
      </c>
      <c r="H159" s="8">
        <v>1943.35</v>
      </c>
      <c r="I159" s="8">
        <v>-477.2</v>
      </c>
      <c r="J159" s="8">
        <v>0.14000000000000001</v>
      </c>
      <c r="K159" t="str">
        <f>IF(SalesData[[#This Row],[Profit]]&gt;0,"Profit","Loss")</f>
        <v>Loss</v>
      </c>
      <c r="L159" s="8">
        <f>SalesData[[#This Row],[Profit]]/SalesData[[#This Row],[Sales]]</f>
        <v>-0.24555535544292073</v>
      </c>
      <c r="M159" t="str">
        <f>TEXT(SalesData[[#This Row],[Order_Date]],"mmm")</f>
        <v>Nov</v>
      </c>
      <c r="N159">
        <f>YEAR(SalesData[[#This Row],[Order_Date]])</f>
        <v>2022</v>
      </c>
    </row>
    <row r="160" spans="1:14" x14ac:dyDescent="0.3">
      <c r="A160" t="s">
        <v>469</v>
      </c>
      <c r="B160" s="1">
        <v>45194</v>
      </c>
      <c r="C160" t="s">
        <v>470</v>
      </c>
      <c r="D160" t="s">
        <v>12</v>
      </c>
      <c r="E160" t="s">
        <v>13</v>
      </c>
      <c r="F160" t="s">
        <v>24</v>
      </c>
      <c r="G160" t="s">
        <v>138</v>
      </c>
      <c r="H160" s="8">
        <v>516.29</v>
      </c>
      <c r="I160" s="8">
        <v>-64.819999999999993</v>
      </c>
      <c r="J160" s="8">
        <v>0.02</v>
      </c>
      <c r="K160" t="str">
        <f>IF(SalesData[[#This Row],[Profit]]&gt;0,"Profit","Loss")</f>
        <v>Loss</v>
      </c>
      <c r="L160" s="8">
        <f>SalesData[[#This Row],[Profit]]/SalesData[[#This Row],[Sales]]</f>
        <v>-0.12554959422030254</v>
      </c>
      <c r="M160" t="str">
        <f>TEXT(SalesData[[#This Row],[Order_Date]],"mmm")</f>
        <v>Sep</v>
      </c>
      <c r="N160">
        <f>YEAR(SalesData[[#This Row],[Order_Date]])</f>
        <v>2023</v>
      </c>
    </row>
    <row r="161" spans="1:14" x14ac:dyDescent="0.3">
      <c r="A161" t="s">
        <v>471</v>
      </c>
      <c r="B161" s="1">
        <v>44782</v>
      </c>
      <c r="C161" t="s">
        <v>472</v>
      </c>
      <c r="D161" t="s">
        <v>12</v>
      </c>
      <c r="E161" t="s">
        <v>19</v>
      </c>
      <c r="F161" t="s">
        <v>141</v>
      </c>
      <c r="G161" t="s">
        <v>473</v>
      </c>
      <c r="H161" s="8">
        <v>2177.67</v>
      </c>
      <c r="I161" s="8">
        <v>-286.33999999999997</v>
      </c>
      <c r="J161" s="8">
        <v>0.18</v>
      </c>
      <c r="K161" t="str">
        <f>IF(SalesData[[#This Row],[Profit]]&gt;0,"Profit","Loss")</f>
        <v>Loss</v>
      </c>
      <c r="L161" s="8">
        <f>SalesData[[#This Row],[Profit]]/SalesData[[#This Row],[Sales]]</f>
        <v>-0.13148916043293979</v>
      </c>
      <c r="M161" t="str">
        <f>TEXT(SalesData[[#This Row],[Order_Date]],"mmm")</f>
        <v>Aug</v>
      </c>
      <c r="N161">
        <f>YEAR(SalesData[[#This Row],[Order_Date]])</f>
        <v>2022</v>
      </c>
    </row>
    <row r="162" spans="1:14" x14ac:dyDescent="0.3">
      <c r="A162" t="s">
        <v>474</v>
      </c>
      <c r="B162" s="1">
        <v>45245</v>
      </c>
      <c r="C162" t="s">
        <v>475</v>
      </c>
      <c r="D162" t="s">
        <v>12</v>
      </c>
      <c r="E162" t="s">
        <v>19</v>
      </c>
      <c r="F162" t="s">
        <v>20</v>
      </c>
      <c r="G162" t="s">
        <v>476</v>
      </c>
      <c r="H162" s="8">
        <v>1487.91</v>
      </c>
      <c r="I162" s="8">
        <v>-160.72</v>
      </c>
      <c r="J162" s="8">
        <v>0.2</v>
      </c>
      <c r="K162" t="str">
        <f>IF(SalesData[[#This Row],[Profit]]&gt;0,"Profit","Loss")</f>
        <v>Loss</v>
      </c>
      <c r="L162" s="8">
        <f>SalesData[[#This Row],[Profit]]/SalesData[[#This Row],[Sales]]</f>
        <v>-0.10801728599176025</v>
      </c>
      <c r="M162" t="str">
        <f>TEXT(SalesData[[#This Row],[Order_Date]],"mmm")</f>
        <v>Nov</v>
      </c>
      <c r="N162">
        <f>YEAR(SalesData[[#This Row],[Order_Date]])</f>
        <v>2023</v>
      </c>
    </row>
    <row r="163" spans="1:14" x14ac:dyDescent="0.3">
      <c r="A163" t="s">
        <v>477</v>
      </c>
      <c r="B163" s="1">
        <v>44702</v>
      </c>
      <c r="C163" t="s">
        <v>478</v>
      </c>
      <c r="D163" t="s">
        <v>40</v>
      </c>
      <c r="E163" t="s">
        <v>19</v>
      </c>
      <c r="F163" t="s">
        <v>141</v>
      </c>
      <c r="G163" t="s">
        <v>479</v>
      </c>
      <c r="H163" s="8">
        <v>368.43</v>
      </c>
      <c r="I163" s="8">
        <v>113.18</v>
      </c>
      <c r="J163" s="8">
        <v>0.06</v>
      </c>
      <c r="K163" t="str">
        <f>IF(SalesData[[#This Row],[Profit]]&gt;0,"Profit","Loss")</f>
        <v>Profit</v>
      </c>
      <c r="L163" s="8">
        <f>SalesData[[#This Row],[Profit]]/SalesData[[#This Row],[Sales]]</f>
        <v>0.30719539668322343</v>
      </c>
      <c r="M163" t="str">
        <f>TEXT(SalesData[[#This Row],[Order_Date]],"mmm")</f>
        <v>May</v>
      </c>
      <c r="N163">
        <f>YEAR(SalesData[[#This Row],[Order_Date]])</f>
        <v>2022</v>
      </c>
    </row>
    <row r="164" spans="1:14" x14ac:dyDescent="0.3">
      <c r="A164" t="s">
        <v>480</v>
      </c>
      <c r="B164" s="1">
        <v>44951</v>
      </c>
      <c r="C164" t="s">
        <v>481</v>
      </c>
      <c r="D164" t="s">
        <v>18</v>
      </c>
      <c r="E164" t="s">
        <v>19</v>
      </c>
      <c r="F164" t="s">
        <v>20</v>
      </c>
      <c r="G164" t="s">
        <v>482</v>
      </c>
      <c r="H164" s="8">
        <v>137.88</v>
      </c>
      <c r="I164" s="8">
        <v>-43.37</v>
      </c>
      <c r="J164" s="8">
        <v>0.22</v>
      </c>
      <c r="K164" t="str">
        <f>IF(SalesData[[#This Row],[Profit]]&gt;0,"Profit","Loss")</f>
        <v>Loss</v>
      </c>
      <c r="L164" s="8">
        <f>SalesData[[#This Row],[Profit]]/SalesData[[#This Row],[Sales]]</f>
        <v>-0.31454888308674206</v>
      </c>
      <c r="M164" t="str">
        <f>TEXT(SalesData[[#This Row],[Order_Date]],"mmm")</f>
        <v>Jan</v>
      </c>
      <c r="N164">
        <f>YEAR(SalesData[[#This Row],[Order_Date]])</f>
        <v>2023</v>
      </c>
    </row>
    <row r="165" spans="1:14" x14ac:dyDescent="0.3">
      <c r="A165" t="s">
        <v>483</v>
      </c>
      <c r="B165" s="1">
        <v>44605</v>
      </c>
      <c r="C165" t="s">
        <v>484</v>
      </c>
      <c r="D165" t="s">
        <v>12</v>
      </c>
      <c r="E165" t="s">
        <v>13</v>
      </c>
      <c r="F165" t="s">
        <v>24</v>
      </c>
      <c r="G165" t="s">
        <v>485</v>
      </c>
      <c r="H165" s="8">
        <v>4050.38</v>
      </c>
      <c r="I165" s="8">
        <v>1203.2</v>
      </c>
      <c r="J165" s="8">
        <v>0.02</v>
      </c>
      <c r="K165" t="str">
        <f>IF(SalesData[[#This Row],[Profit]]&gt;0,"Profit","Loss")</f>
        <v>Profit</v>
      </c>
      <c r="L165" s="8">
        <f>SalesData[[#This Row],[Profit]]/SalesData[[#This Row],[Sales]]</f>
        <v>0.29705854759306533</v>
      </c>
      <c r="M165" t="str">
        <f>TEXT(SalesData[[#This Row],[Order_Date]],"mmm")</f>
        <v>Feb</v>
      </c>
      <c r="N165">
        <f>YEAR(SalesData[[#This Row],[Order_Date]])</f>
        <v>2022</v>
      </c>
    </row>
    <row r="166" spans="1:14" x14ac:dyDescent="0.3">
      <c r="A166" t="s">
        <v>486</v>
      </c>
      <c r="B166" s="1">
        <v>44989</v>
      </c>
      <c r="C166" t="s">
        <v>487</v>
      </c>
      <c r="D166" t="s">
        <v>12</v>
      </c>
      <c r="E166" t="s">
        <v>56</v>
      </c>
      <c r="F166" t="s">
        <v>95</v>
      </c>
      <c r="G166" t="s">
        <v>488</v>
      </c>
      <c r="H166" s="8">
        <v>2921.22</v>
      </c>
      <c r="I166" s="8">
        <v>162.71</v>
      </c>
      <c r="J166" s="8">
        <v>0.17</v>
      </c>
      <c r="K166" t="str">
        <f>IF(SalesData[[#This Row],[Profit]]&gt;0,"Profit","Loss")</f>
        <v>Profit</v>
      </c>
      <c r="L166" s="8">
        <f>SalesData[[#This Row],[Profit]]/SalesData[[#This Row],[Sales]]</f>
        <v>5.5699331101389152E-2</v>
      </c>
      <c r="M166" t="str">
        <f>TEXT(SalesData[[#This Row],[Order_Date]],"mmm")</f>
        <v>Mar</v>
      </c>
      <c r="N166">
        <f>YEAR(SalesData[[#This Row],[Order_Date]])</f>
        <v>2023</v>
      </c>
    </row>
    <row r="167" spans="1:14" x14ac:dyDescent="0.3">
      <c r="A167" t="s">
        <v>489</v>
      </c>
      <c r="B167" s="1">
        <v>45268</v>
      </c>
      <c r="C167" t="s">
        <v>490</v>
      </c>
      <c r="D167" t="s">
        <v>12</v>
      </c>
      <c r="E167" t="s">
        <v>56</v>
      </c>
      <c r="F167" t="s">
        <v>95</v>
      </c>
      <c r="G167" t="s">
        <v>491</v>
      </c>
      <c r="H167" s="8">
        <v>942.18</v>
      </c>
      <c r="I167" s="8">
        <v>-192.15</v>
      </c>
      <c r="J167" s="8">
        <v>0.28000000000000003</v>
      </c>
      <c r="K167" t="str">
        <f>IF(SalesData[[#This Row],[Profit]]&gt;0,"Profit","Loss")</f>
        <v>Loss</v>
      </c>
      <c r="L167" s="8">
        <f>SalesData[[#This Row],[Profit]]/SalesData[[#This Row],[Sales]]</f>
        <v>-0.2039419219257467</v>
      </c>
      <c r="M167" t="str">
        <f>TEXT(SalesData[[#This Row],[Order_Date]],"mmm")</f>
        <v>Dec</v>
      </c>
      <c r="N167">
        <f>YEAR(SalesData[[#This Row],[Order_Date]])</f>
        <v>2023</v>
      </c>
    </row>
    <row r="168" spans="1:14" x14ac:dyDescent="0.3">
      <c r="A168" t="s">
        <v>492</v>
      </c>
      <c r="B168" s="1">
        <v>44879</v>
      </c>
      <c r="C168" t="s">
        <v>493</v>
      </c>
      <c r="D168" t="s">
        <v>40</v>
      </c>
      <c r="E168" t="s">
        <v>56</v>
      </c>
      <c r="F168" t="s">
        <v>57</v>
      </c>
      <c r="G168" t="s">
        <v>494</v>
      </c>
      <c r="H168" s="8">
        <v>2234.81</v>
      </c>
      <c r="I168" s="8">
        <v>-609.67999999999995</v>
      </c>
      <c r="J168" s="8">
        <v>0.12</v>
      </c>
      <c r="K168" t="str">
        <f>IF(SalesData[[#This Row],[Profit]]&gt;0,"Profit","Loss")</f>
        <v>Loss</v>
      </c>
      <c r="L168" s="8">
        <f>SalesData[[#This Row],[Profit]]/SalesData[[#This Row],[Sales]]</f>
        <v>-0.27281066399380705</v>
      </c>
      <c r="M168" t="str">
        <f>TEXT(SalesData[[#This Row],[Order_Date]],"mmm")</f>
        <v>Nov</v>
      </c>
      <c r="N168">
        <f>YEAR(SalesData[[#This Row],[Order_Date]])</f>
        <v>2022</v>
      </c>
    </row>
    <row r="169" spans="1:14" x14ac:dyDescent="0.3">
      <c r="A169" t="s">
        <v>495</v>
      </c>
      <c r="B169" s="1">
        <v>44760</v>
      </c>
      <c r="C169" t="s">
        <v>496</v>
      </c>
      <c r="D169" t="s">
        <v>40</v>
      </c>
      <c r="E169" t="s">
        <v>19</v>
      </c>
      <c r="F169" t="s">
        <v>20</v>
      </c>
      <c r="G169" t="s">
        <v>497</v>
      </c>
      <c r="H169" s="8">
        <v>474.26</v>
      </c>
      <c r="I169" s="8">
        <v>-33.97</v>
      </c>
      <c r="J169" s="8">
        <v>0.19</v>
      </c>
      <c r="K169" t="str">
        <f>IF(SalesData[[#This Row],[Profit]]&gt;0,"Profit","Loss")</f>
        <v>Loss</v>
      </c>
      <c r="L169" s="8">
        <f>SalesData[[#This Row],[Profit]]/SalesData[[#This Row],[Sales]]</f>
        <v>-7.1627377387930666E-2</v>
      </c>
      <c r="M169" t="str">
        <f>TEXT(SalesData[[#This Row],[Order_Date]],"mmm")</f>
        <v>Jul</v>
      </c>
      <c r="N169">
        <f>YEAR(SalesData[[#This Row],[Order_Date]])</f>
        <v>2022</v>
      </c>
    </row>
    <row r="170" spans="1:14" x14ac:dyDescent="0.3">
      <c r="A170" t="s">
        <v>498</v>
      </c>
      <c r="B170" s="1">
        <v>44764</v>
      </c>
      <c r="C170" t="s">
        <v>499</v>
      </c>
      <c r="D170" t="s">
        <v>18</v>
      </c>
      <c r="E170" t="s">
        <v>13</v>
      </c>
      <c r="F170" t="s">
        <v>24</v>
      </c>
      <c r="G170" t="s">
        <v>500</v>
      </c>
      <c r="H170" s="8">
        <v>4093.68</v>
      </c>
      <c r="I170" s="8">
        <v>-745.6</v>
      </c>
      <c r="J170" s="8">
        <v>7.0000000000000007E-2</v>
      </c>
      <c r="K170" t="str">
        <f>IF(SalesData[[#This Row],[Profit]]&gt;0,"Profit","Loss")</f>
        <v>Loss</v>
      </c>
      <c r="L170" s="8">
        <f>SalesData[[#This Row],[Profit]]/SalesData[[#This Row],[Sales]]</f>
        <v>-0.18213441206933617</v>
      </c>
      <c r="M170" t="str">
        <f>TEXT(SalesData[[#This Row],[Order_Date]],"mmm")</f>
        <v>Jul</v>
      </c>
      <c r="N170">
        <f>YEAR(SalesData[[#This Row],[Order_Date]])</f>
        <v>2022</v>
      </c>
    </row>
    <row r="171" spans="1:14" x14ac:dyDescent="0.3">
      <c r="A171" t="s">
        <v>501</v>
      </c>
      <c r="B171" s="1">
        <v>45139</v>
      </c>
      <c r="C171" t="s">
        <v>79</v>
      </c>
      <c r="D171" t="s">
        <v>28</v>
      </c>
      <c r="E171" t="s">
        <v>13</v>
      </c>
      <c r="F171" t="s">
        <v>14</v>
      </c>
      <c r="G171" t="s">
        <v>502</v>
      </c>
      <c r="H171" s="8">
        <v>968.02</v>
      </c>
      <c r="I171" s="8">
        <v>-129.26</v>
      </c>
      <c r="J171" s="8">
        <v>0.23</v>
      </c>
      <c r="K171" t="str">
        <f>IF(SalesData[[#This Row],[Profit]]&gt;0,"Profit","Loss")</f>
        <v>Loss</v>
      </c>
      <c r="L171" s="8">
        <f>SalesData[[#This Row],[Profit]]/SalesData[[#This Row],[Sales]]</f>
        <v>-0.13353029896076526</v>
      </c>
      <c r="M171" t="str">
        <f>TEXT(SalesData[[#This Row],[Order_Date]],"mmm")</f>
        <v>Aug</v>
      </c>
      <c r="N171">
        <f>YEAR(SalesData[[#This Row],[Order_Date]])</f>
        <v>2023</v>
      </c>
    </row>
    <row r="172" spans="1:14" x14ac:dyDescent="0.3">
      <c r="A172" t="s">
        <v>503</v>
      </c>
      <c r="B172" s="1">
        <v>45204</v>
      </c>
      <c r="C172" t="s">
        <v>124</v>
      </c>
      <c r="D172" t="s">
        <v>18</v>
      </c>
      <c r="E172" t="s">
        <v>13</v>
      </c>
      <c r="F172" t="s">
        <v>24</v>
      </c>
      <c r="G172" t="s">
        <v>504</v>
      </c>
      <c r="H172" s="8">
        <v>3212.96</v>
      </c>
      <c r="I172" s="8">
        <v>413.02</v>
      </c>
      <c r="J172" s="8">
        <v>0.19</v>
      </c>
      <c r="K172" t="str">
        <f>IF(SalesData[[#This Row],[Profit]]&gt;0,"Profit","Loss")</f>
        <v>Profit</v>
      </c>
      <c r="L172" s="8">
        <f>SalesData[[#This Row],[Profit]]/SalesData[[#This Row],[Sales]]</f>
        <v>0.12854813007320351</v>
      </c>
      <c r="M172" t="str">
        <f>TEXT(SalesData[[#This Row],[Order_Date]],"mmm")</f>
        <v>Oct</v>
      </c>
      <c r="N172">
        <f>YEAR(SalesData[[#This Row],[Order_Date]])</f>
        <v>2023</v>
      </c>
    </row>
    <row r="173" spans="1:14" x14ac:dyDescent="0.3">
      <c r="A173" t="s">
        <v>505</v>
      </c>
      <c r="B173" s="1">
        <v>44619</v>
      </c>
      <c r="C173" t="s">
        <v>506</v>
      </c>
      <c r="D173" t="s">
        <v>12</v>
      </c>
      <c r="E173" t="s">
        <v>56</v>
      </c>
      <c r="F173" t="s">
        <v>95</v>
      </c>
      <c r="G173" t="s">
        <v>507</v>
      </c>
      <c r="H173" s="8">
        <v>2266.8200000000002</v>
      </c>
      <c r="I173" s="8">
        <v>-283.8</v>
      </c>
      <c r="J173" s="8">
        <v>0.09</v>
      </c>
      <c r="K173" t="str">
        <f>IF(SalesData[[#This Row],[Profit]]&gt;0,"Profit","Loss")</f>
        <v>Loss</v>
      </c>
      <c r="L173" s="8">
        <f>SalesData[[#This Row],[Profit]]/SalesData[[#This Row],[Sales]]</f>
        <v>-0.12519741311617155</v>
      </c>
      <c r="M173" t="str">
        <f>TEXT(SalesData[[#This Row],[Order_Date]],"mmm")</f>
        <v>Feb</v>
      </c>
      <c r="N173">
        <f>YEAR(SalesData[[#This Row],[Order_Date]])</f>
        <v>2022</v>
      </c>
    </row>
    <row r="174" spans="1:14" x14ac:dyDescent="0.3">
      <c r="A174" t="s">
        <v>508</v>
      </c>
      <c r="B174" s="1">
        <v>45222</v>
      </c>
      <c r="C174" t="s">
        <v>509</v>
      </c>
      <c r="D174" t="s">
        <v>28</v>
      </c>
      <c r="E174" t="s">
        <v>19</v>
      </c>
      <c r="F174" t="s">
        <v>29</v>
      </c>
      <c r="G174" t="s">
        <v>510</v>
      </c>
      <c r="H174" s="8">
        <v>284.27999999999997</v>
      </c>
      <c r="I174" s="8">
        <v>-39.159999999999997</v>
      </c>
      <c r="J174" s="8">
        <v>0.11</v>
      </c>
      <c r="K174" t="str">
        <f>IF(SalesData[[#This Row],[Profit]]&gt;0,"Profit","Loss")</f>
        <v>Loss</v>
      </c>
      <c r="L174" s="8">
        <f>SalesData[[#This Row],[Profit]]/SalesData[[#This Row],[Sales]]</f>
        <v>-0.13775151259321797</v>
      </c>
      <c r="M174" t="str">
        <f>TEXT(SalesData[[#This Row],[Order_Date]],"mmm")</f>
        <v>Oct</v>
      </c>
      <c r="N174">
        <f>YEAR(SalesData[[#This Row],[Order_Date]])</f>
        <v>2023</v>
      </c>
    </row>
    <row r="175" spans="1:14" x14ac:dyDescent="0.3">
      <c r="A175" t="s">
        <v>511</v>
      </c>
      <c r="B175" s="1">
        <v>45147</v>
      </c>
      <c r="C175" t="s">
        <v>314</v>
      </c>
      <c r="D175" t="s">
        <v>18</v>
      </c>
      <c r="E175" t="s">
        <v>13</v>
      </c>
      <c r="F175" t="s">
        <v>24</v>
      </c>
      <c r="G175" t="s">
        <v>512</v>
      </c>
      <c r="H175" s="8">
        <v>4775.7299999999996</v>
      </c>
      <c r="I175" s="8">
        <v>-1888.26</v>
      </c>
      <c r="J175" s="8">
        <v>0.22</v>
      </c>
      <c r="K175" t="str">
        <f>IF(SalesData[[#This Row],[Profit]]&gt;0,"Profit","Loss")</f>
        <v>Loss</v>
      </c>
      <c r="L175" s="8">
        <f>SalesData[[#This Row],[Profit]]/SalesData[[#This Row],[Sales]]</f>
        <v>-0.39538667386975396</v>
      </c>
      <c r="M175" t="str">
        <f>TEXT(SalesData[[#This Row],[Order_Date]],"mmm")</f>
        <v>Aug</v>
      </c>
      <c r="N175">
        <f>YEAR(SalesData[[#This Row],[Order_Date]])</f>
        <v>2023</v>
      </c>
    </row>
    <row r="176" spans="1:14" x14ac:dyDescent="0.3">
      <c r="A176" t="s">
        <v>513</v>
      </c>
      <c r="B176" s="1">
        <v>44913</v>
      </c>
      <c r="C176" t="s">
        <v>514</v>
      </c>
      <c r="D176" t="s">
        <v>12</v>
      </c>
      <c r="E176" t="s">
        <v>13</v>
      </c>
      <c r="F176" t="s">
        <v>36</v>
      </c>
      <c r="G176" t="s">
        <v>515</v>
      </c>
      <c r="H176" s="8">
        <v>2556.6999999999998</v>
      </c>
      <c r="I176" s="8">
        <v>-561.66999999999996</v>
      </c>
      <c r="J176" s="8">
        <v>0.28999999999999998</v>
      </c>
      <c r="K176" t="str">
        <f>IF(SalesData[[#This Row],[Profit]]&gt;0,"Profit","Loss")</f>
        <v>Loss</v>
      </c>
      <c r="L176" s="8">
        <f>SalesData[[#This Row],[Profit]]/SalesData[[#This Row],[Sales]]</f>
        <v>-0.21968553213126296</v>
      </c>
      <c r="M176" t="str">
        <f>TEXT(SalesData[[#This Row],[Order_Date]],"mmm")</f>
        <v>Dec</v>
      </c>
      <c r="N176">
        <f>YEAR(SalesData[[#This Row],[Order_Date]])</f>
        <v>2022</v>
      </c>
    </row>
    <row r="177" spans="1:14" x14ac:dyDescent="0.3">
      <c r="A177" t="s">
        <v>516</v>
      </c>
      <c r="B177" s="1">
        <v>45098</v>
      </c>
      <c r="C177" t="s">
        <v>517</v>
      </c>
      <c r="D177" t="s">
        <v>18</v>
      </c>
      <c r="E177" t="s">
        <v>13</v>
      </c>
      <c r="F177" t="s">
        <v>14</v>
      </c>
      <c r="G177" t="s">
        <v>178</v>
      </c>
      <c r="H177" s="8">
        <v>291.8</v>
      </c>
      <c r="I177" s="8">
        <v>53.86</v>
      </c>
      <c r="J177" s="8">
        <v>0.21</v>
      </c>
      <c r="K177" t="str">
        <f>IF(SalesData[[#This Row],[Profit]]&gt;0,"Profit","Loss")</f>
        <v>Profit</v>
      </c>
      <c r="L177" s="8">
        <f>SalesData[[#This Row],[Profit]]/SalesData[[#This Row],[Sales]]</f>
        <v>0.18457847840986977</v>
      </c>
      <c r="M177" t="str">
        <f>TEXT(SalesData[[#This Row],[Order_Date]],"mmm")</f>
        <v>Jun</v>
      </c>
      <c r="N177">
        <f>YEAR(SalesData[[#This Row],[Order_Date]])</f>
        <v>2023</v>
      </c>
    </row>
    <row r="178" spans="1:14" x14ac:dyDescent="0.3">
      <c r="A178" t="s">
        <v>518</v>
      </c>
      <c r="B178" s="1">
        <v>44615</v>
      </c>
      <c r="C178" t="s">
        <v>519</v>
      </c>
      <c r="D178" t="s">
        <v>40</v>
      </c>
      <c r="E178" t="s">
        <v>19</v>
      </c>
      <c r="F178" t="s">
        <v>29</v>
      </c>
      <c r="G178" t="s">
        <v>520</v>
      </c>
      <c r="H178" s="8">
        <v>1998.34</v>
      </c>
      <c r="I178" s="8">
        <v>-45.29</v>
      </c>
      <c r="J178" s="8">
        <v>0.23</v>
      </c>
      <c r="K178" t="str">
        <f>IF(SalesData[[#This Row],[Profit]]&gt;0,"Profit","Loss")</f>
        <v>Loss</v>
      </c>
      <c r="L178" s="8">
        <f>SalesData[[#This Row],[Profit]]/SalesData[[#This Row],[Sales]]</f>
        <v>-2.2663810963099374E-2</v>
      </c>
      <c r="M178" t="str">
        <f>TEXT(SalesData[[#This Row],[Order_Date]],"mmm")</f>
        <v>Feb</v>
      </c>
      <c r="N178">
        <f>YEAR(SalesData[[#This Row],[Order_Date]])</f>
        <v>2022</v>
      </c>
    </row>
    <row r="179" spans="1:14" x14ac:dyDescent="0.3">
      <c r="A179" t="s">
        <v>521</v>
      </c>
      <c r="B179" s="1">
        <v>45234</v>
      </c>
      <c r="C179" t="s">
        <v>522</v>
      </c>
      <c r="D179" t="s">
        <v>18</v>
      </c>
      <c r="E179" t="s">
        <v>19</v>
      </c>
      <c r="F179" t="s">
        <v>20</v>
      </c>
      <c r="G179" t="s">
        <v>345</v>
      </c>
      <c r="H179" s="8">
        <v>2834.02</v>
      </c>
      <c r="I179" s="8">
        <v>-478.39</v>
      </c>
      <c r="J179" s="8">
        <v>0.12</v>
      </c>
      <c r="K179" t="str">
        <f>IF(SalesData[[#This Row],[Profit]]&gt;0,"Profit","Loss")</f>
        <v>Loss</v>
      </c>
      <c r="L179" s="8">
        <f>SalesData[[#This Row],[Profit]]/SalesData[[#This Row],[Sales]]</f>
        <v>-0.16880261960042625</v>
      </c>
      <c r="M179" t="str">
        <f>TEXT(SalesData[[#This Row],[Order_Date]],"mmm")</f>
        <v>Nov</v>
      </c>
      <c r="N179">
        <f>YEAR(SalesData[[#This Row],[Order_Date]])</f>
        <v>2023</v>
      </c>
    </row>
    <row r="180" spans="1:14" x14ac:dyDescent="0.3">
      <c r="A180" t="s">
        <v>523</v>
      </c>
      <c r="B180" s="1">
        <v>45233</v>
      </c>
      <c r="C180" t="s">
        <v>524</v>
      </c>
      <c r="D180" t="s">
        <v>28</v>
      </c>
      <c r="E180" t="s">
        <v>56</v>
      </c>
      <c r="F180" t="s">
        <v>73</v>
      </c>
      <c r="G180" t="s">
        <v>525</v>
      </c>
      <c r="H180" s="8">
        <v>3351.7</v>
      </c>
      <c r="I180" s="8">
        <v>-984.93</v>
      </c>
      <c r="J180" s="8">
        <v>0.28000000000000003</v>
      </c>
      <c r="K180" t="str">
        <f>IF(SalesData[[#This Row],[Profit]]&gt;0,"Profit","Loss")</f>
        <v>Loss</v>
      </c>
      <c r="L180" s="8">
        <f>SalesData[[#This Row],[Profit]]/SalesData[[#This Row],[Sales]]</f>
        <v>-0.29385983232389534</v>
      </c>
      <c r="M180" t="str">
        <f>TEXT(SalesData[[#This Row],[Order_Date]],"mmm")</f>
        <v>Nov</v>
      </c>
      <c r="N180">
        <f>YEAR(SalesData[[#This Row],[Order_Date]])</f>
        <v>2023</v>
      </c>
    </row>
    <row r="181" spans="1:14" x14ac:dyDescent="0.3">
      <c r="A181" t="s">
        <v>526</v>
      </c>
      <c r="B181" s="1">
        <v>44898</v>
      </c>
      <c r="C181" t="s">
        <v>527</v>
      </c>
      <c r="D181" t="s">
        <v>12</v>
      </c>
      <c r="E181" t="s">
        <v>13</v>
      </c>
      <c r="F181" t="s">
        <v>24</v>
      </c>
      <c r="G181" t="s">
        <v>528</v>
      </c>
      <c r="H181" s="8">
        <v>4696.21</v>
      </c>
      <c r="I181" s="8">
        <v>-300.52</v>
      </c>
      <c r="J181" s="8">
        <v>0.09</v>
      </c>
      <c r="K181" t="str">
        <f>IF(SalesData[[#This Row],[Profit]]&gt;0,"Profit","Loss")</f>
        <v>Loss</v>
      </c>
      <c r="L181" s="8">
        <f>SalesData[[#This Row],[Profit]]/SalesData[[#This Row],[Sales]]</f>
        <v>-6.3992027613756622E-2</v>
      </c>
      <c r="M181" t="str">
        <f>TEXT(SalesData[[#This Row],[Order_Date]],"mmm")</f>
        <v>Dec</v>
      </c>
      <c r="N181">
        <f>YEAR(SalesData[[#This Row],[Order_Date]])</f>
        <v>2022</v>
      </c>
    </row>
    <row r="182" spans="1:14" x14ac:dyDescent="0.3">
      <c r="A182" t="s">
        <v>529</v>
      </c>
      <c r="B182" s="1">
        <v>44781</v>
      </c>
      <c r="C182" t="s">
        <v>530</v>
      </c>
      <c r="D182" t="s">
        <v>28</v>
      </c>
      <c r="E182" t="s">
        <v>13</v>
      </c>
      <c r="F182" t="s">
        <v>36</v>
      </c>
      <c r="G182" t="s">
        <v>531</v>
      </c>
      <c r="H182" s="8">
        <v>2591.59</v>
      </c>
      <c r="I182" s="8">
        <v>-63.96</v>
      </c>
      <c r="J182" s="8">
        <v>0.01</v>
      </c>
      <c r="K182" t="str">
        <f>IF(SalesData[[#This Row],[Profit]]&gt;0,"Profit","Loss")</f>
        <v>Loss</v>
      </c>
      <c r="L182" s="8">
        <f>SalesData[[#This Row],[Profit]]/SalesData[[#This Row],[Sales]]</f>
        <v>-2.4679829757021751E-2</v>
      </c>
      <c r="M182" t="str">
        <f>TEXT(SalesData[[#This Row],[Order_Date]],"mmm")</f>
        <v>Aug</v>
      </c>
      <c r="N182">
        <f>YEAR(SalesData[[#This Row],[Order_Date]])</f>
        <v>2022</v>
      </c>
    </row>
    <row r="183" spans="1:14" x14ac:dyDescent="0.3">
      <c r="A183" t="s">
        <v>532</v>
      </c>
      <c r="B183" s="1">
        <v>45081</v>
      </c>
      <c r="C183" t="s">
        <v>144</v>
      </c>
      <c r="D183" t="s">
        <v>12</v>
      </c>
      <c r="E183" t="s">
        <v>56</v>
      </c>
      <c r="F183" t="s">
        <v>57</v>
      </c>
      <c r="G183" t="s">
        <v>248</v>
      </c>
      <c r="H183" s="8">
        <v>859.23</v>
      </c>
      <c r="I183" s="8">
        <v>157.13</v>
      </c>
      <c r="J183" s="8">
        <v>0.09</v>
      </c>
      <c r="K183" t="str">
        <f>IF(SalesData[[#This Row],[Profit]]&gt;0,"Profit","Loss")</f>
        <v>Profit</v>
      </c>
      <c r="L183" s="8">
        <f>SalesData[[#This Row],[Profit]]/SalesData[[#This Row],[Sales]]</f>
        <v>0.18287303748705236</v>
      </c>
      <c r="M183" t="str">
        <f>TEXT(SalesData[[#This Row],[Order_Date]],"mmm")</f>
        <v>Jun</v>
      </c>
      <c r="N183">
        <f>YEAR(SalesData[[#This Row],[Order_Date]])</f>
        <v>2023</v>
      </c>
    </row>
    <row r="184" spans="1:14" x14ac:dyDescent="0.3">
      <c r="A184" t="s">
        <v>533</v>
      </c>
      <c r="B184" s="1">
        <v>45271</v>
      </c>
      <c r="C184" t="s">
        <v>144</v>
      </c>
      <c r="D184" t="s">
        <v>18</v>
      </c>
      <c r="E184" t="s">
        <v>19</v>
      </c>
      <c r="F184" t="s">
        <v>141</v>
      </c>
      <c r="G184" t="s">
        <v>534</v>
      </c>
      <c r="H184" s="8">
        <v>742.14</v>
      </c>
      <c r="I184" s="8">
        <v>-157.82</v>
      </c>
      <c r="J184" s="8">
        <v>0.11</v>
      </c>
      <c r="K184" t="str">
        <f>IF(SalesData[[#This Row],[Profit]]&gt;0,"Profit","Loss")</f>
        <v>Loss</v>
      </c>
      <c r="L184" s="8">
        <f>SalesData[[#This Row],[Profit]]/SalesData[[#This Row],[Sales]]</f>
        <v>-0.21265529414935186</v>
      </c>
      <c r="M184" t="str">
        <f>TEXT(SalesData[[#This Row],[Order_Date]],"mmm")</f>
        <v>Dec</v>
      </c>
      <c r="N184">
        <f>YEAR(SalesData[[#This Row],[Order_Date]])</f>
        <v>2023</v>
      </c>
    </row>
    <row r="185" spans="1:14" x14ac:dyDescent="0.3">
      <c r="A185" t="s">
        <v>535</v>
      </c>
      <c r="B185" s="1">
        <v>45016</v>
      </c>
      <c r="C185" t="s">
        <v>536</v>
      </c>
      <c r="D185" t="s">
        <v>40</v>
      </c>
      <c r="E185" t="s">
        <v>19</v>
      </c>
      <c r="F185" t="s">
        <v>20</v>
      </c>
      <c r="G185" t="s">
        <v>537</v>
      </c>
      <c r="H185" s="8">
        <v>2113.21</v>
      </c>
      <c r="I185" s="8">
        <v>-544.11</v>
      </c>
      <c r="J185" s="8">
        <v>0.2</v>
      </c>
      <c r="K185" t="str">
        <f>IF(SalesData[[#This Row],[Profit]]&gt;0,"Profit","Loss")</f>
        <v>Loss</v>
      </c>
      <c r="L185" s="8">
        <f>SalesData[[#This Row],[Profit]]/SalesData[[#This Row],[Sales]]</f>
        <v>-0.25748032613890715</v>
      </c>
      <c r="M185" t="str">
        <f>TEXT(SalesData[[#This Row],[Order_Date]],"mmm")</f>
        <v>Mar</v>
      </c>
      <c r="N185">
        <f>YEAR(SalesData[[#This Row],[Order_Date]])</f>
        <v>2023</v>
      </c>
    </row>
    <row r="186" spans="1:14" x14ac:dyDescent="0.3">
      <c r="A186" t="s">
        <v>538</v>
      </c>
      <c r="B186" s="1">
        <v>45042</v>
      </c>
      <c r="C186" t="s">
        <v>539</v>
      </c>
      <c r="D186" t="s">
        <v>40</v>
      </c>
      <c r="E186" t="s">
        <v>13</v>
      </c>
      <c r="F186" t="s">
        <v>36</v>
      </c>
      <c r="G186" t="s">
        <v>169</v>
      </c>
      <c r="H186" s="8">
        <v>1246.6099999999999</v>
      </c>
      <c r="I186" s="8">
        <v>385.65</v>
      </c>
      <c r="J186" s="8">
        <v>7.0000000000000007E-2</v>
      </c>
      <c r="K186" t="str">
        <f>IF(SalesData[[#This Row],[Profit]]&gt;0,"Profit","Loss")</f>
        <v>Profit</v>
      </c>
      <c r="L186" s="8">
        <f>SalesData[[#This Row],[Profit]]/SalesData[[#This Row],[Sales]]</f>
        <v>0.30935898155798525</v>
      </c>
      <c r="M186" t="str">
        <f>TEXT(SalesData[[#This Row],[Order_Date]],"mmm")</f>
        <v>Apr</v>
      </c>
      <c r="N186">
        <f>YEAR(SalesData[[#This Row],[Order_Date]])</f>
        <v>2023</v>
      </c>
    </row>
    <row r="187" spans="1:14" x14ac:dyDescent="0.3">
      <c r="A187" t="s">
        <v>540</v>
      </c>
      <c r="B187" s="1">
        <v>45102</v>
      </c>
      <c r="C187" t="s">
        <v>541</v>
      </c>
      <c r="D187" t="s">
        <v>18</v>
      </c>
      <c r="E187" t="s">
        <v>13</v>
      </c>
      <c r="F187" t="s">
        <v>36</v>
      </c>
      <c r="G187" t="s">
        <v>542</v>
      </c>
      <c r="H187" s="8">
        <v>2362.23</v>
      </c>
      <c r="I187" s="8">
        <v>-120.18</v>
      </c>
      <c r="J187" s="8">
        <v>0.08</v>
      </c>
      <c r="K187" t="str">
        <f>IF(SalesData[[#This Row],[Profit]]&gt;0,"Profit","Loss")</f>
        <v>Loss</v>
      </c>
      <c r="L187" s="8">
        <f>SalesData[[#This Row],[Profit]]/SalesData[[#This Row],[Sales]]</f>
        <v>-5.0875655630484753E-2</v>
      </c>
      <c r="M187" t="str">
        <f>TEXT(SalesData[[#This Row],[Order_Date]],"mmm")</f>
        <v>Jun</v>
      </c>
      <c r="N187">
        <f>YEAR(SalesData[[#This Row],[Order_Date]])</f>
        <v>2023</v>
      </c>
    </row>
    <row r="188" spans="1:14" x14ac:dyDescent="0.3">
      <c r="A188" t="s">
        <v>543</v>
      </c>
      <c r="B188" s="1">
        <v>44942</v>
      </c>
      <c r="C188" t="s">
        <v>88</v>
      </c>
      <c r="D188" t="s">
        <v>12</v>
      </c>
      <c r="E188" t="s">
        <v>56</v>
      </c>
      <c r="F188" t="s">
        <v>73</v>
      </c>
      <c r="G188" t="s">
        <v>438</v>
      </c>
      <c r="H188" s="8">
        <v>778.15</v>
      </c>
      <c r="I188" s="8">
        <v>81.48</v>
      </c>
      <c r="J188" s="8">
        <v>0.08</v>
      </c>
      <c r="K188" t="str">
        <f>IF(SalesData[[#This Row],[Profit]]&gt;0,"Profit","Loss")</f>
        <v>Profit</v>
      </c>
      <c r="L188" s="8">
        <f>SalesData[[#This Row],[Profit]]/SalesData[[#This Row],[Sales]]</f>
        <v>0.10470988883891282</v>
      </c>
      <c r="M188" t="str">
        <f>TEXT(SalesData[[#This Row],[Order_Date]],"mmm")</f>
        <v>Jan</v>
      </c>
      <c r="N188">
        <f>YEAR(SalesData[[#This Row],[Order_Date]])</f>
        <v>2023</v>
      </c>
    </row>
    <row r="189" spans="1:14" x14ac:dyDescent="0.3">
      <c r="A189" t="s">
        <v>544</v>
      </c>
      <c r="B189" s="1">
        <v>45087</v>
      </c>
      <c r="C189" t="s">
        <v>545</v>
      </c>
      <c r="D189" t="s">
        <v>28</v>
      </c>
      <c r="E189" t="s">
        <v>13</v>
      </c>
      <c r="F189" t="s">
        <v>14</v>
      </c>
      <c r="G189" t="s">
        <v>392</v>
      </c>
      <c r="H189" s="8">
        <v>1496.81</v>
      </c>
      <c r="I189" s="8">
        <v>-398.64</v>
      </c>
      <c r="J189" s="8">
        <v>0.23</v>
      </c>
      <c r="K189" t="str">
        <f>IF(SalesData[[#This Row],[Profit]]&gt;0,"Profit","Loss")</f>
        <v>Loss</v>
      </c>
      <c r="L189" s="8">
        <f>SalesData[[#This Row],[Profit]]/SalesData[[#This Row],[Sales]]</f>
        <v>-0.26632638745064502</v>
      </c>
      <c r="M189" t="str">
        <f>TEXT(SalesData[[#This Row],[Order_Date]],"mmm")</f>
        <v>Jun</v>
      </c>
      <c r="N189">
        <f>YEAR(SalesData[[#This Row],[Order_Date]])</f>
        <v>2023</v>
      </c>
    </row>
    <row r="190" spans="1:14" x14ac:dyDescent="0.3">
      <c r="A190" t="s">
        <v>546</v>
      </c>
      <c r="B190" s="1">
        <v>44967</v>
      </c>
      <c r="C190" t="s">
        <v>547</v>
      </c>
      <c r="D190" t="s">
        <v>40</v>
      </c>
      <c r="E190" t="s">
        <v>56</v>
      </c>
      <c r="F190" t="s">
        <v>95</v>
      </c>
      <c r="G190" t="s">
        <v>548</v>
      </c>
      <c r="H190" s="8">
        <v>4434.6899999999996</v>
      </c>
      <c r="I190" s="8">
        <v>-1024.69</v>
      </c>
      <c r="J190" s="8">
        <v>0.28000000000000003</v>
      </c>
      <c r="K190" t="str">
        <f>IF(SalesData[[#This Row],[Profit]]&gt;0,"Profit","Loss")</f>
        <v>Loss</v>
      </c>
      <c r="L190" s="8">
        <f>SalesData[[#This Row],[Profit]]/SalesData[[#This Row],[Sales]]</f>
        <v>-0.23106237414565622</v>
      </c>
      <c r="M190" t="str">
        <f>TEXT(SalesData[[#This Row],[Order_Date]],"mmm")</f>
        <v>Feb</v>
      </c>
      <c r="N190">
        <f>YEAR(SalesData[[#This Row],[Order_Date]])</f>
        <v>2023</v>
      </c>
    </row>
    <row r="191" spans="1:14" x14ac:dyDescent="0.3">
      <c r="A191" t="s">
        <v>549</v>
      </c>
      <c r="B191" s="1">
        <v>45227</v>
      </c>
      <c r="C191" t="s">
        <v>550</v>
      </c>
      <c r="D191" t="s">
        <v>18</v>
      </c>
      <c r="E191" t="s">
        <v>19</v>
      </c>
      <c r="F191" t="s">
        <v>20</v>
      </c>
      <c r="G191" t="s">
        <v>551</v>
      </c>
      <c r="H191" s="8">
        <v>1937.07</v>
      </c>
      <c r="I191" s="8">
        <v>675.06</v>
      </c>
      <c r="J191" s="8">
        <v>0.01</v>
      </c>
      <c r="K191" t="str">
        <f>IF(SalesData[[#This Row],[Profit]]&gt;0,"Profit","Loss")</f>
        <v>Profit</v>
      </c>
      <c r="L191" s="8">
        <f>SalesData[[#This Row],[Profit]]/SalesData[[#This Row],[Sales]]</f>
        <v>0.34849540801313322</v>
      </c>
      <c r="M191" t="str">
        <f>TEXT(SalesData[[#This Row],[Order_Date]],"mmm")</f>
        <v>Oct</v>
      </c>
      <c r="N191">
        <f>YEAR(SalesData[[#This Row],[Order_Date]])</f>
        <v>2023</v>
      </c>
    </row>
    <row r="192" spans="1:14" x14ac:dyDescent="0.3">
      <c r="A192" t="s">
        <v>552</v>
      </c>
      <c r="B192" s="1">
        <v>45284</v>
      </c>
      <c r="C192" t="s">
        <v>553</v>
      </c>
      <c r="D192" t="s">
        <v>28</v>
      </c>
      <c r="E192" t="s">
        <v>56</v>
      </c>
      <c r="F192" t="s">
        <v>95</v>
      </c>
      <c r="G192" t="s">
        <v>254</v>
      </c>
      <c r="H192" s="8">
        <v>4595.24</v>
      </c>
      <c r="I192" s="8">
        <v>729.11</v>
      </c>
      <c r="J192" s="8">
        <v>0.14000000000000001</v>
      </c>
      <c r="K192" t="str">
        <f>IF(SalesData[[#This Row],[Profit]]&gt;0,"Profit","Loss")</f>
        <v>Profit</v>
      </c>
      <c r="L192" s="8">
        <f>SalesData[[#This Row],[Profit]]/SalesData[[#This Row],[Sales]]</f>
        <v>0.15866635910202734</v>
      </c>
      <c r="M192" t="str">
        <f>TEXT(SalesData[[#This Row],[Order_Date]],"mmm")</f>
        <v>Dec</v>
      </c>
      <c r="N192">
        <f>YEAR(SalesData[[#This Row],[Order_Date]])</f>
        <v>2023</v>
      </c>
    </row>
    <row r="193" spans="1:14" x14ac:dyDescent="0.3">
      <c r="A193" t="s">
        <v>554</v>
      </c>
      <c r="B193" s="1">
        <v>45185</v>
      </c>
      <c r="C193" t="s">
        <v>555</v>
      </c>
      <c r="D193" t="s">
        <v>28</v>
      </c>
      <c r="E193" t="s">
        <v>56</v>
      </c>
      <c r="F193" t="s">
        <v>57</v>
      </c>
      <c r="G193" t="s">
        <v>556</v>
      </c>
      <c r="H193" s="8">
        <v>193.12</v>
      </c>
      <c r="I193" s="8">
        <v>-32.89</v>
      </c>
      <c r="J193" s="8">
        <v>0.06</v>
      </c>
      <c r="K193" t="str">
        <f>IF(SalesData[[#This Row],[Profit]]&gt;0,"Profit","Loss")</f>
        <v>Loss</v>
      </c>
      <c r="L193" s="8">
        <f>SalesData[[#This Row],[Profit]]/SalesData[[#This Row],[Sales]]</f>
        <v>-0.17030861640430819</v>
      </c>
      <c r="M193" t="str">
        <f>TEXT(SalesData[[#This Row],[Order_Date]],"mmm")</f>
        <v>Sep</v>
      </c>
      <c r="N193">
        <f>YEAR(SalesData[[#This Row],[Order_Date]])</f>
        <v>2023</v>
      </c>
    </row>
    <row r="194" spans="1:14" x14ac:dyDescent="0.3">
      <c r="A194" t="s">
        <v>557</v>
      </c>
      <c r="B194" s="1">
        <v>45199</v>
      </c>
      <c r="C194" t="s">
        <v>558</v>
      </c>
      <c r="D194" t="s">
        <v>12</v>
      </c>
      <c r="E194" t="s">
        <v>19</v>
      </c>
      <c r="F194" t="s">
        <v>20</v>
      </c>
      <c r="G194" t="s">
        <v>556</v>
      </c>
      <c r="H194" s="8">
        <v>1575.64</v>
      </c>
      <c r="I194" s="8">
        <v>66.010000000000005</v>
      </c>
      <c r="J194" s="8">
        <v>0.01</v>
      </c>
      <c r="K194" t="str">
        <f>IF(SalesData[[#This Row],[Profit]]&gt;0,"Profit","Loss")</f>
        <v>Profit</v>
      </c>
      <c r="L194" s="8">
        <f>SalesData[[#This Row],[Profit]]/SalesData[[#This Row],[Sales]]</f>
        <v>4.1894087481912111E-2</v>
      </c>
      <c r="M194" t="str">
        <f>TEXT(SalesData[[#This Row],[Order_Date]],"mmm")</f>
        <v>Sep</v>
      </c>
      <c r="N194">
        <f>YEAR(SalesData[[#This Row],[Order_Date]])</f>
        <v>2023</v>
      </c>
    </row>
    <row r="195" spans="1:14" x14ac:dyDescent="0.3">
      <c r="A195" t="s">
        <v>559</v>
      </c>
      <c r="B195" s="1">
        <v>44709</v>
      </c>
      <c r="C195" t="s">
        <v>560</v>
      </c>
      <c r="D195" t="s">
        <v>28</v>
      </c>
      <c r="E195" t="s">
        <v>19</v>
      </c>
      <c r="F195" t="s">
        <v>141</v>
      </c>
      <c r="G195" t="s">
        <v>561</v>
      </c>
      <c r="H195" s="8">
        <v>2726.66</v>
      </c>
      <c r="I195" s="8">
        <v>-122.62</v>
      </c>
      <c r="J195" s="8">
        <v>0.19</v>
      </c>
      <c r="K195" t="str">
        <f>IF(SalesData[[#This Row],[Profit]]&gt;0,"Profit","Loss")</f>
        <v>Loss</v>
      </c>
      <c r="L195" s="8">
        <f>SalesData[[#This Row],[Profit]]/SalesData[[#This Row],[Sales]]</f>
        <v>-4.4970770099682401E-2</v>
      </c>
      <c r="M195" t="str">
        <f>TEXT(SalesData[[#This Row],[Order_Date]],"mmm")</f>
        <v>May</v>
      </c>
      <c r="N195">
        <f>YEAR(SalesData[[#This Row],[Order_Date]])</f>
        <v>2022</v>
      </c>
    </row>
    <row r="196" spans="1:14" x14ac:dyDescent="0.3">
      <c r="A196" t="s">
        <v>562</v>
      </c>
      <c r="B196" s="1">
        <v>44649</v>
      </c>
      <c r="C196" t="s">
        <v>563</v>
      </c>
      <c r="D196" t="s">
        <v>40</v>
      </c>
      <c r="E196" t="s">
        <v>13</v>
      </c>
      <c r="F196" t="s">
        <v>36</v>
      </c>
      <c r="G196" t="s">
        <v>564</v>
      </c>
      <c r="H196" s="8">
        <v>1278.76</v>
      </c>
      <c r="I196" s="8">
        <v>100.54</v>
      </c>
      <c r="J196" s="8">
        <v>0.12</v>
      </c>
      <c r="K196" t="str">
        <f>IF(SalesData[[#This Row],[Profit]]&gt;0,"Profit","Loss")</f>
        <v>Profit</v>
      </c>
      <c r="L196" s="8">
        <f>SalesData[[#This Row],[Profit]]/SalesData[[#This Row],[Sales]]</f>
        <v>7.8623041071037569E-2</v>
      </c>
      <c r="M196" t="str">
        <f>TEXT(SalesData[[#This Row],[Order_Date]],"mmm")</f>
        <v>Mar</v>
      </c>
      <c r="N196">
        <f>YEAR(SalesData[[#This Row],[Order_Date]])</f>
        <v>2022</v>
      </c>
    </row>
    <row r="197" spans="1:14" x14ac:dyDescent="0.3">
      <c r="A197" t="s">
        <v>565</v>
      </c>
      <c r="B197" s="1">
        <v>44961</v>
      </c>
      <c r="C197" t="s">
        <v>316</v>
      </c>
      <c r="D197" t="s">
        <v>12</v>
      </c>
      <c r="E197" t="s">
        <v>13</v>
      </c>
      <c r="F197" t="s">
        <v>24</v>
      </c>
      <c r="G197" t="s">
        <v>409</v>
      </c>
      <c r="H197" s="8">
        <v>2585.91</v>
      </c>
      <c r="I197" s="8">
        <v>-433.16</v>
      </c>
      <c r="J197" s="8">
        <v>0.3</v>
      </c>
      <c r="K197" t="str">
        <f>IF(SalesData[[#This Row],[Profit]]&gt;0,"Profit","Loss")</f>
        <v>Loss</v>
      </c>
      <c r="L197" s="8">
        <f>SalesData[[#This Row],[Profit]]/SalesData[[#This Row],[Sales]]</f>
        <v>-0.16750776322455152</v>
      </c>
      <c r="M197" t="str">
        <f>TEXT(SalesData[[#This Row],[Order_Date]],"mmm")</f>
        <v>Feb</v>
      </c>
      <c r="N197">
        <f>YEAR(SalesData[[#This Row],[Order_Date]])</f>
        <v>2023</v>
      </c>
    </row>
    <row r="198" spans="1:14" x14ac:dyDescent="0.3">
      <c r="A198" t="s">
        <v>566</v>
      </c>
      <c r="B198" s="1">
        <v>44915</v>
      </c>
      <c r="C198" t="s">
        <v>567</v>
      </c>
      <c r="D198" t="s">
        <v>12</v>
      </c>
      <c r="E198" t="s">
        <v>19</v>
      </c>
      <c r="F198" t="s">
        <v>29</v>
      </c>
      <c r="G198" t="s">
        <v>339</v>
      </c>
      <c r="H198" s="8">
        <v>1342.89</v>
      </c>
      <c r="I198" s="8">
        <v>366.76</v>
      </c>
      <c r="J198" s="8">
        <v>0</v>
      </c>
      <c r="K198" t="str">
        <f>IF(SalesData[[#This Row],[Profit]]&gt;0,"Profit","Loss")</f>
        <v>Profit</v>
      </c>
      <c r="L198" s="8">
        <f>SalesData[[#This Row],[Profit]]/SalesData[[#This Row],[Sales]]</f>
        <v>0.27311246639709874</v>
      </c>
      <c r="M198" t="str">
        <f>TEXT(SalesData[[#This Row],[Order_Date]],"mmm")</f>
        <v>Dec</v>
      </c>
      <c r="N198">
        <f>YEAR(SalesData[[#This Row],[Order_Date]])</f>
        <v>2022</v>
      </c>
    </row>
    <row r="199" spans="1:14" x14ac:dyDescent="0.3">
      <c r="A199" t="s">
        <v>568</v>
      </c>
      <c r="B199" s="1">
        <v>44908</v>
      </c>
      <c r="C199" t="s">
        <v>569</v>
      </c>
      <c r="D199" t="s">
        <v>18</v>
      </c>
      <c r="E199" t="s">
        <v>13</v>
      </c>
      <c r="F199" t="s">
        <v>24</v>
      </c>
      <c r="G199" t="s">
        <v>395</v>
      </c>
      <c r="H199" s="8">
        <v>3807.73</v>
      </c>
      <c r="I199" s="8">
        <v>-108.98</v>
      </c>
      <c r="J199" s="8">
        <v>0.04</v>
      </c>
      <c r="K199" t="str">
        <f>IF(SalesData[[#This Row],[Profit]]&gt;0,"Profit","Loss")</f>
        <v>Loss</v>
      </c>
      <c r="L199" s="8">
        <f>SalesData[[#This Row],[Profit]]/SalesData[[#This Row],[Sales]]</f>
        <v>-2.8620726784724757E-2</v>
      </c>
      <c r="M199" t="str">
        <f>TEXT(SalesData[[#This Row],[Order_Date]],"mmm")</f>
        <v>Dec</v>
      </c>
      <c r="N199">
        <f>YEAR(SalesData[[#This Row],[Order_Date]])</f>
        <v>2022</v>
      </c>
    </row>
    <row r="200" spans="1:14" x14ac:dyDescent="0.3">
      <c r="A200" t="s">
        <v>570</v>
      </c>
      <c r="B200" s="1">
        <v>44700</v>
      </c>
      <c r="C200" t="s">
        <v>571</v>
      </c>
      <c r="D200" t="s">
        <v>28</v>
      </c>
      <c r="E200" t="s">
        <v>13</v>
      </c>
      <c r="F200" t="s">
        <v>36</v>
      </c>
      <c r="G200" t="s">
        <v>572</v>
      </c>
      <c r="H200" s="8">
        <v>4906.01</v>
      </c>
      <c r="I200" s="8">
        <v>-1131.49</v>
      </c>
      <c r="J200" s="8">
        <v>0.14000000000000001</v>
      </c>
      <c r="K200" t="str">
        <f>IF(SalesData[[#This Row],[Profit]]&gt;0,"Profit","Loss")</f>
        <v>Loss</v>
      </c>
      <c r="L200" s="8">
        <f>SalesData[[#This Row],[Profit]]/SalesData[[#This Row],[Sales]]</f>
        <v>-0.23063344754698828</v>
      </c>
      <c r="M200" t="str">
        <f>TEXT(SalesData[[#This Row],[Order_Date]],"mmm")</f>
        <v>May</v>
      </c>
      <c r="N200">
        <f>YEAR(SalesData[[#This Row],[Order_Date]])</f>
        <v>2022</v>
      </c>
    </row>
    <row r="201" spans="1:14" x14ac:dyDescent="0.3">
      <c r="A201" t="s">
        <v>573</v>
      </c>
      <c r="B201" s="1">
        <v>44879</v>
      </c>
      <c r="C201" t="s">
        <v>574</v>
      </c>
      <c r="D201" t="s">
        <v>28</v>
      </c>
      <c r="E201" t="s">
        <v>19</v>
      </c>
      <c r="F201" t="s">
        <v>20</v>
      </c>
      <c r="G201" t="s">
        <v>575</v>
      </c>
      <c r="H201" s="8">
        <v>314.64999999999998</v>
      </c>
      <c r="I201" s="8">
        <v>-73.900000000000006</v>
      </c>
      <c r="J201" s="8">
        <v>0.06</v>
      </c>
      <c r="K201" t="str">
        <f>IF(SalesData[[#This Row],[Profit]]&gt;0,"Profit","Loss")</f>
        <v>Loss</v>
      </c>
      <c r="L201" s="8">
        <f>SalesData[[#This Row],[Profit]]/SalesData[[#This Row],[Sales]]</f>
        <v>-0.23486413475290008</v>
      </c>
      <c r="M201" t="str">
        <f>TEXT(SalesData[[#This Row],[Order_Date]],"mmm")</f>
        <v>Nov</v>
      </c>
      <c r="N201">
        <f>YEAR(SalesData[[#This Row],[Order_Date]])</f>
        <v>2022</v>
      </c>
    </row>
    <row r="202" spans="1:14" x14ac:dyDescent="0.3">
      <c r="A202" t="s">
        <v>576</v>
      </c>
      <c r="B202" s="1">
        <v>44927</v>
      </c>
      <c r="C202" t="s">
        <v>577</v>
      </c>
      <c r="D202" t="s">
        <v>12</v>
      </c>
      <c r="E202" t="s">
        <v>13</v>
      </c>
      <c r="F202" t="s">
        <v>36</v>
      </c>
      <c r="G202" t="s">
        <v>578</v>
      </c>
      <c r="H202" s="8">
        <v>1341.24</v>
      </c>
      <c r="I202" s="8">
        <v>-422.94</v>
      </c>
      <c r="J202" s="8">
        <v>0.23</v>
      </c>
      <c r="K202" t="str">
        <f>IF(SalesData[[#This Row],[Profit]]&gt;0,"Profit","Loss")</f>
        <v>Loss</v>
      </c>
      <c r="L202" s="8">
        <f>SalesData[[#This Row],[Profit]]/SalesData[[#This Row],[Sales]]</f>
        <v>-0.31533506307595954</v>
      </c>
      <c r="M202" t="str">
        <f>TEXT(SalesData[[#This Row],[Order_Date]],"mmm")</f>
        <v>Jan</v>
      </c>
      <c r="N202">
        <f>YEAR(SalesData[[#This Row],[Order_Date]])</f>
        <v>2023</v>
      </c>
    </row>
    <row r="203" spans="1:14" x14ac:dyDescent="0.3">
      <c r="A203" t="s">
        <v>579</v>
      </c>
      <c r="B203" s="1">
        <v>44971</v>
      </c>
      <c r="C203" t="s">
        <v>580</v>
      </c>
      <c r="D203" t="s">
        <v>28</v>
      </c>
      <c r="E203" t="s">
        <v>13</v>
      </c>
      <c r="F203" t="s">
        <v>36</v>
      </c>
      <c r="G203" t="s">
        <v>581</v>
      </c>
      <c r="H203" s="8">
        <v>1438.76</v>
      </c>
      <c r="I203" s="8">
        <v>-255.85</v>
      </c>
      <c r="J203" s="8">
        <v>0.24</v>
      </c>
      <c r="K203" t="str">
        <f>IF(SalesData[[#This Row],[Profit]]&gt;0,"Profit","Loss")</f>
        <v>Loss</v>
      </c>
      <c r="L203" s="8">
        <f>SalesData[[#This Row],[Profit]]/SalesData[[#This Row],[Sales]]</f>
        <v>-0.177826739692513</v>
      </c>
      <c r="M203" t="str">
        <f>TEXT(SalesData[[#This Row],[Order_Date]],"mmm")</f>
        <v>Feb</v>
      </c>
      <c r="N203">
        <f>YEAR(SalesData[[#This Row],[Order_Date]])</f>
        <v>2023</v>
      </c>
    </row>
    <row r="204" spans="1:14" x14ac:dyDescent="0.3">
      <c r="A204" t="s">
        <v>582</v>
      </c>
      <c r="B204" s="1">
        <v>45093</v>
      </c>
      <c r="C204" t="s">
        <v>583</v>
      </c>
      <c r="D204" t="s">
        <v>12</v>
      </c>
      <c r="E204" t="s">
        <v>19</v>
      </c>
      <c r="F204" t="s">
        <v>29</v>
      </c>
      <c r="G204" t="s">
        <v>584</v>
      </c>
      <c r="H204" s="8">
        <v>4871.25</v>
      </c>
      <c r="I204" s="8">
        <v>-250.8</v>
      </c>
      <c r="J204" s="8">
        <v>0.15</v>
      </c>
      <c r="K204" t="str">
        <f>IF(SalesData[[#This Row],[Profit]]&gt;0,"Profit","Loss")</f>
        <v>Loss</v>
      </c>
      <c r="L204" s="8">
        <f>SalesData[[#This Row],[Profit]]/SalesData[[#This Row],[Sales]]</f>
        <v>-5.1485758275596614E-2</v>
      </c>
      <c r="M204" t="str">
        <f>TEXT(SalesData[[#This Row],[Order_Date]],"mmm")</f>
        <v>Jun</v>
      </c>
      <c r="N204">
        <f>YEAR(SalesData[[#This Row],[Order_Date]])</f>
        <v>2023</v>
      </c>
    </row>
    <row r="205" spans="1:14" x14ac:dyDescent="0.3">
      <c r="A205" t="s">
        <v>585</v>
      </c>
      <c r="B205" s="1">
        <v>44862</v>
      </c>
      <c r="C205" t="s">
        <v>586</v>
      </c>
      <c r="D205" t="s">
        <v>12</v>
      </c>
      <c r="E205" t="s">
        <v>19</v>
      </c>
      <c r="F205" t="s">
        <v>20</v>
      </c>
      <c r="G205" t="s">
        <v>33</v>
      </c>
      <c r="H205" s="8">
        <v>2209.98</v>
      </c>
      <c r="I205" s="8">
        <v>-865.71</v>
      </c>
      <c r="J205" s="8">
        <v>0.3</v>
      </c>
      <c r="K205" t="str">
        <f>IF(SalesData[[#This Row],[Profit]]&gt;0,"Profit","Loss")</f>
        <v>Loss</v>
      </c>
      <c r="L205" s="8">
        <f>SalesData[[#This Row],[Profit]]/SalesData[[#This Row],[Sales]]</f>
        <v>-0.3917275269459452</v>
      </c>
      <c r="M205" t="str">
        <f>TEXT(SalesData[[#This Row],[Order_Date]],"mmm")</f>
        <v>Oct</v>
      </c>
      <c r="N205">
        <f>YEAR(SalesData[[#This Row],[Order_Date]])</f>
        <v>2022</v>
      </c>
    </row>
    <row r="206" spans="1:14" x14ac:dyDescent="0.3">
      <c r="A206" t="s">
        <v>587</v>
      </c>
      <c r="B206" s="1">
        <v>44732</v>
      </c>
      <c r="C206" t="s">
        <v>588</v>
      </c>
      <c r="D206" t="s">
        <v>28</v>
      </c>
      <c r="E206" t="s">
        <v>19</v>
      </c>
      <c r="F206" t="s">
        <v>141</v>
      </c>
      <c r="G206" t="s">
        <v>497</v>
      </c>
      <c r="H206" s="8">
        <v>1548.64</v>
      </c>
      <c r="I206" s="8">
        <v>155.79</v>
      </c>
      <c r="J206" s="8">
        <v>0.13</v>
      </c>
      <c r="K206" t="str">
        <f>IF(SalesData[[#This Row],[Profit]]&gt;0,"Profit","Loss")</f>
        <v>Profit</v>
      </c>
      <c r="L206" s="8">
        <f>SalesData[[#This Row],[Profit]]/SalesData[[#This Row],[Sales]]</f>
        <v>0.10059794400247958</v>
      </c>
      <c r="M206" t="str">
        <f>TEXT(SalesData[[#This Row],[Order_Date]],"mmm")</f>
        <v>Jun</v>
      </c>
      <c r="N206">
        <f>YEAR(SalesData[[#This Row],[Order_Date]])</f>
        <v>2022</v>
      </c>
    </row>
    <row r="207" spans="1:14" x14ac:dyDescent="0.3">
      <c r="A207" t="s">
        <v>589</v>
      </c>
      <c r="B207" s="1">
        <v>45007</v>
      </c>
      <c r="C207" t="s">
        <v>440</v>
      </c>
      <c r="D207" t="s">
        <v>12</v>
      </c>
      <c r="E207" t="s">
        <v>19</v>
      </c>
      <c r="F207" t="s">
        <v>20</v>
      </c>
      <c r="G207" t="s">
        <v>590</v>
      </c>
      <c r="H207" s="8">
        <v>3661.39</v>
      </c>
      <c r="I207" s="8">
        <v>-370.13</v>
      </c>
      <c r="J207" s="8">
        <v>0.27</v>
      </c>
      <c r="K207" t="str">
        <f>IF(SalesData[[#This Row],[Profit]]&gt;0,"Profit","Loss")</f>
        <v>Loss</v>
      </c>
      <c r="L207" s="8">
        <f>SalesData[[#This Row],[Profit]]/SalesData[[#This Row],[Sales]]</f>
        <v>-0.10109002318791498</v>
      </c>
      <c r="M207" t="str">
        <f>TEXT(SalesData[[#This Row],[Order_Date]],"mmm")</f>
        <v>Mar</v>
      </c>
      <c r="N207">
        <f>YEAR(SalesData[[#This Row],[Order_Date]])</f>
        <v>2023</v>
      </c>
    </row>
    <row r="208" spans="1:14" x14ac:dyDescent="0.3">
      <c r="A208" t="s">
        <v>591</v>
      </c>
      <c r="B208" s="1">
        <v>44725</v>
      </c>
      <c r="C208" t="s">
        <v>464</v>
      </c>
      <c r="D208" t="s">
        <v>18</v>
      </c>
      <c r="E208" t="s">
        <v>13</v>
      </c>
      <c r="F208" t="s">
        <v>24</v>
      </c>
      <c r="G208" t="s">
        <v>592</v>
      </c>
      <c r="H208" s="8">
        <v>2090.4299999999998</v>
      </c>
      <c r="I208" s="8">
        <v>208.92</v>
      </c>
      <c r="J208" s="8">
        <v>0.15</v>
      </c>
      <c r="K208" t="str">
        <f>IF(SalesData[[#This Row],[Profit]]&gt;0,"Profit","Loss")</f>
        <v>Profit</v>
      </c>
      <c r="L208" s="8">
        <f>SalesData[[#This Row],[Profit]]/SalesData[[#This Row],[Sales]]</f>
        <v>9.9941160431107484E-2</v>
      </c>
      <c r="M208" t="str">
        <f>TEXT(SalesData[[#This Row],[Order_Date]],"mmm")</f>
        <v>Jun</v>
      </c>
      <c r="N208">
        <f>YEAR(SalesData[[#This Row],[Order_Date]])</f>
        <v>2022</v>
      </c>
    </row>
    <row r="209" spans="1:14" x14ac:dyDescent="0.3">
      <c r="A209" t="s">
        <v>593</v>
      </c>
      <c r="B209" s="1">
        <v>45222</v>
      </c>
      <c r="C209" t="s">
        <v>594</v>
      </c>
      <c r="D209" t="s">
        <v>40</v>
      </c>
      <c r="E209" t="s">
        <v>13</v>
      </c>
      <c r="F209" t="s">
        <v>24</v>
      </c>
      <c r="G209" t="s">
        <v>380</v>
      </c>
      <c r="H209" s="8">
        <v>3928.43</v>
      </c>
      <c r="I209" s="8">
        <v>-666.5</v>
      </c>
      <c r="J209" s="8">
        <v>0.01</v>
      </c>
      <c r="K209" t="str">
        <f>IF(SalesData[[#This Row],[Profit]]&gt;0,"Profit","Loss")</f>
        <v>Loss</v>
      </c>
      <c r="L209" s="8">
        <f>SalesData[[#This Row],[Profit]]/SalesData[[#This Row],[Sales]]</f>
        <v>-0.16966065323806204</v>
      </c>
      <c r="M209" t="str">
        <f>TEXT(SalesData[[#This Row],[Order_Date]],"mmm")</f>
        <v>Oct</v>
      </c>
      <c r="N209">
        <f>YEAR(SalesData[[#This Row],[Order_Date]])</f>
        <v>2023</v>
      </c>
    </row>
    <row r="210" spans="1:14" x14ac:dyDescent="0.3">
      <c r="A210" t="s">
        <v>595</v>
      </c>
      <c r="B210" s="1">
        <v>44942</v>
      </c>
      <c r="C210" t="s">
        <v>364</v>
      </c>
      <c r="D210" t="s">
        <v>12</v>
      </c>
      <c r="E210" t="s">
        <v>13</v>
      </c>
      <c r="F210" t="s">
        <v>14</v>
      </c>
      <c r="G210" t="s">
        <v>279</v>
      </c>
      <c r="H210" s="8">
        <v>3064.96</v>
      </c>
      <c r="I210" s="8">
        <v>518.88</v>
      </c>
      <c r="J210" s="8">
        <v>0.2</v>
      </c>
      <c r="K210" t="str">
        <f>IF(SalesData[[#This Row],[Profit]]&gt;0,"Profit","Loss")</f>
        <v>Profit</v>
      </c>
      <c r="L210" s="8">
        <f>SalesData[[#This Row],[Profit]]/SalesData[[#This Row],[Sales]]</f>
        <v>0.16929421591146376</v>
      </c>
      <c r="M210" t="str">
        <f>TEXT(SalesData[[#This Row],[Order_Date]],"mmm")</f>
        <v>Jan</v>
      </c>
      <c r="N210">
        <f>YEAR(SalesData[[#This Row],[Order_Date]])</f>
        <v>2023</v>
      </c>
    </row>
    <row r="211" spans="1:14" x14ac:dyDescent="0.3">
      <c r="A211" t="s">
        <v>596</v>
      </c>
      <c r="B211" s="1">
        <v>44678</v>
      </c>
      <c r="C211" t="s">
        <v>597</v>
      </c>
      <c r="D211" t="s">
        <v>18</v>
      </c>
      <c r="E211" t="s">
        <v>56</v>
      </c>
      <c r="F211" t="s">
        <v>73</v>
      </c>
      <c r="G211" t="s">
        <v>598</v>
      </c>
      <c r="H211" s="8">
        <v>1898.05</v>
      </c>
      <c r="I211" s="8">
        <v>-233.05</v>
      </c>
      <c r="J211" s="8">
        <v>0.09</v>
      </c>
      <c r="K211" t="str">
        <f>IF(SalesData[[#This Row],[Profit]]&gt;0,"Profit","Loss")</f>
        <v>Loss</v>
      </c>
      <c r="L211" s="8">
        <f>SalesData[[#This Row],[Profit]]/SalesData[[#This Row],[Sales]]</f>
        <v>-0.12278390980216539</v>
      </c>
      <c r="M211" t="str">
        <f>TEXT(SalesData[[#This Row],[Order_Date]],"mmm")</f>
        <v>Apr</v>
      </c>
      <c r="N211">
        <f>YEAR(SalesData[[#This Row],[Order_Date]])</f>
        <v>2022</v>
      </c>
    </row>
    <row r="212" spans="1:14" x14ac:dyDescent="0.3">
      <c r="A212" t="s">
        <v>599</v>
      </c>
      <c r="B212" s="1">
        <v>45282</v>
      </c>
      <c r="C212" t="s">
        <v>207</v>
      </c>
      <c r="D212" t="s">
        <v>18</v>
      </c>
      <c r="E212" t="s">
        <v>13</v>
      </c>
      <c r="F212" t="s">
        <v>36</v>
      </c>
      <c r="G212" t="s">
        <v>600</v>
      </c>
      <c r="H212" s="8">
        <v>4576.3599999999997</v>
      </c>
      <c r="I212" s="8">
        <v>1029.58</v>
      </c>
      <c r="J212" s="8">
        <v>0.04</v>
      </c>
      <c r="K212" t="str">
        <f>IF(SalesData[[#This Row],[Profit]]&gt;0,"Profit","Loss")</f>
        <v>Profit</v>
      </c>
      <c r="L212" s="8">
        <f>SalesData[[#This Row],[Profit]]/SalesData[[#This Row],[Sales]]</f>
        <v>0.22497793005795</v>
      </c>
      <c r="M212" t="str">
        <f>TEXT(SalesData[[#This Row],[Order_Date]],"mmm")</f>
        <v>Dec</v>
      </c>
      <c r="N212">
        <f>YEAR(SalesData[[#This Row],[Order_Date]])</f>
        <v>2023</v>
      </c>
    </row>
    <row r="213" spans="1:14" x14ac:dyDescent="0.3">
      <c r="A213" t="s">
        <v>601</v>
      </c>
      <c r="B213" s="1">
        <v>44637</v>
      </c>
      <c r="C213" t="s">
        <v>602</v>
      </c>
      <c r="D213" t="s">
        <v>18</v>
      </c>
      <c r="E213" t="s">
        <v>19</v>
      </c>
      <c r="F213" t="s">
        <v>141</v>
      </c>
      <c r="G213" t="s">
        <v>603</v>
      </c>
      <c r="H213" s="8">
        <v>4590.75</v>
      </c>
      <c r="I213" s="8">
        <v>-1268.96</v>
      </c>
      <c r="J213" s="8">
        <v>0.15</v>
      </c>
      <c r="K213" t="str">
        <f>IF(SalesData[[#This Row],[Profit]]&gt;0,"Profit","Loss")</f>
        <v>Loss</v>
      </c>
      <c r="L213" s="8">
        <f>SalesData[[#This Row],[Profit]]/SalesData[[#This Row],[Sales]]</f>
        <v>-0.27641670750966618</v>
      </c>
      <c r="M213" t="str">
        <f>TEXT(SalesData[[#This Row],[Order_Date]],"mmm")</f>
        <v>Mar</v>
      </c>
      <c r="N213">
        <f>YEAR(SalesData[[#This Row],[Order_Date]])</f>
        <v>2022</v>
      </c>
    </row>
    <row r="214" spans="1:14" x14ac:dyDescent="0.3">
      <c r="A214" t="s">
        <v>604</v>
      </c>
      <c r="B214" s="1">
        <v>44889</v>
      </c>
      <c r="C214" t="s">
        <v>605</v>
      </c>
      <c r="D214" t="s">
        <v>40</v>
      </c>
      <c r="E214" t="s">
        <v>13</v>
      </c>
      <c r="F214" t="s">
        <v>36</v>
      </c>
      <c r="G214" t="s">
        <v>606</v>
      </c>
      <c r="H214" s="8">
        <v>4986.59</v>
      </c>
      <c r="I214" s="8">
        <v>700.8</v>
      </c>
      <c r="J214" s="8">
        <v>0.24</v>
      </c>
      <c r="K214" t="str">
        <f>IF(SalesData[[#This Row],[Profit]]&gt;0,"Profit","Loss")</f>
        <v>Profit</v>
      </c>
      <c r="L214" s="8">
        <f>SalesData[[#This Row],[Profit]]/SalesData[[#This Row],[Sales]]</f>
        <v>0.14053692001949228</v>
      </c>
      <c r="M214" t="str">
        <f>TEXT(SalesData[[#This Row],[Order_Date]],"mmm")</f>
        <v>Nov</v>
      </c>
      <c r="N214">
        <f>YEAR(SalesData[[#This Row],[Order_Date]])</f>
        <v>2022</v>
      </c>
    </row>
    <row r="215" spans="1:14" x14ac:dyDescent="0.3">
      <c r="A215" t="s">
        <v>607</v>
      </c>
      <c r="B215" s="1">
        <v>45290</v>
      </c>
      <c r="C215" t="s">
        <v>330</v>
      </c>
      <c r="D215" t="s">
        <v>18</v>
      </c>
      <c r="E215" t="s">
        <v>56</v>
      </c>
      <c r="F215" t="s">
        <v>73</v>
      </c>
      <c r="G215" t="s">
        <v>608</v>
      </c>
      <c r="H215" s="8">
        <v>2756.64</v>
      </c>
      <c r="I215" s="8">
        <v>112.52</v>
      </c>
      <c r="J215" s="8">
        <v>0.27</v>
      </c>
      <c r="K215" t="str">
        <f>IF(SalesData[[#This Row],[Profit]]&gt;0,"Profit","Loss")</f>
        <v>Profit</v>
      </c>
      <c r="L215" s="8">
        <f>SalesData[[#This Row],[Profit]]/SalesData[[#This Row],[Sales]]</f>
        <v>4.0817807185559232E-2</v>
      </c>
      <c r="M215" t="str">
        <f>TEXT(SalesData[[#This Row],[Order_Date]],"mmm")</f>
        <v>Dec</v>
      </c>
      <c r="N215">
        <f>YEAR(SalesData[[#This Row],[Order_Date]])</f>
        <v>2023</v>
      </c>
    </row>
    <row r="216" spans="1:14" x14ac:dyDescent="0.3">
      <c r="A216" t="s">
        <v>609</v>
      </c>
      <c r="B216" s="1">
        <v>44804</v>
      </c>
      <c r="C216" t="s">
        <v>610</v>
      </c>
      <c r="D216" t="s">
        <v>12</v>
      </c>
      <c r="E216" t="s">
        <v>19</v>
      </c>
      <c r="F216" t="s">
        <v>141</v>
      </c>
      <c r="G216" t="s">
        <v>611</v>
      </c>
      <c r="H216" s="8">
        <v>1198.78</v>
      </c>
      <c r="I216" s="8">
        <v>-29.68</v>
      </c>
      <c r="J216" s="8">
        <v>0.3</v>
      </c>
      <c r="K216" t="str">
        <f>IF(SalesData[[#This Row],[Profit]]&gt;0,"Profit","Loss")</f>
        <v>Loss</v>
      </c>
      <c r="L216" s="8">
        <f>SalesData[[#This Row],[Profit]]/SalesData[[#This Row],[Sales]]</f>
        <v>-2.4758504479554213E-2</v>
      </c>
      <c r="M216" t="str">
        <f>TEXT(SalesData[[#This Row],[Order_Date]],"mmm")</f>
        <v>Aug</v>
      </c>
      <c r="N216">
        <f>YEAR(SalesData[[#This Row],[Order_Date]])</f>
        <v>2022</v>
      </c>
    </row>
    <row r="217" spans="1:14" x14ac:dyDescent="0.3">
      <c r="A217" t="s">
        <v>612</v>
      </c>
      <c r="B217" s="1">
        <v>45188</v>
      </c>
      <c r="C217" t="s">
        <v>613</v>
      </c>
      <c r="D217" t="s">
        <v>12</v>
      </c>
      <c r="E217" t="s">
        <v>13</v>
      </c>
      <c r="F217" t="s">
        <v>24</v>
      </c>
      <c r="G217" t="s">
        <v>507</v>
      </c>
      <c r="H217" s="8">
        <v>1907.66</v>
      </c>
      <c r="I217" s="8">
        <v>-207.96</v>
      </c>
      <c r="J217" s="8">
        <v>0.24</v>
      </c>
      <c r="K217" t="str">
        <f>IF(SalesData[[#This Row],[Profit]]&gt;0,"Profit","Loss")</f>
        <v>Loss</v>
      </c>
      <c r="L217" s="8">
        <f>SalesData[[#This Row],[Profit]]/SalesData[[#This Row],[Sales]]</f>
        <v>-0.10901313651279577</v>
      </c>
      <c r="M217" t="str">
        <f>TEXT(SalesData[[#This Row],[Order_Date]],"mmm")</f>
        <v>Sep</v>
      </c>
      <c r="N217">
        <f>YEAR(SalesData[[#This Row],[Order_Date]])</f>
        <v>2023</v>
      </c>
    </row>
    <row r="218" spans="1:14" x14ac:dyDescent="0.3">
      <c r="A218" t="s">
        <v>614</v>
      </c>
      <c r="B218" s="1">
        <v>45150</v>
      </c>
      <c r="C218" t="s">
        <v>615</v>
      </c>
      <c r="D218" t="s">
        <v>18</v>
      </c>
      <c r="E218" t="s">
        <v>19</v>
      </c>
      <c r="F218" t="s">
        <v>141</v>
      </c>
      <c r="G218" t="s">
        <v>64</v>
      </c>
      <c r="H218" s="8">
        <v>3622.46</v>
      </c>
      <c r="I218" s="8">
        <v>367.68</v>
      </c>
      <c r="J218" s="8">
        <v>0.16</v>
      </c>
      <c r="K218" t="str">
        <f>IF(SalesData[[#This Row],[Profit]]&gt;0,"Profit","Loss")</f>
        <v>Profit</v>
      </c>
      <c r="L218" s="8">
        <f>SalesData[[#This Row],[Profit]]/SalesData[[#This Row],[Sales]]</f>
        <v>0.10150008557720444</v>
      </c>
      <c r="M218" t="str">
        <f>TEXT(SalesData[[#This Row],[Order_Date]],"mmm")</f>
        <v>Aug</v>
      </c>
      <c r="N218">
        <f>YEAR(SalesData[[#This Row],[Order_Date]])</f>
        <v>2023</v>
      </c>
    </row>
    <row r="219" spans="1:14" x14ac:dyDescent="0.3">
      <c r="A219" t="s">
        <v>616</v>
      </c>
      <c r="B219" s="1">
        <v>44693</v>
      </c>
      <c r="C219" t="s">
        <v>617</v>
      </c>
      <c r="D219" t="s">
        <v>18</v>
      </c>
      <c r="E219" t="s">
        <v>19</v>
      </c>
      <c r="F219" t="s">
        <v>141</v>
      </c>
      <c r="G219" t="s">
        <v>618</v>
      </c>
      <c r="H219" s="8">
        <v>463.41</v>
      </c>
      <c r="I219" s="8">
        <v>-13.71</v>
      </c>
      <c r="J219" s="8">
        <v>0.14000000000000001</v>
      </c>
      <c r="K219" t="str">
        <f>IF(SalesData[[#This Row],[Profit]]&gt;0,"Profit","Loss")</f>
        <v>Loss</v>
      </c>
      <c r="L219" s="8">
        <f>SalesData[[#This Row],[Profit]]/SalesData[[#This Row],[Sales]]</f>
        <v>-2.9585032692432189E-2</v>
      </c>
      <c r="M219" t="str">
        <f>TEXT(SalesData[[#This Row],[Order_Date]],"mmm")</f>
        <v>May</v>
      </c>
      <c r="N219">
        <f>YEAR(SalesData[[#This Row],[Order_Date]])</f>
        <v>2022</v>
      </c>
    </row>
    <row r="220" spans="1:14" x14ac:dyDescent="0.3">
      <c r="A220" t="s">
        <v>619</v>
      </c>
      <c r="B220" s="1">
        <v>45092</v>
      </c>
      <c r="C220" t="s">
        <v>60</v>
      </c>
      <c r="D220" t="s">
        <v>40</v>
      </c>
      <c r="E220" t="s">
        <v>56</v>
      </c>
      <c r="F220" t="s">
        <v>95</v>
      </c>
      <c r="G220" t="s">
        <v>303</v>
      </c>
      <c r="H220" s="8">
        <v>2564.0300000000002</v>
      </c>
      <c r="I220" s="8">
        <v>99.57</v>
      </c>
      <c r="J220" s="8">
        <v>0.26</v>
      </c>
      <c r="K220" t="str">
        <f>IF(SalesData[[#This Row],[Profit]]&gt;0,"Profit","Loss")</f>
        <v>Profit</v>
      </c>
      <c r="L220" s="8">
        <f>SalesData[[#This Row],[Profit]]/SalesData[[#This Row],[Sales]]</f>
        <v>3.8833398985191274E-2</v>
      </c>
      <c r="M220" t="str">
        <f>TEXT(SalesData[[#This Row],[Order_Date]],"mmm")</f>
        <v>Jun</v>
      </c>
      <c r="N220">
        <f>YEAR(SalesData[[#This Row],[Order_Date]])</f>
        <v>2023</v>
      </c>
    </row>
    <row r="221" spans="1:14" x14ac:dyDescent="0.3">
      <c r="A221" t="s">
        <v>620</v>
      </c>
      <c r="B221" s="1">
        <v>45093</v>
      </c>
      <c r="C221" t="s">
        <v>621</v>
      </c>
      <c r="D221" t="s">
        <v>12</v>
      </c>
      <c r="E221" t="s">
        <v>56</v>
      </c>
      <c r="F221" t="s">
        <v>95</v>
      </c>
      <c r="G221" t="s">
        <v>142</v>
      </c>
      <c r="H221" s="8">
        <v>4680.22</v>
      </c>
      <c r="I221" s="8">
        <v>1397</v>
      </c>
      <c r="J221" s="8">
        <v>7.0000000000000007E-2</v>
      </c>
      <c r="K221" t="str">
        <f>IF(SalesData[[#This Row],[Profit]]&gt;0,"Profit","Loss")</f>
        <v>Profit</v>
      </c>
      <c r="L221" s="8">
        <f>SalesData[[#This Row],[Profit]]/SalesData[[#This Row],[Sales]]</f>
        <v>0.29849024191170498</v>
      </c>
      <c r="M221" t="str">
        <f>TEXT(SalesData[[#This Row],[Order_Date]],"mmm")</f>
        <v>Jun</v>
      </c>
      <c r="N221">
        <f>YEAR(SalesData[[#This Row],[Order_Date]])</f>
        <v>2023</v>
      </c>
    </row>
    <row r="222" spans="1:14" x14ac:dyDescent="0.3">
      <c r="A222" t="s">
        <v>622</v>
      </c>
      <c r="B222" s="1">
        <v>45191</v>
      </c>
      <c r="C222" t="s">
        <v>623</v>
      </c>
      <c r="D222" t="s">
        <v>12</v>
      </c>
      <c r="E222" t="s">
        <v>56</v>
      </c>
      <c r="F222" t="s">
        <v>73</v>
      </c>
      <c r="G222" t="s">
        <v>624</v>
      </c>
      <c r="H222" s="8">
        <v>4786.12</v>
      </c>
      <c r="I222" s="8">
        <v>454.75</v>
      </c>
      <c r="J222" s="8">
        <v>0.08</v>
      </c>
      <c r="K222" t="str">
        <f>IF(SalesData[[#This Row],[Profit]]&gt;0,"Profit","Loss")</f>
        <v>Profit</v>
      </c>
      <c r="L222" s="8">
        <f>SalesData[[#This Row],[Profit]]/SalesData[[#This Row],[Sales]]</f>
        <v>9.5014333113252497E-2</v>
      </c>
      <c r="M222" t="str">
        <f>TEXT(SalesData[[#This Row],[Order_Date]],"mmm")</f>
        <v>Sep</v>
      </c>
      <c r="N222">
        <f>YEAR(SalesData[[#This Row],[Order_Date]])</f>
        <v>2023</v>
      </c>
    </row>
    <row r="223" spans="1:14" x14ac:dyDescent="0.3">
      <c r="A223" t="s">
        <v>625</v>
      </c>
      <c r="B223" s="1">
        <v>45201</v>
      </c>
      <c r="C223" t="s">
        <v>626</v>
      </c>
      <c r="D223" t="s">
        <v>40</v>
      </c>
      <c r="E223" t="s">
        <v>13</v>
      </c>
      <c r="F223" t="s">
        <v>14</v>
      </c>
      <c r="G223" t="s">
        <v>627</v>
      </c>
      <c r="H223" s="8">
        <v>2999.86</v>
      </c>
      <c r="I223" s="8">
        <v>-801.8</v>
      </c>
      <c r="J223" s="8">
        <v>0.17</v>
      </c>
      <c r="K223" t="str">
        <f>IF(SalesData[[#This Row],[Profit]]&gt;0,"Profit","Loss")</f>
        <v>Loss</v>
      </c>
      <c r="L223" s="8">
        <f>SalesData[[#This Row],[Profit]]/SalesData[[#This Row],[Sales]]</f>
        <v>-0.26727913969318567</v>
      </c>
      <c r="M223" t="str">
        <f>TEXT(SalesData[[#This Row],[Order_Date]],"mmm")</f>
        <v>Oct</v>
      </c>
      <c r="N223">
        <f>YEAR(SalesData[[#This Row],[Order_Date]])</f>
        <v>2023</v>
      </c>
    </row>
    <row r="224" spans="1:14" x14ac:dyDescent="0.3">
      <c r="A224" t="s">
        <v>628</v>
      </c>
      <c r="B224" s="1">
        <v>45218</v>
      </c>
      <c r="C224" t="s">
        <v>144</v>
      </c>
      <c r="D224" t="s">
        <v>40</v>
      </c>
      <c r="E224" t="s">
        <v>13</v>
      </c>
      <c r="F224" t="s">
        <v>14</v>
      </c>
      <c r="G224" t="s">
        <v>629</v>
      </c>
      <c r="H224" s="8">
        <v>4143.66</v>
      </c>
      <c r="I224" s="8">
        <v>-757.14</v>
      </c>
      <c r="J224" s="8">
        <v>0.01</v>
      </c>
      <c r="K224" t="str">
        <f>IF(SalesData[[#This Row],[Profit]]&gt;0,"Profit","Loss")</f>
        <v>Loss</v>
      </c>
      <c r="L224" s="8">
        <f>SalesData[[#This Row],[Profit]]/SalesData[[#This Row],[Sales]]</f>
        <v>-0.1827225206701322</v>
      </c>
      <c r="M224" t="str">
        <f>TEXT(SalesData[[#This Row],[Order_Date]],"mmm")</f>
        <v>Oct</v>
      </c>
      <c r="N224">
        <f>YEAR(SalesData[[#This Row],[Order_Date]])</f>
        <v>2023</v>
      </c>
    </row>
    <row r="225" spans="1:14" x14ac:dyDescent="0.3">
      <c r="A225" t="s">
        <v>630</v>
      </c>
      <c r="B225" s="1">
        <v>45204</v>
      </c>
      <c r="C225" t="s">
        <v>631</v>
      </c>
      <c r="D225" t="s">
        <v>40</v>
      </c>
      <c r="E225" t="s">
        <v>56</v>
      </c>
      <c r="F225" t="s">
        <v>73</v>
      </c>
      <c r="G225" t="s">
        <v>632</v>
      </c>
      <c r="H225" s="8">
        <v>2141.2800000000002</v>
      </c>
      <c r="I225" s="8">
        <v>-195.24</v>
      </c>
      <c r="J225" s="8">
        <v>0.19</v>
      </c>
      <c r="K225" t="str">
        <f>IF(SalesData[[#This Row],[Profit]]&gt;0,"Profit","Loss")</f>
        <v>Loss</v>
      </c>
      <c r="L225" s="8">
        <f>SalesData[[#This Row],[Profit]]/SalesData[[#This Row],[Sales]]</f>
        <v>-9.1179107823357988E-2</v>
      </c>
      <c r="M225" t="str">
        <f>TEXT(SalesData[[#This Row],[Order_Date]],"mmm")</f>
        <v>Oct</v>
      </c>
      <c r="N225">
        <f>YEAR(SalesData[[#This Row],[Order_Date]])</f>
        <v>2023</v>
      </c>
    </row>
    <row r="226" spans="1:14" x14ac:dyDescent="0.3">
      <c r="A226" t="s">
        <v>633</v>
      </c>
      <c r="B226" s="1">
        <v>45026</v>
      </c>
      <c r="C226" t="s">
        <v>634</v>
      </c>
      <c r="D226" t="s">
        <v>12</v>
      </c>
      <c r="E226" t="s">
        <v>19</v>
      </c>
      <c r="F226" t="s">
        <v>29</v>
      </c>
      <c r="G226" t="s">
        <v>294</v>
      </c>
      <c r="H226" s="8">
        <v>1299.9000000000001</v>
      </c>
      <c r="I226" s="8">
        <v>-255.23</v>
      </c>
      <c r="J226" s="8">
        <v>0.24</v>
      </c>
      <c r="K226" t="str">
        <f>IF(SalesData[[#This Row],[Profit]]&gt;0,"Profit","Loss")</f>
        <v>Loss</v>
      </c>
      <c r="L226" s="8">
        <f>SalesData[[#This Row],[Profit]]/SalesData[[#This Row],[Sales]]</f>
        <v>-0.19634587275944301</v>
      </c>
      <c r="M226" t="str">
        <f>TEXT(SalesData[[#This Row],[Order_Date]],"mmm")</f>
        <v>Apr</v>
      </c>
      <c r="N226">
        <f>YEAR(SalesData[[#This Row],[Order_Date]])</f>
        <v>2023</v>
      </c>
    </row>
    <row r="227" spans="1:14" x14ac:dyDescent="0.3">
      <c r="A227" t="s">
        <v>635</v>
      </c>
      <c r="B227" s="1">
        <v>44882</v>
      </c>
      <c r="C227" t="s">
        <v>636</v>
      </c>
      <c r="D227" t="s">
        <v>40</v>
      </c>
      <c r="E227" t="s">
        <v>19</v>
      </c>
      <c r="F227" t="s">
        <v>29</v>
      </c>
      <c r="G227" t="s">
        <v>637</v>
      </c>
      <c r="H227" s="8">
        <v>2472.83</v>
      </c>
      <c r="I227" s="8">
        <v>257.16000000000003</v>
      </c>
      <c r="J227" s="8">
        <v>0.06</v>
      </c>
      <c r="K227" t="str">
        <f>IF(SalesData[[#This Row],[Profit]]&gt;0,"Profit","Loss")</f>
        <v>Profit</v>
      </c>
      <c r="L227" s="8">
        <f>SalesData[[#This Row],[Profit]]/SalesData[[#This Row],[Sales]]</f>
        <v>0.10399420906410875</v>
      </c>
      <c r="M227" t="str">
        <f>TEXT(SalesData[[#This Row],[Order_Date]],"mmm")</f>
        <v>Nov</v>
      </c>
      <c r="N227">
        <f>YEAR(SalesData[[#This Row],[Order_Date]])</f>
        <v>2022</v>
      </c>
    </row>
    <row r="228" spans="1:14" x14ac:dyDescent="0.3">
      <c r="A228" t="s">
        <v>638</v>
      </c>
      <c r="B228" s="1">
        <v>44888</v>
      </c>
      <c r="C228" t="s">
        <v>639</v>
      </c>
      <c r="D228" t="s">
        <v>28</v>
      </c>
      <c r="E228" t="s">
        <v>19</v>
      </c>
      <c r="F228" t="s">
        <v>29</v>
      </c>
      <c r="G228" t="s">
        <v>640</v>
      </c>
      <c r="H228" s="8">
        <v>740.75</v>
      </c>
      <c r="I228" s="8">
        <v>19.989999999999998</v>
      </c>
      <c r="J228" s="8">
        <v>0.11</v>
      </c>
      <c r="K228" t="str">
        <f>IF(SalesData[[#This Row],[Profit]]&gt;0,"Profit","Loss")</f>
        <v>Profit</v>
      </c>
      <c r="L228" s="8">
        <f>SalesData[[#This Row],[Profit]]/SalesData[[#This Row],[Sales]]</f>
        <v>2.6986162672966586E-2</v>
      </c>
      <c r="M228" t="str">
        <f>TEXT(SalesData[[#This Row],[Order_Date]],"mmm")</f>
        <v>Nov</v>
      </c>
      <c r="N228">
        <f>YEAR(SalesData[[#This Row],[Order_Date]])</f>
        <v>2022</v>
      </c>
    </row>
    <row r="229" spans="1:14" x14ac:dyDescent="0.3">
      <c r="A229" t="s">
        <v>641</v>
      </c>
      <c r="B229" s="1">
        <v>44955</v>
      </c>
      <c r="C229" t="s">
        <v>416</v>
      </c>
      <c r="D229" t="s">
        <v>28</v>
      </c>
      <c r="E229" t="s">
        <v>19</v>
      </c>
      <c r="F229" t="s">
        <v>29</v>
      </c>
      <c r="G229" t="s">
        <v>105</v>
      </c>
      <c r="H229" s="8">
        <v>1314.8</v>
      </c>
      <c r="I229" s="8">
        <v>-73.459999999999994</v>
      </c>
      <c r="J229" s="8">
        <v>0.03</v>
      </c>
      <c r="K229" t="str">
        <f>IF(SalesData[[#This Row],[Profit]]&gt;0,"Profit","Loss")</f>
        <v>Loss</v>
      </c>
      <c r="L229" s="8">
        <f>SalesData[[#This Row],[Profit]]/SalesData[[#This Row],[Sales]]</f>
        <v>-5.5871615454822027E-2</v>
      </c>
      <c r="M229" t="str">
        <f>TEXT(SalesData[[#This Row],[Order_Date]],"mmm")</f>
        <v>Jan</v>
      </c>
      <c r="N229">
        <f>YEAR(SalesData[[#This Row],[Order_Date]])</f>
        <v>2023</v>
      </c>
    </row>
    <row r="230" spans="1:14" x14ac:dyDescent="0.3">
      <c r="A230" t="s">
        <v>642</v>
      </c>
      <c r="B230" s="1">
        <v>44725</v>
      </c>
      <c r="C230" t="s">
        <v>643</v>
      </c>
      <c r="D230" t="s">
        <v>28</v>
      </c>
      <c r="E230" t="s">
        <v>56</v>
      </c>
      <c r="F230" t="s">
        <v>95</v>
      </c>
      <c r="G230" t="s">
        <v>598</v>
      </c>
      <c r="H230" s="8">
        <v>4675.38</v>
      </c>
      <c r="I230" s="8">
        <v>-1431.13</v>
      </c>
      <c r="J230" s="8">
        <v>0.22</v>
      </c>
      <c r="K230" t="str">
        <f>IF(SalesData[[#This Row],[Profit]]&gt;0,"Profit","Loss")</f>
        <v>Loss</v>
      </c>
      <c r="L230" s="8">
        <f>SalesData[[#This Row],[Profit]]/SalesData[[#This Row],[Sales]]</f>
        <v>-0.30609918338188558</v>
      </c>
      <c r="M230" t="str">
        <f>TEXT(SalesData[[#This Row],[Order_Date]],"mmm")</f>
        <v>Jun</v>
      </c>
      <c r="N230">
        <f>YEAR(SalesData[[#This Row],[Order_Date]])</f>
        <v>2022</v>
      </c>
    </row>
    <row r="231" spans="1:14" x14ac:dyDescent="0.3">
      <c r="A231" t="s">
        <v>644</v>
      </c>
      <c r="B231" s="1">
        <v>44808</v>
      </c>
      <c r="C231" t="s">
        <v>645</v>
      </c>
      <c r="D231" t="s">
        <v>40</v>
      </c>
      <c r="E231" t="s">
        <v>19</v>
      </c>
      <c r="F231" t="s">
        <v>29</v>
      </c>
      <c r="G231" t="s">
        <v>646</v>
      </c>
      <c r="H231" s="8">
        <v>213.56</v>
      </c>
      <c r="I231" s="8">
        <v>-37.74</v>
      </c>
      <c r="J231" s="8">
        <v>0.28000000000000003</v>
      </c>
      <c r="K231" t="str">
        <f>IF(SalesData[[#This Row],[Profit]]&gt;0,"Profit","Loss")</f>
        <v>Loss</v>
      </c>
      <c r="L231" s="8">
        <f>SalesData[[#This Row],[Profit]]/SalesData[[#This Row],[Sales]]</f>
        <v>-0.17671848660797904</v>
      </c>
      <c r="M231" t="str">
        <f>TEXT(SalesData[[#This Row],[Order_Date]],"mmm")</f>
        <v>Sep</v>
      </c>
      <c r="N231">
        <f>YEAR(SalesData[[#This Row],[Order_Date]])</f>
        <v>2022</v>
      </c>
    </row>
    <row r="232" spans="1:14" x14ac:dyDescent="0.3">
      <c r="A232" t="s">
        <v>647</v>
      </c>
      <c r="B232" s="1">
        <v>45043</v>
      </c>
      <c r="C232" t="s">
        <v>648</v>
      </c>
      <c r="D232" t="s">
        <v>12</v>
      </c>
      <c r="E232" t="s">
        <v>56</v>
      </c>
      <c r="F232" t="s">
        <v>95</v>
      </c>
      <c r="G232" t="s">
        <v>649</v>
      </c>
      <c r="H232" s="8">
        <v>2524.98</v>
      </c>
      <c r="I232" s="8">
        <v>-170.29</v>
      </c>
      <c r="J232" s="8">
        <v>0.26</v>
      </c>
      <c r="K232" t="str">
        <f>IF(SalesData[[#This Row],[Profit]]&gt;0,"Profit","Loss")</f>
        <v>Loss</v>
      </c>
      <c r="L232" s="8">
        <f>SalesData[[#This Row],[Profit]]/SalesData[[#This Row],[Sales]]</f>
        <v>-6.7442118353412697E-2</v>
      </c>
      <c r="M232" t="str">
        <f>TEXT(SalesData[[#This Row],[Order_Date]],"mmm")</f>
        <v>Apr</v>
      </c>
      <c r="N232">
        <f>YEAR(SalesData[[#This Row],[Order_Date]])</f>
        <v>2023</v>
      </c>
    </row>
    <row r="233" spans="1:14" x14ac:dyDescent="0.3">
      <c r="A233" t="s">
        <v>650</v>
      </c>
      <c r="B233" s="1">
        <v>44974</v>
      </c>
      <c r="C233" t="s">
        <v>394</v>
      </c>
      <c r="D233" t="s">
        <v>12</v>
      </c>
      <c r="E233" t="s">
        <v>56</v>
      </c>
      <c r="F233" t="s">
        <v>95</v>
      </c>
      <c r="G233" t="s">
        <v>651</v>
      </c>
      <c r="H233" s="8">
        <v>756.28</v>
      </c>
      <c r="I233" s="8">
        <v>-45.78</v>
      </c>
      <c r="J233" s="8">
        <v>0.08</v>
      </c>
      <c r="K233" t="str">
        <f>IF(SalesData[[#This Row],[Profit]]&gt;0,"Profit","Loss")</f>
        <v>Loss</v>
      </c>
      <c r="L233" s="8">
        <f>SalesData[[#This Row],[Profit]]/SalesData[[#This Row],[Sales]]</f>
        <v>-6.0533135875601635E-2</v>
      </c>
      <c r="M233" t="str">
        <f>TEXT(SalesData[[#This Row],[Order_Date]],"mmm")</f>
        <v>Feb</v>
      </c>
      <c r="N233">
        <f>YEAR(SalesData[[#This Row],[Order_Date]])</f>
        <v>2023</v>
      </c>
    </row>
    <row r="234" spans="1:14" x14ac:dyDescent="0.3">
      <c r="A234" t="s">
        <v>652</v>
      </c>
      <c r="B234" s="1">
        <v>44957</v>
      </c>
      <c r="C234" t="s">
        <v>653</v>
      </c>
      <c r="D234" t="s">
        <v>28</v>
      </c>
      <c r="E234" t="s">
        <v>56</v>
      </c>
      <c r="F234" t="s">
        <v>73</v>
      </c>
      <c r="G234" t="s">
        <v>312</v>
      </c>
      <c r="H234" s="8">
        <v>2852.9</v>
      </c>
      <c r="I234" s="8">
        <v>-390.39</v>
      </c>
      <c r="J234" s="8">
        <v>0.11</v>
      </c>
      <c r="K234" t="str">
        <f>IF(SalesData[[#This Row],[Profit]]&gt;0,"Profit","Loss")</f>
        <v>Loss</v>
      </c>
      <c r="L234" s="8">
        <f>SalesData[[#This Row],[Profit]]/SalesData[[#This Row],[Sales]]</f>
        <v>-0.13683970696484279</v>
      </c>
      <c r="M234" t="str">
        <f>TEXT(SalesData[[#This Row],[Order_Date]],"mmm")</f>
        <v>Jan</v>
      </c>
      <c r="N234">
        <f>YEAR(SalesData[[#This Row],[Order_Date]])</f>
        <v>2023</v>
      </c>
    </row>
    <row r="235" spans="1:14" x14ac:dyDescent="0.3">
      <c r="A235" t="s">
        <v>654</v>
      </c>
      <c r="B235" s="1">
        <v>44693</v>
      </c>
      <c r="C235" t="s">
        <v>655</v>
      </c>
      <c r="D235" t="s">
        <v>28</v>
      </c>
      <c r="E235" t="s">
        <v>13</v>
      </c>
      <c r="F235" t="s">
        <v>36</v>
      </c>
      <c r="G235" t="s">
        <v>656</v>
      </c>
      <c r="H235" s="8">
        <v>4144.03</v>
      </c>
      <c r="I235" s="8">
        <v>-96.86</v>
      </c>
      <c r="J235" s="8">
        <v>0.19</v>
      </c>
      <c r="K235" t="str">
        <f>IF(SalesData[[#This Row],[Profit]]&gt;0,"Profit","Loss")</f>
        <v>Loss</v>
      </c>
      <c r="L235" s="8">
        <f>SalesData[[#This Row],[Profit]]/SalesData[[#This Row],[Sales]]</f>
        <v>-2.3373382914698978E-2</v>
      </c>
      <c r="M235" t="str">
        <f>TEXT(SalesData[[#This Row],[Order_Date]],"mmm")</f>
        <v>May</v>
      </c>
      <c r="N235">
        <f>YEAR(SalesData[[#This Row],[Order_Date]])</f>
        <v>2022</v>
      </c>
    </row>
    <row r="236" spans="1:14" x14ac:dyDescent="0.3">
      <c r="A236" t="s">
        <v>657</v>
      </c>
      <c r="B236" s="1">
        <v>45083</v>
      </c>
      <c r="C236" t="s">
        <v>658</v>
      </c>
      <c r="D236" t="s">
        <v>12</v>
      </c>
      <c r="E236" t="s">
        <v>19</v>
      </c>
      <c r="F236" t="s">
        <v>141</v>
      </c>
      <c r="G236" t="s">
        <v>37</v>
      </c>
      <c r="H236" s="8">
        <v>4700.8500000000004</v>
      </c>
      <c r="I236" s="8">
        <v>-1459.92</v>
      </c>
      <c r="J236" s="8">
        <v>0.23</v>
      </c>
      <c r="K236" t="str">
        <f>IF(SalesData[[#This Row],[Profit]]&gt;0,"Profit","Loss")</f>
        <v>Loss</v>
      </c>
      <c r="L236" s="8">
        <f>SalesData[[#This Row],[Profit]]/SalesData[[#This Row],[Sales]]</f>
        <v>-0.31056511056511055</v>
      </c>
      <c r="M236" t="str">
        <f>TEXT(SalesData[[#This Row],[Order_Date]],"mmm")</f>
        <v>Jun</v>
      </c>
      <c r="N236">
        <f>YEAR(SalesData[[#This Row],[Order_Date]])</f>
        <v>2023</v>
      </c>
    </row>
    <row r="237" spans="1:14" x14ac:dyDescent="0.3">
      <c r="A237" t="s">
        <v>659</v>
      </c>
      <c r="B237" s="1">
        <v>44714</v>
      </c>
      <c r="C237" t="s">
        <v>385</v>
      </c>
      <c r="D237" t="s">
        <v>18</v>
      </c>
      <c r="E237" t="s">
        <v>56</v>
      </c>
      <c r="F237" t="s">
        <v>57</v>
      </c>
      <c r="G237" t="s">
        <v>660</v>
      </c>
      <c r="H237" s="8">
        <v>3596.6</v>
      </c>
      <c r="I237" s="8">
        <v>-461.8</v>
      </c>
      <c r="J237" s="8">
        <v>0.24</v>
      </c>
      <c r="K237" t="str">
        <f>IF(SalesData[[#This Row],[Profit]]&gt;0,"Profit","Loss")</f>
        <v>Loss</v>
      </c>
      <c r="L237" s="8">
        <f>SalesData[[#This Row],[Profit]]/SalesData[[#This Row],[Sales]]</f>
        <v>-0.12839904354112217</v>
      </c>
      <c r="M237" t="str">
        <f>TEXT(SalesData[[#This Row],[Order_Date]],"mmm")</f>
        <v>Jun</v>
      </c>
      <c r="N237">
        <f>YEAR(SalesData[[#This Row],[Order_Date]])</f>
        <v>2022</v>
      </c>
    </row>
    <row r="238" spans="1:14" x14ac:dyDescent="0.3">
      <c r="A238" t="s">
        <v>661</v>
      </c>
      <c r="B238" s="1">
        <v>44868</v>
      </c>
      <c r="C238" t="s">
        <v>662</v>
      </c>
      <c r="D238" t="s">
        <v>40</v>
      </c>
      <c r="E238" t="s">
        <v>13</v>
      </c>
      <c r="F238" t="s">
        <v>36</v>
      </c>
      <c r="G238" t="s">
        <v>70</v>
      </c>
      <c r="H238" s="8">
        <v>896.26</v>
      </c>
      <c r="I238" s="8">
        <v>-50.56</v>
      </c>
      <c r="J238" s="8">
        <v>0.3</v>
      </c>
      <c r="K238" t="str">
        <f>IF(SalesData[[#This Row],[Profit]]&gt;0,"Profit","Loss")</f>
        <v>Loss</v>
      </c>
      <c r="L238" s="8">
        <f>SalesData[[#This Row],[Profit]]/SalesData[[#This Row],[Sales]]</f>
        <v>-5.6412201816437198E-2</v>
      </c>
      <c r="M238" t="str">
        <f>TEXT(SalesData[[#This Row],[Order_Date]],"mmm")</f>
        <v>Nov</v>
      </c>
      <c r="N238">
        <f>YEAR(SalesData[[#This Row],[Order_Date]])</f>
        <v>2022</v>
      </c>
    </row>
    <row r="239" spans="1:14" x14ac:dyDescent="0.3">
      <c r="A239" t="s">
        <v>663</v>
      </c>
      <c r="B239" s="1">
        <v>44579</v>
      </c>
      <c r="C239" t="s">
        <v>664</v>
      </c>
      <c r="D239" t="s">
        <v>40</v>
      </c>
      <c r="E239" t="s">
        <v>13</v>
      </c>
      <c r="F239" t="s">
        <v>24</v>
      </c>
      <c r="G239" t="s">
        <v>404</v>
      </c>
      <c r="H239" s="8">
        <v>2500.25</v>
      </c>
      <c r="I239" s="8">
        <v>-212.68</v>
      </c>
      <c r="J239" s="8">
        <v>0.17</v>
      </c>
      <c r="K239" t="str">
        <f>IF(SalesData[[#This Row],[Profit]]&gt;0,"Profit","Loss")</f>
        <v>Loss</v>
      </c>
      <c r="L239" s="8">
        <f>SalesData[[#This Row],[Profit]]/SalesData[[#This Row],[Sales]]</f>
        <v>-8.5063493650634939E-2</v>
      </c>
      <c r="M239" t="str">
        <f>TEXT(SalesData[[#This Row],[Order_Date]],"mmm")</f>
        <v>Jan</v>
      </c>
      <c r="N239">
        <f>YEAR(SalesData[[#This Row],[Order_Date]])</f>
        <v>2022</v>
      </c>
    </row>
    <row r="240" spans="1:14" x14ac:dyDescent="0.3">
      <c r="A240" t="s">
        <v>665</v>
      </c>
      <c r="B240" s="1">
        <v>45266</v>
      </c>
      <c r="C240" t="s">
        <v>666</v>
      </c>
      <c r="D240" t="s">
        <v>12</v>
      </c>
      <c r="E240" t="s">
        <v>56</v>
      </c>
      <c r="F240" t="s">
        <v>95</v>
      </c>
      <c r="G240" t="s">
        <v>667</v>
      </c>
      <c r="H240" s="8">
        <v>2960.14</v>
      </c>
      <c r="I240" s="8">
        <v>-14.22</v>
      </c>
      <c r="J240" s="8">
        <v>0.24</v>
      </c>
      <c r="K240" t="str">
        <f>IF(SalesData[[#This Row],[Profit]]&gt;0,"Profit","Loss")</f>
        <v>Loss</v>
      </c>
      <c r="L240" s="8">
        <f>SalesData[[#This Row],[Profit]]/SalesData[[#This Row],[Sales]]</f>
        <v>-4.8038268460275533E-3</v>
      </c>
      <c r="M240" t="str">
        <f>TEXT(SalesData[[#This Row],[Order_Date]],"mmm")</f>
        <v>Dec</v>
      </c>
      <c r="N240">
        <f>YEAR(SalesData[[#This Row],[Order_Date]])</f>
        <v>2023</v>
      </c>
    </row>
    <row r="241" spans="1:14" x14ac:dyDescent="0.3">
      <c r="A241" t="s">
        <v>668</v>
      </c>
      <c r="B241" s="1">
        <v>45153</v>
      </c>
      <c r="C241" t="s">
        <v>165</v>
      </c>
      <c r="D241" t="s">
        <v>12</v>
      </c>
      <c r="E241" t="s">
        <v>19</v>
      </c>
      <c r="F241" t="s">
        <v>29</v>
      </c>
      <c r="G241" t="s">
        <v>669</v>
      </c>
      <c r="H241" s="8">
        <v>4838.6499999999996</v>
      </c>
      <c r="I241" s="8">
        <v>172.73</v>
      </c>
      <c r="J241" s="8">
        <v>0.23</v>
      </c>
      <c r="K241" t="str">
        <f>IF(SalesData[[#This Row],[Profit]]&gt;0,"Profit","Loss")</f>
        <v>Profit</v>
      </c>
      <c r="L241" s="8">
        <f>SalesData[[#This Row],[Profit]]/SalesData[[#This Row],[Sales]]</f>
        <v>3.569797360834117E-2</v>
      </c>
      <c r="M241" t="str">
        <f>TEXT(SalesData[[#This Row],[Order_Date]],"mmm")</f>
        <v>Aug</v>
      </c>
      <c r="N241">
        <f>YEAR(SalesData[[#This Row],[Order_Date]])</f>
        <v>2023</v>
      </c>
    </row>
    <row r="242" spans="1:14" x14ac:dyDescent="0.3">
      <c r="A242" t="s">
        <v>670</v>
      </c>
      <c r="B242" s="1">
        <v>44951</v>
      </c>
      <c r="C242" t="s">
        <v>198</v>
      </c>
      <c r="D242" t="s">
        <v>18</v>
      </c>
      <c r="E242" t="s">
        <v>19</v>
      </c>
      <c r="F242" t="s">
        <v>20</v>
      </c>
      <c r="G242" t="s">
        <v>671</v>
      </c>
      <c r="H242" s="8">
        <v>2668.74</v>
      </c>
      <c r="I242" s="8">
        <v>119.46</v>
      </c>
      <c r="J242" s="8">
        <v>0.22</v>
      </c>
      <c r="K242" t="str">
        <f>IF(SalesData[[#This Row],[Profit]]&gt;0,"Profit","Loss")</f>
        <v>Profit</v>
      </c>
      <c r="L242" s="8">
        <f>SalesData[[#This Row],[Profit]]/SalesData[[#This Row],[Sales]]</f>
        <v>4.476269700308011E-2</v>
      </c>
      <c r="M242" t="str">
        <f>TEXT(SalesData[[#This Row],[Order_Date]],"mmm")</f>
        <v>Jan</v>
      </c>
      <c r="N242">
        <f>YEAR(SalesData[[#This Row],[Order_Date]])</f>
        <v>2023</v>
      </c>
    </row>
    <row r="243" spans="1:14" x14ac:dyDescent="0.3">
      <c r="A243" t="s">
        <v>672</v>
      </c>
      <c r="B243" s="1">
        <v>44717</v>
      </c>
      <c r="C243" t="s">
        <v>673</v>
      </c>
      <c r="D243" t="s">
        <v>18</v>
      </c>
      <c r="E243" t="s">
        <v>13</v>
      </c>
      <c r="F243" t="s">
        <v>24</v>
      </c>
      <c r="G243" t="s">
        <v>674</v>
      </c>
      <c r="H243" s="8">
        <v>638.49</v>
      </c>
      <c r="I243" s="8">
        <v>-13.91</v>
      </c>
      <c r="J243" s="8">
        <v>0.01</v>
      </c>
      <c r="K243" t="str">
        <f>IF(SalesData[[#This Row],[Profit]]&gt;0,"Profit","Loss")</f>
        <v>Loss</v>
      </c>
      <c r="L243" s="8">
        <f>SalesData[[#This Row],[Profit]]/SalesData[[#This Row],[Sales]]</f>
        <v>-2.1785775814813075E-2</v>
      </c>
      <c r="M243" t="str">
        <f>TEXT(SalesData[[#This Row],[Order_Date]],"mmm")</f>
        <v>Jun</v>
      </c>
      <c r="N243">
        <f>YEAR(SalesData[[#This Row],[Order_Date]])</f>
        <v>2022</v>
      </c>
    </row>
    <row r="244" spans="1:14" x14ac:dyDescent="0.3">
      <c r="A244" t="s">
        <v>675</v>
      </c>
      <c r="B244" s="1">
        <v>44625</v>
      </c>
      <c r="C244" t="s">
        <v>676</v>
      </c>
      <c r="D244" t="s">
        <v>18</v>
      </c>
      <c r="E244" t="s">
        <v>13</v>
      </c>
      <c r="F244" t="s">
        <v>24</v>
      </c>
      <c r="G244" t="s">
        <v>677</v>
      </c>
      <c r="H244" s="8">
        <v>4610.55</v>
      </c>
      <c r="I244" s="8">
        <v>-85.28</v>
      </c>
      <c r="J244" s="8">
        <v>0.26</v>
      </c>
      <c r="K244" t="str">
        <f>IF(SalesData[[#This Row],[Profit]]&gt;0,"Profit","Loss")</f>
        <v>Loss</v>
      </c>
      <c r="L244" s="8">
        <f>SalesData[[#This Row],[Profit]]/SalesData[[#This Row],[Sales]]</f>
        <v>-1.8496708635629154E-2</v>
      </c>
      <c r="M244" t="str">
        <f>TEXT(SalesData[[#This Row],[Order_Date]],"mmm")</f>
        <v>Mar</v>
      </c>
      <c r="N244">
        <f>YEAR(SalesData[[#This Row],[Order_Date]])</f>
        <v>2022</v>
      </c>
    </row>
    <row r="245" spans="1:14" x14ac:dyDescent="0.3">
      <c r="A245" t="s">
        <v>678</v>
      </c>
      <c r="B245" s="1">
        <v>44883</v>
      </c>
      <c r="C245" t="s">
        <v>499</v>
      </c>
      <c r="D245" t="s">
        <v>28</v>
      </c>
      <c r="E245" t="s">
        <v>56</v>
      </c>
      <c r="F245" t="s">
        <v>73</v>
      </c>
      <c r="G245" t="s">
        <v>50</v>
      </c>
      <c r="H245" s="8">
        <v>1692.74</v>
      </c>
      <c r="I245" s="8">
        <v>-143.4</v>
      </c>
      <c r="J245" s="8">
        <v>0.2</v>
      </c>
      <c r="K245" t="str">
        <f>IF(SalesData[[#This Row],[Profit]]&gt;0,"Profit","Loss")</f>
        <v>Loss</v>
      </c>
      <c r="L245" s="8">
        <f>SalesData[[#This Row],[Profit]]/SalesData[[#This Row],[Sales]]</f>
        <v>-8.4714722875338211E-2</v>
      </c>
      <c r="M245" t="str">
        <f>TEXT(SalesData[[#This Row],[Order_Date]],"mmm")</f>
        <v>Nov</v>
      </c>
      <c r="N245">
        <f>YEAR(SalesData[[#This Row],[Order_Date]])</f>
        <v>2022</v>
      </c>
    </row>
    <row r="246" spans="1:14" x14ac:dyDescent="0.3">
      <c r="A246" t="s">
        <v>679</v>
      </c>
      <c r="B246" s="1">
        <v>45259</v>
      </c>
      <c r="C246" t="s">
        <v>569</v>
      </c>
      <c r="D246" t="s">
        <v>40</v>
      </c>
      <c r="E246" t="s">
        <v>13</v>
      </c>
      <c r="F246" t="s">
        <v>36</v>
      </c>
      <c r="G246" t="s">
        <v>680</v>
      </c>
      <c r="H246" s="8">
        <v>2776.74</v>
      </c>
      <c r="I246" s="8">
        <v>334.85</v>
      </c>
      <c r="J246" s="8">
        <v>0.2</v>
      </c>
      <c r="K246" t="str">
        <f>IF(SalesData[[#This Row],[Profit]]&gt;0,"Profit","Loss")</f>
        <v>Profit</v>
      </c>
      <c r="L246" s="8">
        <f>SalesData[[#This Row],[Profit]]/SalesData[[#This Row],[Sales]]</f>
        <v>0.12059105281733257</v>
      </c>
      <c r="M246" t="str">
        <f>TEXT(SalesData[[#This Row],[Order_Date]],"mmm")</f>
        <v>Nov</v>
      </c>
      <c r="N246">
        <f>YEAR(SalesData[[#This Row],[Order_Date]])</f>
        <v>2023</v>
      </c>
    </row>
    <row r="247" spans="1:14" x14ac:dyDescent="0.3">
      <c r="A247" t="s">
        <v>681</v>
      </c>
      <c r="B247" s="1">
        <v>44866</v>
      </c>
      <c r="C247" t="s">
        <v>144</v>
      </c>
      <c r="D247" t="s">
        <v>40</v>
      </c>
      <c r="E247" t="s">
        <v>19</v>
      </c>
      <c r="F247" t="s">
        <v>20</v>
      </c>
      <c r="G247" t="s">
        <v>682</v>
      </c>
      <c r="H247" s="8">
        <v>4790.95</v>
      </c>
      <c r="I247" s="8">
        <v>-483.41</v>
      </c>
      <c r="J247" s="8">
        <v>0.08</v>
      </c>
      <c r="K247" t="str">
        <f>IF(SalesData[[#This Row],[Profit]]&gt;0,"Profit","Loss")</f>
        <v>Loss</v>
      </c>
      <c r="L247" s="8">
        <f>SalesData[[#This Row],[Profit]]/SalesData[[#This Row],[Sales]]</f>
        <v>-0.10090065644600758</v>
      </c>
      <c r="M247" t="str">
        <f>TEXT(SalesData[[#This Row],[Order_Date]],"mmm")</f>
        <v>Nov</v>
      </c>
      <c r="N247">
        <f>YEAR(SalesData[[#This Row],[Order_Date]])</f>
        <v>2022</v>
      </c>
    </row>
    <row r="248" spans="1:14" x14ac:dyDescent="0.3">
      <c r="A248" t="s">
        <v>683</v>
      </c>
      <c r="B248" s="1">
        <v>44842</v>
      </c>
      <c r="C248" t="s">
        <v>327</v>
      </c>
      <c r="D248" t="s">
        <v>12</v>
      </c>
      <c r="E248" t="s">
        <v>56</v>
      </c>
      <c r="F248" t="s">
        <v>73</v>
      </c>
      <c r="G248" t="s">
        <v>279</v>
      </c>
      <c r="H248" s="8">
        <v>3554.44</v>
      </c>
      <c r="I248" s="8">
        <v>-322.45</v>
      </c>
      <c r="J248" s="8">
        <v>0.1</v>
      </c>
      <c r="K248" t="str">
        <f>IF(SalesData[[#This Row],[Profit]]&gt;0,"Profit","Loss")</f>
        <v>Loss</v>
      </c>
      <c r="L248" s="8">
        <f>SalesData[[#This Row],[Profit]]/SalesData[[#This Row],[Sales]]</f>
        <v>-9.0717525123507489E-2</v>
      </c>
      <c r="M248" t="str">
        <f>TEXT(SalesData[[#This Row],[Order_Date]],"mmm")</f>
        <v>Oct</v>
      </c>
      <c r="N248">
        <f>YEAR(SalesData[[#This Row],[Order_Date]])</f>
        <v>2022</v>
      </c>
    </row>
    <row r="249" spans="1:14" x14ac:dyDescent="0.3">
      <c r="A249" t="s">
        <v>684</v>
      </c>
      <c r="B249" s="1">
        <v>44711</v>
      </c>
      <c r="C249" t="s">
        <v>685</v>
      </c>
      <c r="D249" t="s">
        <v>12</v>
      </c>
      <c r="E249" t="s">
        <v>13</v>
      </c>
      <c r="F249" t="s">
        <v>24</v>
      </c>
      <c r="G249" t="s">
        <v>686</v>
      </c>
      <c r="H249" s="8">
        <v>1960.5</v>
      </c>
      <c r="I249" s="8">
        <v>2.0099999999999998</v>
      </c>
      <c r="J249" s="8">
        <v>0.28999999999999998</v>
      </c>
      <c r="K249" t="str">
        <f>IF(SalesData[[#This Row],[Profit]]&gt;0,"Profit","Loss")</f>
        <v>Profit</v>
      </c>
      <c r="L249" s="8">
        <f>SalesData[[#This Row],[Profit]]/SalesData[[#This Row],[Sales]]</f>
        <v>1.0252486610558529E-3</v>
      </c>
      <c r="M249" t="str">
        <f>TEXT(SalesData[[#This Row],[Order_Date]],"mmm")</f>
        <v>May</v>
      </c>
      <c r="N249">
        <f>YEAR(SalesData[[#This Row],[Order_Date]])</f>
        <v>2022</v>
      </c>
    </row>
    <row r="250" spans="1:14" x14ac:dyDescent="0.3">
      <c r="A250" t="s">
        <v>687</v>
      </c>
      <c r="B250" s="1">
        <v>45052</v>
      </c>
      <c r="C250" t="s">
        <v>688</v>
      </c>
      <c r="D250" t="s">
        <v>18</v>
      </c>
      <c r="E250" t="s">
        <v>13</v>
      </c>
      <c r="F250" t="s">
        <v>14</v>
      </c>
      <c r="G250" t="s">
        <v>689</v>
      </c>
      <c r="H250" s="8">
        <v>1797.18</v>
      </c>
      <c r="I250" s="8">
        <v>-316.54000000000002</v>
      </c>
      <c r="J250" s="8">
        <v>0.13</v>
      </c>
      <c r="K250" t="str">
        <f>IF(SalesData[[#This Row],[Profit]]&gt;0,"Profit","Loss")</f>
        <v>Loss</v>
      </c>
      <c r="L250" s="8">
        <f>SalesData[[#This Row],[Profit]]/SalesData[[#This Row],[Sales]]</f>
        <v>-0.17613149489756175</v>
      </c>
      <c r="M250" t="str">
        <f>TEXT(SalesData[[#This Row],[Order_Date]],"mmm")</f>
        <v>May</v>
      </c>
      <c r="N250">
        <f>YEAR(SalesData[[#This Row],[Order_Date]])</f>
        <v>2023</v>
      </c>
    </row>
    <row r="251" spans="1:14" x14ac:dyDescent="0.3">
      <c r="A251" t="s">
        <v>690</v>
      </c>
      <c r="B251" s="1">
        <v>45192</v>
      </c>
      <c r="C251" t="s">
        <v>691</v>
      </c>
      <c r="D251" t="s">
        <v>18</v>
      </c>
      <c r="E251" t="s">
        <v>13</v>
      </c>
      <c r="F251" t="s">
        <v>36</v>
      </c>
      <c r="G251" t="s">
        <v>96</v>
      </c>
      <c r="H251" s="8">
        <v>4671.82</v>
      </c>
      <c r="I251" s="8">
        <v>-1530.66</v>
      </c>
      <c r="J251" s="8">
        <v>0.21</v>
      </c>
      <c r="K251" t="str">
        <f>IF(SalesData[[#This Row],[Profit]]&gt;0,"Profit","Loss")</f>
        <v>Loss</v>
      </c>
      <c r="L251" s="8">
        <f>SalesData[[#This Row],[Profit]]/SalesData[[#This Row],[Sales]]</f>
        <v>-0.3276367668274891</v>
      </c>
      <c r="M251" t="str">
        <f>TEXT(SalesData[[#This Row],[Order_Date]],"mmm")</f>
        <v>Sep</v>
      </c>
      <c r="N251">
        <f>YEAR(SalesData[[#This Row],[Order_Date]])</f>
        <v>2023</v>
      </c>
    </row>
    <row r="252" spans="1:14" x14ac:dyDescent="0.3">
      <c r="A252" t="s">
        <v>692</v>
      </c>
      <c r="B252" s="1">
        <v>44664</v>
      </c>
      <c r="C252" t="s">
        <v>693</v>
      </c>
      <c r="D252" t="s">
        <v>40</v>
      </c>
      <c r="E252" t="s">
        <v>56</v>
      </c>
      <c r="F252" t="s">
        <v>73</v>
      </c>
      <c r="G252" t="s">
        <v>694</v>
      </c>
      <c r="H252" s="8">
        <v>4535.3999999999996</v>
      </c>
      <c r="I252" s="8">
        <v>-590.95000000000005</v>
      </c>
      <c r="J252" s="8">
        <v>7.0000000000000007E-2</v>
      </c>
      <c r="K252" t="str">
        <f>IF(SalesData[[#This Row],[Profit]]&gt;0,"Profit","Loss")</f>
        <v>Loss</v>
      </c>
      <c r="L252" s="8">
        <f>SalesData[[#This Row],[Profit]]/SalesData[[#This Row],[Sales]]</f>
        <v>-0.13029721744498834</v>
      </c>
      <c r="M252" t="str">
        <f>TEXT(SalesData[[#This Row],[Order_Date]],"mmm")</f>
        <v>Apr</v>
      </c>
      <c r="N252">
        <f>YEAR(SalesData[[#This Row],[Order_Date]])</f>
        <v>2022</v>
      </c>
    </row>
    <row r="253" spans="1:14" x14ac:dyDescent="0.3">
      <c r="A253" t="s">
        <v>695</v>
      </c>
      <c r="B253" s="1">
        <v>44723</v>
      </c>
      <c r="C253" t="s">
        <v>696</v>
      </c>
      <c r="D253" t="s">
        <v>28</v>
      </c>
      <c r="E253" t="s">
        <v>19</v>
      </c>
      <c r="F253" t="s">
        <v>20</v>
      </c>
      <c r="G253" t="s">
        <v>219</v>
      </c>
      <c r="H253" s="8">
        <v>3437.84</v>
      </c>
      <c r="I253" s="8">
        <v>1164.44</v>
      </c>
      <c r="J253" s="8">
        <v>0.04</v>
      </c>
      <c r="K253" t="str">
        <f>IF(SalesData[[#This Row],[Profit]]&gt;0,"Profit","Loss")</f>
        <v>Profit</v>
      </c>
      <c r="L253" s="8">
        <f>SalesData[[#This Row],[Profit]]/SalesData[[#This Row],[Sales]]</f>
        <v>0.33871268005491822</v>
      </c>
      <c r="M253" t="str">
        <f>TEXT(SalesData[[#This Row],[Order_Date]],"mmm")</f>
        <v>Jun</v>
      </c>
      <c r="N253">
        <f>YEAR(SalesData[[#This Row],[Order_Date]])</f>
        <v>2022</v>
      </c>
    </row>
    <row r="254" spans="1:14" x14ac:dyDescent="0.3">
      <c r="A254" t="s">
        <v>697</v>
      </c>
      <c r="B254" s="1">
        <v>44622</v>
      </c>
      <c r="C254" t="s">
        <v>66</v>
      </c>
      <c r="D254" t="s">
        <v>12</v>
      </c>
      <c r="E254" t="s">
        <v>13</v>
      </c>
      <c r="F254" t="s">
        <v>14</v>
      </c>
      <c r="G254" t="s">
        <v>629</v>
      </c>
      <c r="H254" s="8">
        <v>3803.96</v>
      </c>
      <c r="I254" s="8">
        <v>-451.72</v>
      </c>
      <c r="J254" s="8">
        <v>0.09</v>
      </c>
      <c r="K254" t="str">
        <f>IF(SalesData[[#This Row],[Profit]]&gt;0,"Profit","Loss")</f>
        <v>Loss</v>
      </c>
      <c r="L254" s="8">
        <f>SalesData[[#This Row],[Profit]]/SalesData[[#This Row],[Sales]]</f>
        <v>-0.11874993427901451</v>
      </c>
      <c r="M254" t="str">
        <f>TEXT(SalesData[[#This Row],[Order_Date]],"mmm")</f>
        <v>Mar</v>
      </c>
      <c r="N254">
        <f>YEAR(SalesData[[#This Row],[Order_Date]])</f>
        <v>2022</v>
      </c>
    </row>
    <row r="255" spans="1:14" x14ac:dyDescent="0.3">
      <c r="A255" t="s">
        <v>698</v>
      </c>
      <c r="B255" s="1">
        <v>44741</v>
      </c>
      <c r="C255" t="s">
        <v>699</v>
      </c>
      <c r="D255" t="s">
        <v>18</v>
      </c>
      <c r="E255" t="s">
        <v>13</v>
      </c>
      <c r="F255" t="s">
        <v>14</v>
      </c>
      <c r="G255" t="s">
        <v>700</v>
      </c>
      <c r="H255" s="8">
        <v>2722.25</v>
      </c>
      <c r="I255" s="8">
        <v>386.56</v>
      </c>
      <c r="J255" s="8">
        <v>0.22</v>
      </c>
      <c r="K255" t="str">
        <f>IF(SalesData[[#This Row],[Profit]]&gt;0,"Profit","Loss")</f>
        <v>Profit</v>
      </c>
      <c r="L255" s="8">
        <f>SalesData[[#This Row],[Profit]]/SalesData[[#This Row],[Sales]]</f>
        <v>0.1420001836715952</v>
      </c>
      <c r="M255" t="str">
        <f>TEXT(SalesData[[#This Row],[Order_Date]],"mmm")</f>
        <v>Jun</v>
      </c>
      <c r="N255">
        <f>YEAR(SalesData[[#This Row],[Order_Date]])</f>
        <v>2022</v>
      </c>
    </row>
    <row r="256" spans="1:14" x14ac:dyDescent="0.3">
      <c r="A256" t="s">
        <v>701</v>
      </c>
      <c r="B256" s="1">
        <v>44858</v>
      </c>
      <c r="C256" t="s">
        <v>702</v>
      </c>
      <c r="D256" t="s">
        <v>12</v>
      </c>
      <c r="E256" t="s">
        <v>56</v>
      </c>
      <c r="F256" t="s">
        <v>95</v>
      </c>
      <c r="G256" t="s">
        <v>703</v>
      </c>
      <c r="H256" s="8">
        <v>3961.01</v>
      </c>
      <c r="I256" s="8">
        <v>750.22</v>
      </c>
      <c r="J256" s="8">
        <v>0.06</v>
      </c>
      <c r="K256" t="str">
        <f>IF(SalesData[[#This Row],[Profit]]&gt;0,"Profit","Loss")</f>
        <v>Profit</v>
      </c>
      <c r="L256" s="8">
        <f>SalesData[[#This Row],[Profit]]/SalesData[[#This Row],[Sales]]</f>
        <v>0.18940118808081777</v>
      </c>
      <c r="M256" t="str">
        <f>TEXT(SalesData[[#This Row],[Order_Date]],"mmm")</f>
        <v>Oct</v>
      </c>
      <c r="N256">
        <f>YEAR(SalesData[[#This Row],[Order_Date]])</f>
        <v>2022</v>
      </c>
    </row>
    <row r="257" spans="1:14" x14ac:dyDescent="0.3">
      <c r="A257" t="s">
        <v>704</v>
      </c>
      <c r="B257" s="1">
        <v>45218</v>
      </c>
      <c r="C257" t="s">
        <v>705</v>
      </c>
      <c r="D257" t="s">
        <v>28</v>
      </c>
      <c r="E257" t="s">
        <v>13</v>
      </c>
      <c r="F257" t="s">
        <v>24</v>
      </c>
      <c r="G257" t="s">
        <v>706</v>
      </c>
      <c r="H257" s="8">
        <v>625.77</v>
      </c>
      <c r="I257" s="8">
        <v>-199.79</v>
      </c>
      <c r="J257" s="8">
        <v>0.28999999999999998</v>
      </c>
      <c r="K257" t="str">
        <f>IF(SalesData[[#This Row],[Profit]]&gt;0,"Profit","Loss")</f>
        <v>Loss</v>
      </c>
      <c r="L257" s="8">
        <f>SalesData[[#This Row],[Profit]]/SalesData[[#This Row],[Sales]]</f>
        <v>-0.31927065854866804</v>
      </c>
      <c r="M257" t="str">
        <f>TEXT(SalesData[[#This Row],[Order_Date]],"mmm")</f>
        <v>Oct</v>
      </c>
      <c r="N257">
        <f>YEAR(SalesData[[#This Row],[Order_Date]])</f>
        <v>2023</v>
      </c>
    </row>
    <row r="258" spans="1:14" x14ac:dyDescent="0.3">
      <c r="A258" t="s">
        <v>707</v>
      </c>
      <c r="B258" s="1">
        <v>44728</v>
      </c>
      <c r="C258" t="s">
        <v>708</v>
      </c>
      <c r="D258" t="s">
        <v>28</v>
      </c>
      <c r="E258" t="s">
        <v>56</v>
      </c>
      <c r="F258" t="s">
        <v>73</v>
      </c>
      <c r="G258" t="s">
        <v>334</v>
      </c>
      <c r="H258" s="8">
        <v>2393.3000000000002</v>
      </c>
      <c r="I258" s="8">
        <v>-460.5</v>
      </c>
      <c r="J258" s="8">
        <v>0.06</v>
      </c>
      <c r="K258" t="str">
        <f>IF(SalesData[[#This Row],[Profit]]&gt;0,"Profit","Loss")</f>
        <v>Loss</v>
      </c>
      <c r="L258" s="8">
        <f>SalesData[[#This Row],[Profit]]/SalesData[[#This Row],[Sales]]</f>
        <v>-0.19241215058705552</v>
      </c>
      <c r="M258" t="str">
        <f>TEXT(SalesData[[#This Row],[Order_Date]],"mmm")</f>
        <v>Jun</v>
      </c>
      <c r="N258">
        <f>YEAR(SalesData[[#This Row],[Order_Date]])</f>
        <v>2022</v>
      </c>
    </row>
    <row r="259" spans="1:14" x14ac:dyDescent="0.3">
      <c r="A259" t="s">
        <v>709</v>
      </c>
      <c r="B259" s="1">
        <v>45143</v>
      </c>
      <c r="C259" t="s">
        <v>710</v>
      </c>
      <c r="D259" t="s">
        <v>18</v>
      </c>
      <c r="E259" t="s">
        <v>19</v>
      </c>
      <c r="F259" t="s">
        <v>141</v>
      </c>
      <c r="G259" t="s">
        <v>711</v>
      </c>
      <c r="H259" s="8">
        <v>1012.38</v>
      </c>
      <c r="I259" s="8">
        <v>55.13</v>
      </c>
      <c r="J259" s="8">
        <v>0.22</v>
      </c>
      <c r="K259" t="str">
        <f>IF(SalesData[[#This Row],[Profit]]&gt;0,"Profit","Loss")</f>
        <v>Profit</v>
      </c>
      <c r="L259" s="8">
        <f>SalesData[[#This Row],[Profit]]/SalesData[[#This Row],[Sales]]</f>
        <v>5.4455836741144632E-2</v>
      </c>
      <c r="M259" t="str">
        <f>TEXT(SalesData[[#This Row],[Order_Date]],"mmm")</f>
        <v>Aug</v>
      </c>
      <c r="N259">
        <f>YEAR(SalesData[[#This Row],[Order_Date]])</f>
        <v>2023</v>
      </c>
    </row>
    <row r="260" spans="1:14" x14ac:dyDescent="0.3">
      <c r="A260" t="s">
        <v>712</v>
      </c>
      <c r="B260" s="1">
        <v>44650</v>
      </c>
      <c r="C260" t="s">
        <v>713</v>
      </c>
      <c r="D260" t="s">
        <v>12</v>
      </c>
      <c r="E260" t="s">
        <v>13</v>
      </c>
      <c r="F260" t="s">
        <v>24</v>
      </c>
      <c r="G260" t="s">
        <v>714</v>
      </c>
      <c r="H260" s="8">
        <v>4495.51</v>
      </c>
      <c r="I260" s="8">
        <v>-633.11</v>
      </c>
      <c r="J260" s="8">
        <v>0.25</v>
      </c>
      <c r="K260" t="str">
        <f>IF(SalesData[[#This Row],[Profit]]&gt;0,"Profit","Loss")</f>
        <v>Loss</v>
      </c>
      <c r="L260" s="8">
        <f>SalesData[[#This Row],[Profit]]/SalesData[[#This Row],[Sales]]</f>
        <v>-0.14083162978171554</v>
      </c>
      <c r="M260" t="str">
        <f>TEXT(SalesData[[#This Row],[Order_Date]],"mmm")</f>
        <v>Mar</v>
      </c>
      <c r="N260">
        <f>YEAR(SalesData[[#This Row],[Order_Date]])</f>
        <v>2022</v>
      </c>
    </row>
    <row r="261" spans="1:14" x14ac:dyDescent="0.3">
      <c r="A261" t="s">
        <v>715</v>
      </c>
      <c r="B261" s="1">
        <v>44803</v>
      </c>
      <c r="C261" t="s">
        <v>716</v>
      </c>
      <c r="D261" t="s">
        <v>40</v>
      </c>
      <c r="E261" t="s">
        <v>56</v>
      </c>
      <c r="F261" t="s">
        <v>95</v>
      </c>
      <c r="G261" t="s">
        <v>717</v>
      </c>
      <c r="H261" s="8">
        <v>1685.65</v>
      </c>
      <c r="I261" s="8">
        <v>-191.37</v>
      </c>
      <c r="J261" s="8">
        <v>7.0000000000000007E-2</v>
      </c>
      <c r="K261" t="str">
        <f>IF(SalesData[[#This Row],[Profit]]&gt;0,"Profit","Loss")</f>
        <v>Loss</v>
      </c>
      <c r="L261" s="8">
        <f>SalesData[[#This Row],[Profit]]/SalesData[[#This Row],[Sales]]</f>
        <v>-0.11352890576335538</v>
      </c>
      <c r="M261" t="str">
        <f>TEXT(SalesData[[#This Row],[Order_Date]],"mmm")</f>
        <v>Aug</v>
      </c>
      <c r="N261">
        <f>YEAR(SalesData[[#This Row],[Order_Date]])</f>
        <v>2022</v>
      </c>
    </row>
    <row r="262" spans="1:14" x14ac:dyDescent="0.3">
      <c r="A262" t="s">
        <v>718</v>
      </c>
      <c r="B262" s="1">
        <v>44930</v>
      </c>
      <c r="C262" t="s">
        <v>719</v>
      </c>
      <c r="D262" t="s">
        <v>18</v>
      </c>
      <c r="E262" t="s">
        <v>19</v>
      </c>
      <c r="F262" t="s">
        <v>29</v>
      </c>
      <c r="G262" t="s">
        <v>720</v>
      </c>
      <c r="H262" s="8">
        <v>2954.06</v>
      </c>
      <c r="I262" s="8">
        <v>-629.41999999999996</v>
      </c>
      <c r="J262" s="8">
        <v>0.17</v>
      </c>
      <c r="K262" t="str">
        <f>IF(SalesData[[#This Row],[Profit]]&gt;0,"Profit","Loss")</f>
        <v>Loss</v>
      </c>
      <c r="L262" s="8">
        <f>SalesData[[#This Row],[Profit]]/SalesData[[#This Row],[Sales]]</f>
        <v>-0.21306947049145919</v>
      </c>
      <c r="M262" t="str">
        <f>TEXT(SalesData[[#This Row],[Order_Date]],"mmm")</f>
        <v>Jan</v>
      </c>
      <c r="N262">
        <f>YEAR(SalesData[[#This Row],[Order_Date]])</f>
        <v>2023</v>
      </c>
    </row>
    <row r="263" spans="1:14" x14ac:dyDescent="0.3">
      <c r="A263" t="s">
        <v>721</v>
      </c>
      <c r="B263" s="1">
        <v>45282</v>
      </c>
      <c r="C263" t="s">
        <v>722</v>
      </c>
      <c r="D263" t="s">
        <v>40</v>
      </c>
      <c r="E263" t="s">
        <v>13</v>
      </c>
      <c r="F263" t="s">
        <v>14</v>
      </c>
      <c r="G263" t="s">
        <v>265</v>
      </c>
      <c r="H263" s="8">
        <v>2380.44</v>
      </c>
      <c r="I263" s="8">
        <v>384.78</v>
      </c>
      <c r="J263" s="8">
        <v>0.05</v>
      </c>
      <c r="K263" t="str">
        <f>IF(SalesData[[#This Row],[Profit]]&gt;0,"Profit","Loss")</f>
        <v>Profit</v>
      </c>
      <c r="L263" s="8">
        <f>SalesData[[#This Row],[Profit]]/SalesData[[#This Row],[Sales]]</f>
        <v>0.16164238544134696</v>
      </c>
      <c r="M263" t="str">
        <f>TEXT(SalesData[[#This Row],[Order_Date]],"mmm")</f>
        <v>Dec</v>
      </c>
      <c r="N263">
        <f>YEAR(SalesData[[#This Row],[Order_Date]])</f>
        <v>2023</v>
      </c>
    </row>
    <row r="264" spans="1:14" x14ac:dyDescent="0.3">
      <c r="A264" t="s">
        <v>723</v>
      </c>
      <c r="B264" s="1">
        <v>44786</v>
      </c>
      <c r="C264" t="s">
        <v>724</v>
      </c>
      <c r="D264" t="s">
        <v>28</v>
      </c>
      <c r="E264" t="s">
        <v>56</v>
      </c>
      <c r="F264" t="s">
        <v>73</v>
      </c>
      <c r="G264" t="s">
        <v>725</v>
      </c>
      <c r="H264" s="8">
        <v>4589.04</v>
      </c>
      <c r="I264" s="8">
        <v>361.5</v>
      </c>
      <c r="J264" s="8">
        <v>0.09</v>
      </c>
      <c r="K264" t="str">
        <f>IF(SalesData[[#This Row],[Profit]]&gt;0,"Profit","Loss")</f>
        <v>Profit</v>
      </c>
      <c r="L264" s="8">
        <f>SalesData[[#This Row],[Profit]]/SalesData[[#This Row],[Sales]]</f>
        <v>7.877464567752733E-2</v>
      </c>
      <c r="M264" t="str">
        <f>TEXT(SalesData[[#This Row],[Order_Date]],"mmm")</f>
        <v>Aug</v>
      </c>
      <c r="N264">
        <f>YEAR(SalesData[[#This Row],[Order_Date]])</f>
        <v>2022</v>
      </c>
    </row>
    <row r="265" spans="1:14" x14ac:dyDescent="0.3">
      <c r="A265" t="s">
        <v>726</v>
      </c>
      <c r="B265" s="1">
        <v>45044</v>
      </c>
      <c r="C265" t="s">
        <v>727</v>
      </c>
      <c r="D265" t="s">
        <v>18</v>
      </c>
      <c r="E265" t="s">
        <v>19</v>
      </c>
      <c r="F265" t="s">
        <v>141</v>
      </c>
      <c r="G265" t="s">
        <v>728</v>
      </c>
      <c r="H265" s="8">
        <v>4945.3100000000004</v>
      </c>
      <c r="I265" s="8">
        <v>549.74</v>
      </c>
      <c r="J265" s="8">
        <v>0.11</v>
      </c>
      <c r="K265" t="str">
        <f>IF(SalesData[[#This Row],[Profit]]&gt;0,"Profit","Loss")</f>
        <v>Profit</v>
      </c>
      <c r="L265" s="8">
        <f>SalesData[[#This Row],[Profit]]/SalesData[[#This Row],[Sales]]</f>
        <v>0.11116391085695335</v>
      </c>
      <c r="M265" t="str">
        <f>TEXT(SalesData[[#This Row],[Order_Date]],"mmm")</f>
        <v>Apr</v>
      </c>
      <c r="N265">
        <f>YEAR(SalesData[[#This Row],[Order_Date]])</f>
        <v>2023</v>
      </c>
    </row>
    <row r="266" spans="1:14" x14ac:dyDescent="0.3">
      <c r="A266" t="s">
        <v>729</v>
      </c>
      <c r="B266" s="1">
        <v>45019</v>
      </c>
      <c r="C266" t="s">
        <v>555</v>
      </c>
      <c r="D266" t="s">
        <v>40</v>
      </c>
      <c r="E266" t="s">
        <v>56</v>
      </c>
      <c r="F266" t="s">
        <v>73</v>
      </c>
      <c r="G266" t="s">
        <v>730</v>
      </c>
      <c r="H266" s="8">
        <v>3798.22</v>
      </c>
      <c r="I266" s="8">
        <v>-1560.6</v>
      </c>
      <c r="J266" s="8">
        <v>0.26</v>
      </c>
      <c r="K266" t="str">
        <f>IF(SalesData[[#This Row],[Profit]]&gt;0,"Profit","Loss")</f>
        <v>Loss</v>
      </c>
      <c r="L266" s="8">
        <f>SalesData[[#This Row],[Profit]]/SalesData[[#This Row],[Sales]]</f>
        <v>-0.4108766738103638</v>
      </c>
      <c r="M266" t="str">
        <f>TEXT(SalesData[[#This Row],[Order_Date]],"mmm")</f>
        <v>Apr</v>
      </c>
      <c r="N266">
        <f>YEAR(SalesData[[#This Row],[Order_Date]])</f>
        <v>2023</v>
      </c>
    </row>
    <row r="267" spans="1:14" x14ac:dyDescent="0.3">
      <c r="A267" t="s">
        <v>731</v>
      </c>
      <c r="B267" s="1">
        <v>45148</v>
      </c>
      <c r="C267" t="s">
        <v>732</v>
      </c>
      <c r="D267" t="s">
        <v>18</v>
      </c>
      <c r="E267" t="s">
        <v>13</v>
      </c>
      <c r="F267" t="s">
        <v>14</v>
      </c>
      <c r="G267" t="s">
        <v>303</v>
      </c>
      <c r="H267" s="8">
        <v>402.61</v>
      </c>
      <c r="I267" s="8">
        <v>-22.83</v>
      </c>
      <c r="J267" s="8">
        <v>0.16</v>
      </c>
      <c r="K267" t="str">
        <f>IF(SalesData[[#This Row],[Profit]]&gt;0,"Profit","Loss")</f>
        <v>Loss</v>
      </c>
      <c r="L267" s="8">
        <f>SalesData[[#This Row],[Profit]]/SalesData[[#This Row],[Sales]]</f>
        <v>-5.6704999875810333E-2</v>
      </c>
      <c r="M267" t="str">
        <f>TEXT(SalesData[[#This Row],[Order_Date]],"mmm")</f>
        <v>Aug</v>
      </c>
      <c r="N267">
        <f>YEAR(SalesData[[#This Row],[Order_Date]])</f>
        <v>2023</v>
      </c>
    </row>
    <row r="268" spans="1:14" x14ac:dyDescent="0.3">
      <c r="A268" t="s">
        <v>733</v>
      </c>
      <c r="B268" s="1">
        <v>45062</v>
      </c>
      <c r="C268" t="s">
        <v>449</v>
      </c>
      <c r="D268" t="s">
        <v>28</v>
      </c>
      <c r="E268" t="s">
        <v>19</v>
      </c>
      <c r="F268" t="s">
        <v>141</v>
      </c>
      <c r="G268" t="s">
        <v>734</v>
      </c>
      <c r="H268" s="8">
        <v>2265.02</v>
      </c>
      <c r="I268" s="8">
        <v>68.290000000000006</v>
      </c>
      <c r="J268" s="8">
        <v>0.2</v>
      </c>
      <c r="K268" t="str">
        <f>IF(SalesData[[#This Row],[Profit]]&gt;0,"Profit","Loss")</f>
        <v>Profit</v>
      </c>
      <c r="L268" s="8">
        <f>SalesData[[#This Row],[Profit]]/SalesData[[#This Row],[Sales]]</f>
        <v>3.0149844151486523E-2</v>
      </c>
      <c r="M268" t="str">
        <f>TEXT(SalesData[[#This Row],[Order_Date]],"mmm")</f>
        <v>May</v>
      </c>
      <c r="N268">
        <f>YEAR(SalesData[[#This Row],[Order_Date]])</f>
        <v>2023</v>
      </c>
    </row>
    <row r="269" spans="1:14" x14ac:dyDescent="0.3">
      <c r="A269" t="s">
        <v>735</v>
      </c>
      <c r="B269" s="1">
        <v>45134</v>
      </c>
      <c r="C269" t="s">
        <v>736</v>
      </c>
      <c r="D269" t="s">
        <v>40</v>
      </c>
      <c r="E269" t="s">
        <v>56</v>
      </c>
      <c r="F269" t="s">
        <v>95</v>
      </c>
      <c r="G269" t="s">
        <v>737</v>
      </c>
      <c r="H269" s="8">
        <v>746.53</v>
      </c>
      <c r="I269" s="8">
        <v>13.7</v>
      </c>
      <c r="J269" s="8">
        <v>0.12</v>
      </c>
      <c r="K269" t="str">
        <f>IF(SalesData[[#This Row],[Profit]]&gt;0,"Profit","Loss")</f>
        <v>Profit</v>
      </c>
      <c r="L269" s="8">
        <f>SalesData[[#This Row],[Profit]]/SalesData[[#This Row],[Sales]]</f>
        <v>1.8351573279037681E-2</v>
      </c>
      <c r="M269" t="str">
        <f>TEXT(SalesData[[#This Row],[Order_Date]],"mmm")</f>
        <v>Jul</v>
      </c>
      <c r="N269">
        <f>YEAR(SalesData[[#This Row],[Order_Date]])</f>
        <v>2023</v>
      </c>
    </row>
    <row r="270" spans="1:14" x14ac:dyDescent="0.3">
      <c r="A270" t="s">
        <v>738</v>
      </c>
      <c r="B270" s="1">
        <v>44636</v>
      </c>
      <c r="C270" t="s">
        <v>739</v>
      </c>
      <c r="D270" t="s">
        <v>28</v>
      </c>
      <c r="E270" t="s">
        <v>56</v>
      </c>
      <c r="F270" t="s">
        <v>95</v>
      </c>
      <c r="G270" t="s">
        <v>473</v>
      </c>
      <c r="H270" s="8">
        <v>1346.84</v>
      </c>
      <c r="I270" s="8">
        <v>-93.28</v>
      </c>
      <c r="J270" s="8">
        <v>0</v>
      </c>
      <c r="K270" t="str">
        <f>IF(SalesData[[#This Row],[Profit]]&gt;0,"Profit","Loss")</f>
        <v>Loss</v>
      </c>
      <c r="L270" s="8">
        <f>SalesData[[#This Row],[Profit]]/SalesData[[#This Row],[Sales]]</f>
        <v>-6.9258412283567466E-2</v>
      </c>
      <c r="M270" t="str">
        <f>TEXT(SalesData[[#This Row],[Order_Date]],"mmm")</f>
        <v>Mar</v>
      </c>
      <c r="N270">
        <f>YEAR(SalesData[[#This Row],[Order_Date]])</f>
        <v>2022</v>
      </c>
    </row>
    <row r="271" spans="1:14" x14ac:dyDescent="0.3">
      <c r="A271" t="s">
        <v>740</v>
      </c>
      <c r="B271" s="1">
        <v>45045</v>
      </c>
      <c r="C271" t="s">
        <v>741</v>
      </c>
      <c r="D271" t="s">
        <v>40</v>
      </c>
      <c r="E271" t="s">
        <v>13</v>
      </c>
      <c r="F271" t="s">
        <v>14</v>
      </c>
      <c r="G271" t="s">
        <v>317</v>
      </c>
      <c r="H271" s="8">
        <v>2751.7</v>
      </c>
      <c r="I271" s="8">
        <v>871</v>
      </c>
      <c r="J271" s="8">
        <v>0.02</v>
      </c>
      <c r="K271" t="str">
        <f>IF(SalesData[[#This Row],[Profit]]&gt;0,"Profit","Loss")</f>
        <v>Profit</v>
      </c>
      <c r="L271" s="8">
        <f>SalesData[[#This Row],[Profit]]/SalesData[[#This Row],[Sales]]</f>
        <v>0.31653159864810848</v>
      </c>
      <c r="M271" t="str">
        <f>TEXT(SalesData[[#This Row],[Order_Date]],"mmm")</f>
        <v>Apr</v>
      </c>
      <c r="N271">
        <f>YEAR(SalesData[[#This Row],[Order_Date]])</f>
        <v>2023</v>
      </c>
    </row>
    <row r="272" spans="1:14" x14ac:dyDescent="0.3">
      <c r="A272" t="s">
        <v>742</v>
      </c>
      <c r="B272" s="1">
        <v>44992</v>
      </c>
      <c r="C272" t="s">
        <v>743</v>
      </c>
      <c r="D272" t="s">
        <v>28</v>
      </c>
      <c r="E272" t="s">
        <v>56</v>
      </c>
      <c r="F272" t="s">
        <v>57</v>
      </c>
      <c r="G272" t="s">
        <v>744</v>
      </c>
      <c r="H272" s="8">
        <v>3852.56</v>
      </c>
      <c r="I272" s="8">
        <v>-394.78</v>
      </c>
      <c r="J272" s="8">
        <v>0.28999999999999998</v>
      </c>
      <c r="K272" t="str">
        <f>IF(SalesData[[#This Row],[Profit]]&gt;0,"Profit","Loss")</f>
        <v>Loss</v>
      </c>
      <c r="L272" s="8">
        <f>SalesData[[#This Row],[Profit]]/SalesData[[#This Row],[Sales]]</f>
        <v>-0.10247212243287579</v>
      </c>
      <c r="M272" t="str">
        <f>TEXT(SalesData[[#This Row],[Order_Date]],"mmm")</f>
        <v>Mar</v>
      </c>
      <c r="N272">
        <f>YEAR(SalesData[[#This Row],[Order_Date]])</f>
        <v>2023</v>
      </c>
    </row>
    <row r="273" spans="1:14" x14ac:dyDescent="0.3">
      <c r="A273" t="s">
        <v>745</v>
      </c>
      <c r="B273" s="1">
        <v>44698</v>
      </c>
      <c r="C273" t="s">
        <v>746</v>
      </c>
      <c r="D273" t="s">
        <v>40</v>
      </c>
      <c r="E273" t="s">
        <v>19</v>
      </c>
      <c r="F273" t="s">
        <v>29</v>
      </c>
      <c r="G273" t="s">
        <v>747</v>
      </c>
      <c r="H273" s="8">
        <v>493.22</v>
      </c>
      <c r="I273" s="8">
        <v>17.13</v>
      </c>
      <c r="J273" s="8">
        <v>0.28999999999999998</v>
      </c>
      <c r="K273" t="str">
        <f>IF(SalesData[[#This Row],[Profit]]&gt;0,"Profit","Loss")</f>
        <v>Profit</v>
      </c>
      <c r="L273" s="8">
        <f>SalesData[[#This Row],[Profit]]/SalesData[[#This Row],[Sales]]</f>
        <v>3.4730951705121443E-2</v>
      </c>
      <c r="M273" t="str">
        <f>TEXT(SalesData[[#This Row],[Order_Date]],"mmm")</f>
        <v>May</v>
      </c>
      <c r="N273">
        <f>YEAR(SalesData[[#This Row],[Order_Date]])</f>
        <v>2022</v>
      </c>
    </row>
    <row r="274" spans="1:14" x14ac:dyDescent="0.3">
      <c r="A274" t="s">
        <v>748</v>
      </c>
      <c r="B274" s="1">
        <v>44565</v>
      </c>
      <c r="C274" t="s">
        <v>749</v>
      </c>
      <c r="D274" t="s">
        <v>12</v>
      </c>
      <c r="E274" t="s">
        <v>56</v>
      </c>
      <c r="F274" t="s">
        <v>73</v>
      </c>
      <c r="G274" t="s">
        <v>703</v>
      </c>
      <c r="H274" s="8">
        <v>2025.99</v>
      </c>
      <c r="I274" s="8">
        <v>703.49</v>
      </c>
      <c r="J274" s="8">
        <v>0.04</v>
      </c>
      <c r="K274" t="str">
        <f>IF(SalesData[[#This Row],[Profit]]&gt;0,"Profit","Loss")</f>
        <v>Profit</v>
      </c>
      <c r="L274" s="8">
        <f>SalesData[[#This Row],[Profit]]/SalesData[[#This Row],[Sales]]</f>
        <v>0.34723271092157415</v>
      </c>
      <c r="M274" t="str">
        <f>TEXT(SalesData[[#This Row],[Order_Date]],"mmm")</f>
        <v>Jan</v>
      </c>
      <c r="N274">
        <f>YEAR(SalesData[[#This Row],[Order_Date]])</f>
        <v>2022</v>
      </c>
    </row>
    <row r="275" spans="1:14" x14ac:dyDescent="0.3">
      <c r="A275" t="s">
        <v>750</v>
      </c>
      <c r="B275" s="1">
        <v>44797</v>
      </c>
      <c r="C275" t="s">
        <v>751</v>
      </c>
      <c r="D275" t="s">
        <v>28</v>
      </c>
      <c r="E275" t="s">
        <v>19</v>
      </c>
      <c r="F275" t="s">
        <v>141</v>
      </c>
      <c r="G275" t="s">
        <v>752</v>
      </c>
      <c r="H275" s="8">
        <v>3623.56</v>
      </c>
      <c r="I275" s="8">
        <v>-371.18</v>
      </c>
      <c r="J275" s="8">
        <v>0.13</v>
      </c>
      <c r="K275" t="str">
        <f>IF(SalesData[[#This Row],[Profit]]&gt;0,"Profit","Loss")</f>
        <v>Loss</v>
      </c>
      <c r="L275" s="8">
        <f>SalesData[[#This Row],[Profit]]/SalesData[[#This Row],[Sales]]</f>
        <v>-0.10243517424852908</v>
      </c>
      <c r="M275" t="str">
        <f>TEXT(SalesData[[#This Row],[Order_Date]],"mmm")</f>
        <v>Aug</v>
      </c>
      <c r="N275">
        <f>YEAR(SalesData[[#This Row],[Order_Date]])</f>
        <v>2022</v>
      </c>
    </row>
    <row r="276" spans="1:14" x14ac:dyDescent="0.3">
      <c r="A276" t="s">
        <v>753</v>
      </c>
      <c r="B276" s="1">
        <v>44594</v>
      </c>
      <c r="C276" t="s">
        <v>754</v>
      </c>
      <c r="D276" t="s">
        <v>28</v>
      </c>
      <c r="E276" t="s">
        <v>56</v>
      </c>
      <c r="F276" t="s">
        <v>95</v>
      </c>
      <c r="G276" t="s">
        <v>755</v>
      </c>
      <c r="H276" s="8">
        <v>1023.55</v>
      </c>
      <c r="I276" s="8">
        <v>-0.72</v>
      </c>
      <c r="J276" s="8">
        <v>0.26</v>
      </c>
      <c r="K276" t="str">
        <f>IF(SalesData[[#This Row],[Profit]]&gt;0,"Profit","Loss")</f>
        <v>Loss</v>
      </c>
      <c r="L276" s="8">
        <f>SalesData[[#This Row],[Profit]]/SalesData[[#This Row],[Sales]]</f>
        <v>-7.0343412632504522E-4</v>
      </c>
      <c r="M276" t="str">
        <f>TEXT(SalesData[[#This Row],[Order_Date]],"mmm")</f>
        <v>Feb</v>
      </c>
      <c r="N276">
        <f>YEAR(SalesData[[#This Row],[Order_Date]])</f>
        <v>2022</v>
      </c>
    </row>
    <row r="277" spans="1:14" x14ac:dyDescent="0.3">
      <c r="A277" t="s">
        <v>756</v>
      </c>
      <c r="B277" s="1">
        <v>45174</v>
      </c>
      <c r="C277" t="s">
        <v>192</v>
      </c>
      <c r="D277" t="s">
        <v>12</v>
      </c>
      <c r="E277" t="s">
        <v>56</v>
      </c>
      <c r="F277" t="s">
        <v>57</v>
      </c>
      <c r="G277" t="s">
        <v>368</v>
      </c>
      <c r="H277" s="8">
        <v>1109.8</v>
      </c>
      <c r="I277" s="8">
        <v>-232.9</v>
      </c>
      <c r="J277" s="8">
        <v>0.03</v>
      </c>
      <c r="K277" t="str">
        <f>IF(SalesData[[#This Row],[Profit]]&gt;0,"Profit","Loss")</f>
        <v>Loss</v>
      </c>
      <c r="L277" s="8">
        <f>SalesData[[#This Row],[Profit]]/SalesData[[#This Row],[Sales]]</f>
        <v>-0.20985763200576682</v>
      </c>
      <c r="M277" t="str">
        <f>TEXT(SalesData[[#This Row],[Order_Date]],"mmm")</f>
        <v>Sep</v>
      </c>
      <c r="N277">
        <f>YEAR(SalesData[[#This Row],[Order_Date]])</f>
        <v>2023</v>
      </c>
    </row>
    <row r="278" spans="1:14" x14ac:dyDescent="0.3">
      <c r="A278" t="s">
        <v>757</v>
      </c>
      <c r="B278" s="1">
        <v>44619</v>
      </c>
      <c r="C278" t="s">
        <v>758</v>
      </c>
      <c r="D278" t="s">
        <v>40</v>
      </c>
      <c r="E278" t="s">
        <v>13</v>
      </c>
      <c r="F278" t="s">
        <v>14</v>
      </c>
      <c r="G278" t="s">
        <v>348</v>
      </c>
      <c r="H278" s="8">
        <v>2071.1</v>
      </c>
      <c r="I278" s="8">
        <v>-289.20999999999998</v>
      </c>
      <c r="J278" s="8">
        <v>7.0000000000000007E-2</v>
      </c>
      <c r="K278" t="str">
        <f>IF(SalesData[[#This Row],[Profit]]&gt;0,"Profit","Loss")</f>
        <v>Loss</v>
      </c>
      <c r="L278" s="8">
        <f>SalesData[[#This Row],[Profit]]/SalesData[[#This Row],[Sales]]</f>
        <v>-0.13964077060499253</v>
      </c>
      <c r="M278" t="str">
        <f>TEXT(SalesData[[#This Row],[Order_Date]],"mmm")</f>
        <v>Feb</v>
      </c>
      <c r="N278">
        <f>YEAR(SalesData[[#This Row],[Order_Date]])</f>
        <v>2022</v>
      </c>
    </row>
    <row r="279" spans="1:14" x14ac:dyDescent="0.3">
      <c r="A279" t="s">
        <v>759</v>
      </c>
      <c r="B279" s="1">
        <v>44890</v>
      </c>
      <c r="C279" t="s">
        <v>760</v>
      </c>
      <c r="D279" t="s">
        <v>40</v>
      </c>
      <c r="E279" t="s">
        <v>13</v>
      </c>
      <c r="F279" t="s">
        <v>24</v>
      </c>
      <c r="G279" t="s">
        <v>761</v>
      </c>
      <c r="H279" s="8">
        <v>1662.63</v>
      </c>
      <c r="I279" s="8">
        <v>39.1</v>
      </c>
      <c r="J279" s="8">
        <v>0.18</v>
      </c>
      <c r="K279" t="str">
        <f>IF(SalesData[[#This Row],[Profit]]&gt;0,"Profit","Loss")</f>
        <v>Profit</v>
      </c>
      <c r="L279" s="8">
        <f>SalesData[[#This Row],[Profit]]/SalesData[[#This Row],[Sales]]</f>
        <v>2.3516958072451476E-2</v>
      </c>
      <c r="M279" t="str">
        <f>TEXT(SalesData[[#This Row],[Order_Date]],"mmm")</f>
        <v>Nov</v>
      </c>
      <c r="N279">
        <f>YEAR(SalesData[[#This Row],[Order_Date]])</f>
        <v>2022</v>
      </c>
    </row>
    <row r="280" spans="1:14" x14ac:dyDescent="0.3">
      <c r="A280" t="s">
        <v>762</v>
      </c>
      <c r="B280" s="1">
        <v>45132</v>
      </c>
      <c r="C280" t="s">
        <v>763</v>
      </c>
      <c r="D280" t="s">
        <v>18</v>
      </c>
      <c r="E280" t="s">
        <v>56</v>
      </c>
      <c r="F280" t="s">
        <v>73</v>
      </c>
      <c r="G280" t="s">
        <v>359</v>
      </c>
      <c r="H280" s="8">
        <v>2654.13</v>
      </c>
      <c r="I280" s="8">
        <v>-411.15</v>
      </c>
      <c r="J280" s="8">
        <v>0.12</v>
      </c>
      <c r="K280" t="str">
        <f>IF(SalesData[[#This Row],[Profit]]&gt;0,"Profit","Loss")</f>
        <v>Loss</v>
      </c>
      <c r="L280" s="8">
        <f>SalesData[[#This Row],[Profit]]/SalesData[[#This Row],[Sales]]</f>
        <v>-0.15490951837325223</v>
      </c>
      <c r="M280" t="str">
        <f>TEXT(SalesData[[#This Row],[Order_Date]],"mmm")</f>
        <v>Jul</v>
      </c>
      <c r="N280">
        <f>YEAR(SalesData[[#This Row],[Order_Date]])</f>
        <v>2023</v>
      </c>
    </row>
    <row r="281" spans="1:14" x14ac:dyDescent="0.3">
      <c r="A281" t="s">
        <v>764</v>
      </c>
      <c r="B281" s="1">
        <v>45220</v>
      </c>
      <c r="C281" t="s">
        <v>765</v>
      </c>
      <c r="D281" t="s">
        <v>28</v>
      </c>
      <c r="E281" t="s">
        <v>13</v>
      </c>
      <c r="F281" t="s">
        <v>36</v>
      </c>
      <c r="G281" t="s">
        <v>766</v>
      </c>
      <c r="H281" s="8">
        <v>2823.67</v>
      </c>
      <c r="I281" s="8">
        <v>-9.4600000000000009</v>
      </c>
      <c r="J281" s="8">
        <v>0.01</v>
      </c>
      <c r="K281" t="str">
        <f>IF(SalesData[[#This Row],[Profit]]&gt;0,"Profit","Loss")</f>
        <v>Loss</v>
      </c>
      <c r="L281" s="8">
        <f>SalesData[[#This Row],[Profit]]/SalesData[[#This Row],[Sales]]</f>
        <v>-3.3502498521427791E-3</v>
      </c>
      <c r="M281" t="str">
        <f>TEXT(SalesData[[#This Row],[Order_Date]],"mmm")</f>
        <v>Oct</v>
      </c>
      <c r="N281">
        <f>YEAR(SalesData[[#This Row],[Order_Date]])</f>
        <v>2023</v>
      </c>
    </row>
    <row r="282" spans="1:14" x14ac:dyDescent="0.3">
      <c r="A282" t="s">
        <v>767</v>
      </c>
      <c r="B282" s="1">
        <v>44750</v>
      </c>
      <c r="C282" t="s">
        <v>768</v>
      </c>
      <c r="D282" t="s">
        <v>28</v>
      </c>
      <c r="E282" t="s">
        <v>13</v>
      </c>
      <c r="F282" t="s">
        <v>36</v>
      </c>
      <c r="G282" t="s">
        <v>769</v>
      </c>
      <c r="H282" s="8">
        <v>3511.91</v>
      </c>
      <c r="I282" s="8">
        <v>-491.9</v>
      </c>
      <c r="J282" s="8">
        <v>0.12</v>
      </c>
      <c r="K282" t="str">
        <f>IF(SalesData[[#This Row],[Profit]]&gt;0,"Profit","Loss")</f>
        <v>Loss</v>
      </c>
      <c r="L282" s="8">
        <f>SalesData[[#This Row],[Profit]]/SalesData[[#This Row],[Sales]]</f>
        <v>-0.14006623176562041</v>
      </c>
      <c r="M282" t="str">
        <f>TEXT(SalesData[[#This Row],[Order_Date]],"mmm")</f>
        <v>Jul</v>
      </c>
      <c r="N282">
        <f>YEAR(SalesData[[#This Row],[Order_Date]])</f>
        <v>2022</v>
      </c>
    </row>
    <row r="283" spans="1:14" x14ac:dyDescent="0.3">
      <c r="A283" t="s">
        <v>770</v>
      </c>
      <c r="B283" s="1">
        <v>44621</v>
      </c>
      <c r="C283" t="s">
        <v>771</v>
      </c>
      <c r="D283" t="s">
        <v>28</v>
      </c>
      <c r="E283" t="s">
        <v>56</v>
      </c>
      <c r="F283" t="s">
        <v>95</v>
      </c>
      <c r="G283" t="s">
        <v>401</v>
      </c>
      <c r="H283" s="8">
        <v>4301.95</v>
      </c>
      <c r="I283" s="8">
        <v>162.68</v>
      </c>
      <c r="J283" s="8">
        <v>0.04</v>
      </c>
      <c r="K283" t="str">
        <f>IF(SalesData[[#This Row],[Profit]]&gt;0,"Profit","Loss")</f>
        <v>Profit</v>
      </c>
      <c r="L283" s="8">
        <f>SalesData[[#This Row],[Profit]]/SalesData[[#This Row],[Sales]]</f>
        <v>3.7815409291135416E-2</v>
      </c>
      <c r="M283" t="str">
        <f>TEXT(SalesData[[#This Row],[Order_Date]],"mmm")</f>
        <v>Mar</v>
      </c>
      <c r="N283">
        <f>YEAR(SalesData[[#This Row],[Order_Date]])</f>
        <v>2022</v>
      </c>
    </row>
    <row r="284" spans="1:14" x14ac:dyDescent="0.3">
      <c r="A284" t="s">
        <v>772</v>
      </c>
      <c r="B284" s="1">
        <v>44900</v>
      </c>
      <c r="C284" t="s">
        <v>773</v>
      </c>
      <c r="D284" t="s">
        <v>12</v>
      </c>
      <c r="E284" t="s">
        <v>19</v>
      </c>
      <c r="F284" t="s">
        <v>141</v>
      </c>
      <c r="G284" t="s">
        <v>774</v>
      </c>
      <c r="H284" s="8">
        <v>2696.96</v>
      </c>
      <c r="I284" s="8">
        <v>-450.4</v>
      </c>
      <c r="J284" s="8">
        <v>0.12</v>
      </c>
      <c r="K284" t="str">
        <f>IF(SalesData[[#This Row],[Profit]]&gt;0,"Profit","Loss")</f>
        <v>Loss</v>
      </c>
      <c r="L284" s="8">
        <f>SalesData[[#This Row],[Profit]]/SalesData[[#This Row],[Sales]]</f>
        <v>-0.16700284765068818</v>
      </c>
      <c r="M284" t="str">
        <f>TEXT(SalesData[[#This Row],[Order_Date]],"mmm")</f>
        <v>Dec</v>
      </c>
      <c r="N284">
        <f>YEAR(SalesData[[#This Row],[Order_Date]])</f>
        <v>2022</v>
      </c>
    </row>
    <row r="285" spans="1:14" x14ac:dyDescent="0.3">
      <c r="A285" t="s">
        <v>775</v>
      </c>
      <c r="B285" s="1">
        <v>44836</v>
      </c>
      <c r="C285" t="s">
        <v>776</v>
      </c>
      <c r="D285" t="s">
        <v>12</v>
      </c>
      <c r="E285" t="s">
        <v>19</v>
      </c>
      <c r="F285" t="s">
        <v>29</v>
      </c>
      <c r="G285" t="s">
        <v>777</v>
      </c>
      <c r="H285" s="8">
        <v>553.07000000000005</v>
      </c>
      <c r="I285" s="8">
        <v>-169.08</v>
      </c>
      <c r="J285" s="8">
        <v>0.22</v>
      </c>
      <c r="K285" t="str">
        <f>IF(SalesData[[#This Row],[Profit]]&gt;0,"Profit","Loss")</f>
        <v>Loss</v>
      </c>
      <c r="L285" s="8">
        <f>SalesData[[#This Row],[Profit]]/SalesData[[#This Row],[Sales]]</f>
        <v>-0.305711754389137</v>
      </c>
      <c r="M285" t="str">
        <f>TEXT(SalesData[[#This Row],[Order_Date]],"mmm")</f>
        <v>Oct</v>
      </c>
      <c r="N285">
        <f>YEAR(SalesData[[#This Row],[Order_Date]])</f>
        <v>2022</v>
      </c>
    </row>
    <row r="286" spans="1:14" x14ac:dyDescent="0.3">
      <c r="A286" t="s">
        <v>778</v>
      </c>
      <c r="B286" s="1">
        <v>44784</v>
      </c>
      <c r="C286" t="s">
        <v>779</v>
      </c>
      <c r="D286" t="s">
        <v>18</v>
      </c>
      <c r="E286" t="s">
        <v>56</v>
      </c>
      <c r="F286" t="s">
        <v>57</v>
      </c>
      <c r="G286" t="s">
        <v>780</v>
      </c>
      <c r="H286" s="8">
        <v>4042.79</v>
      </c>
      <c r="I286" s="8">
        <v>92.46</v>
      </c>
      <c r="J286" s="8">
        <v>0.18</v>
      </c>
      <c r="K286" t="str">
        <f>IF(SalesData[[#This Row],[Profit]]&gt;0,"Profit","Loss")</f>
        <v>Profit</v>
      </c>
      <c r="L286" s="8">
        <f>SalesData[[#This Row],[Profit]]/SalesData[[#This Row],[Sales]]</f>
        <v>2.2870344489820147E-2</v>
      </c>
      <c r="M286" t="str">
        <f>TEXT(SalesData[[#This Row],[Order_Date]],"mmm")</f>
        <v>Aug</v>
      </c>
      <c r="N286">
        <f>YEAR(SalesData[[#This Row],[Order_Date]])</f>
        <v>2022</v>
      </c>
    </row>
    <row r="287" spans="1:14" x14ac:dyDescent="0.3">
      <c r="A287" t="s">
        <v>781</v>
      </c>
      <c r="B287" s="1">
        <v>44682</v>
      </c>
      <c r="C287" t="s">
        <v>397</v>
      </c>
      <c r="D287" t="s">
        <v>28</v>
      </c>
      <c r="E287" t="s">
        <v>19</v>
      </c>
      <c r="F287" t="s">
        <v>29</v>
      </c>
      <c r="G287" t="s">
        <v>782</v>
      </c>
      <c r="H287" s="8">
        <v>4789.3999999999996</v>
      </c>
      <c r="I287" s="8">
        <v>1735.18</v>
      </c>
      <c r="J287" s="8">
        <v>0</v>
      </c>
      <c r="K287" t="str">
        <f>IF(SalesData[[#This Row],[Profit]]&gt;0,"Profit","Loss")</f>
        <v>Profit</v>
      </c>
      <c r="L287" s="8">
        <f>SalesData[[#This Row],[Profit]]/SalesData[[#This Row],[Sales]]</f>
        <v>0.36229590345345974</v>
      </c>
      <c r="M287" t="str">
        <f>TEXT(SalesData[[#This Row],[Order_Date]],"mmm")</f>
        <v>May</v>
      </c>
      <c r="N287">
        <f>YEAR(SalesData[[#This Row],[Order_Date]])</f>
        <v>2022</v>
      </c>
    </row>
    <row r="288" spans="1:14" x14ac:dyDescent="0.3">
      <c r="A288" t="s">
        <v>783</v>
      </c>
      <c r="B288" s="1">
        <v>45127</v>
      </c>
      <c r="C288" t="s">
        <v>784</v>
      </c>
      <c r="D288" t="s">
        <v>40</v>
      </c>
      <c r="E288" t="s">
        <v>56</v>
      </c>
      <c r="F288" t="s">
        <v>73</v>
      </c>
      <c r="G288" t="s">
        <v>111</v>
      </c>
      <c r="H288" s="8">
        <v>3061.57</v>
      </c>
      <c r="I288" s="8">
        <v>885.03</v>
      </c>
      <c r="J288" s="8">
        <v>0.06</v>
      </c>
      <c r="K288" t="str">
        <f>IF(SalesData[[#This Row],[Profit]]&gt;0,"Profit","Loss")</f>
        <v>Profit</v>
      </c>
      <c r="L288" s="8">
        <f>SalesData[[#This Row],[Profit]]/SalesData[[#This Row],[Sales]]</f>
        <v>0.28907717282309403</v>
      </c>
      <c r="M288" t="str">
        <f>TEXT(SalesData[[#This Row],[Order_Date]],"mmm")</f>
        <v>Jul</v>
      </c>
      <c r="N288">
        <f>YEAR(SalesData[[#This Row],[Order_Date]])</f>
        <v>2023</v>
      </c>
    </row>
    <row r="289" spans="1:14" x14ac:dyDescent="0.3">
      <c r="A289" t="s">
        <v>785</v>
      </c>
      <c r="B289" s="1">
        <v>45071</v>
      </c>
      <c r="C289" t="s">
        <v>786</v>
      </c>
      <c r="D289" t="s">
        <v>12</v>
      </c>
      <c r="E289" t="s">
        <v>19</v>
      </c>
      <c r="F289" t="s">
        <v>141</v>
      </c>
      <c r="G289" t="s">
        <v>398</v>
      </c>
      <c r="H289" s="8">
        <v>3278.73</v>
      </c>
      <c r="I289" s="8">
        <v>-243.33</v>
      </c>
      <c r="J289" s="8">
        <v>0.09</v>
      </c>
      <c r="K289" t="str">
        <f>IF(SalesData[[#This Row],[Profit]]&gt;0,"Profit","Loss")</f>
        <v>Loss</v>
      </c>
      <c r="L289" s="8">
        <f>SalesData[[#This Row],[Profit]]/SalesData[[#This Row],[Sales]]</f>
        <v>-7.4214711183903534E-2</v>
      </c>
      <c r="M289" t="str">
        <f>TEXT(SalesData[[#This Row],[Order_Date]],"mmm")</f>
        <v>May</v>
      </c>
      <c r="N289">
        <f>YEAR(SalesData[[#This Row],[Order_Date]])</f>
        <v>2023</v>
      </c>
    </row>
    <row r="290" spans="1:14" x14ac:dyDescent="0.3">
      <c r="A290" t="s">
        <v>787</v>
      </c>
      <c r="B290" s="1">
        <v>44882</v>
      </c>
      <c r="C290" t="s">
        <v>693</v>
      </c>
      <c r="D290" t="s">
        <v>12</v>
      </c>
      <c r="E290" t="s">
        <v>13</v>
      </c>
      <c r="F290" t="s">
        <v>36</v>
      </c>
      <c r="G290" t="s">
        <v>239</v>
      </c>
      <c r="H290" s="8">
        <v>3831.98</v>
      </c>
      <c r="I290" s="8">
        <v>-682.57</v>
      </c>
      <c r="J290" s="8">
        <v>0.1</v>
      </c>
      <c r="K290" t="str">
        <f>IF(SalesData[[#This Row],[Profit]]&gt;0,"Profit","Loss")</f>
        <v>Loss</v>
      </c>
      <c r="L290" s="8">
        <f>SalesData[[#This Row],[Profit]]/SalesData[[#This Row],[Sales]]</f>
        <v>-0.17812462486756195</v>
      </c>
      <c r="M290" t="str">
        <f>TEXT(SalesData[[#This Row],[Order_Date]],"mmm")</f>
        <v>Nov</v>
      </c>
      <c r="N290">
        <f>YEAR(SalesData[[#This Row],[Order_Date]])</f>
        <v>2022</v>
      </c>
    </row>
    <row r="291" spans="1:14" x14ac:dyDescent="0.3">
      <c r="A291" t="s">
        <v>788</v>
      </c>
      <c r="B291" s="1">
        <v>45155</v>
      </c>
      <c r="C291" t="s">
        <v>626</v>
      </c>
      <c r="D291" t="s">
        <v>28</v>
      </c>
      <c r="E291" t="s">
        <v>56</v>
      </c>
      <c r="F291" t="s">
        <v>73</v>
      </c>
      <c r="G291" t="s">
        <v>789</v>
      </c>
      <c r="H291" s="8">
        <v>815.02</v>
      </c>
      <c r="I291" s="8">
        <v>228.9</v>
      </c>
      <c r="J291" s="8">
        <v>0.08</v>
      </c>
      <c r="K291" t="str">
        <f>IF(SalesData[[#This Row],[Profit]]&gt;0,"Profit","Loss")</f>
        <v>Profit</v>
      </c>
      <c r="L291" s="8">
        <f>SalesData[[#This Row],[Profit]]/SalesData[[#This Row],[Sales]]</f>
        <v>0.28085200363181273</v>
      </c>
      <c r="M291" t="str">
        <f>TEXT(SalesData[[#This Row],[Order_Date]],"mmm")</f>
        <v>Aug</v>
      </c>
      <c r="N291">
        <f>YEAR(SalesData[[#This Row],[Order_Date]])</f>
        <v>2023</v>
      </c>
    </row>
    <row r="292" spans="1:14" x14ac:dyDescent="0.3">
      <c r="A292" t="s">
        <v>790</v>
      </c>
      <c r="B292" s="1">
        <v>45073</v>
      </c>
      <c r="C292" t="s">
        <v>791</v>
      </c>
      <c r="D292" t="s">
        <v>40</v>
      </c>
      <c r="E292" t="s">
        <v>56</v>
      </c>
      <c r="F292" t="s">
        <v>57</v>
      </c>
      <c r="G292" t="s">
        <v>792</v>
      </c>
      <c r="H292" s="8">
        <v>1716.34</v>
      </c>
      <c r="I292" s="8">
        <v>326.13</v>
      </c>
      <c r="J292" s="8">
        <v>0.11</v>
      </c>
      <c r="K292" t="str">
        <f>IF(SalesData[[#This Row],[Profit]]&gt;0,"Profit","Loss")</f>
        <v>Profit</v>
      </c>
      <c r="L292" s="8">
        <f>SalesData[[#This Row],[Profit]]/SalesData[[#This Row],[Sales]]</f>
        <v>0.19001479893261242</v>
      </c>
      <c r="M292" t="str">
        <f>TEXT(SalesData[[#This Row],[Order_Date]],"mmm")</f>
        <v>May</v>
      </c>
      <c r="N292">
        <f>YEAR(SalesData[[#This Row],[Order_Date]])</f>
        <v>2023</v>
      </c>
    </row>
    <row r="293" spans="1:14" x14ac:dyDescent="0.3">
      <c r="A293" t="s">
        <v>793</v>
      </c>
      <c r="B293" s="1">
        <v>44922</v>
      </c>
      <c r="C293" t="s">
        <v>794</v>
      </c>
      <c r="D293" t="s">
        <v>18</v>
      </c>
      <c r="E293" t="s">
        <v>19</v>
      </c>
      <c r="F293" t="s">
        <v>141</v>
      </c>
      <c r="G293" t="s">
        <v>795</v>
      </c>
      <c r="H293" s="8">
        <v>3244.3</v>
      </c>
      <c r="I293" s="8">
        <v>-808.02</v>
      </c>
      <c r="J293" s="8">
        <v>0.15</v>
      </c>
      <c r="K293" t="str">
        <f>IF(SalesData[[#This Row],[Profit]]&gt;0,"Profit","Loss")</f>
        <v>Loss</v>
      </c>
      <c r="L293" s="8">
        <f>SalesData[[#This Row],[Profit]]/SalesData[[#This Row],[Sales]]</f>
        <v>-0.24905834848811761</v>
      </c>
      <c r="M293" t="str">
        <f>TEXT(SalesData[[#This Row],[Order_Date]],"mmm")</f>
        <v>Dec</v>
      </c>
      <c r="N293">
        <f>YEAR(SalesData[[#This Row],[Order_Date]])</f>
        <v>2022</v>
      </c>
    </row>
    <row r="294" spans="1:14" x14ac:dyDescent="0.3">
      <c r="A294" t="s">
        <v>796</v>
      </c>
      <c r="B294" s="1">
        <v>44622</v>
      </c>
      <c r="C294" t="s">
        <v>563</v>
      </c>
      <c r="D294" t="s">
        <v>12</v>
      </c>
      <c r="E294" t="s">
        <v>13</v>
      </c>
      <c r="F294" t="s">
        <v>36</v>
      </c>
      <c r="G294" t="s">
        <v>797</v>
      </c>
      <c r="H294" s="8">
        <v>1001.83</v>
      </c>
      <c r="I294" s="8">
        <v>124.42</v>
      </c>
      <c r="J294" s="8">
        <v>0.27</v>
      </c>
      <c r="K294" t="str">
        <f>IF(SalesData[[#This Row],[Profit]]&gt;0,"Profit","Loss")</f>
        <v>Profit</v>
      </c>
      <c r="L294" s="8">
        <f>SalesData[[#This Row],[Profit]]/SalesData[[#This Row],[Sales]]</f>
        <v>0.12419272730902448</v>
      </c>
      <c r="M294" t="str">
        <f>TEXT(SalesData[[#This Row],[Order_Date]],"mmm")</f>
        <v>Mar</v>
      </c>
      <c r="N294">
        <f>YEAR(SalesData[[#This Row],[Order_Date]])</f>
        <v>2022</v>
      </c>
    </row>
    <row r="295" spans="1:14" x14ac:dyDescent="0.3">
      <c r="A295" t="s">
        <v>798</v>
      </c>
      <c r="B295" s="1">
        <v>45207</v>
      </c>
      <c r="C295" t="s">
        <v>799</v>
      </c>
      <c r="D295" t="s">
        <v>12</v>
      </c>
      <c r="E295" t="s">
        <v>56</v>
      </c>
      <c r="F295" t="s">
        <v>73</v>
      </c>
      <c r="G295" t="s">
        <v>800</v>
      </c>
      <c r="H295" s="8">
        <v>337.72</v>
      </c>
      <c r="I295" s="8">
        <v>-39.68</v>
      </c>
      <c r="J295" s="8">
        <v>0</v>
      </c>
      <c r="K295" t="str">
        <f>IF(SalesData[[#This Row],[Profit]]&gt;0,"Profit","Loss")</f>
        <v>Loss</v>
      </c>
      <c r="L295" s="8">
        <f>SalesData[[#This Row],[Profit]]/SalesData[[#This Row],[Sales]]</f>
        <v>-0.11749378183110268</v>
      </c>
      <c r="M295" t="str">
        <f>TEXT(SalesData[[#This Row],[Order_Date]],"mmm")</f>
        <v>Oct</v>
      </c>
      <c r="N295">
        <f>YEAR(SalesData[[#This Row],[Order_Date]])</f>
        <v>2023</v>
      </c>
    </row>
    <row r="296" spans="1:14" x14ac:dyDescent="0.3">
      <c r="A296" t="s">
        <v>801</v>
      </c>
      <c r="B296" s="1">
        <v>45215</v>
      </c>
      <c r="C296" t="s">
        <v>802</v>
      </c>
      <c r="D296" t="s">
        <v>28</v>
      </c>
      <c r="E296" t="s">
        <v>56</v>
      </c>
      <c r="F296" t="s">
        <v>57</v>
      </c>
      <c r="G296" t="s">
        <v>803</v>
      </c>
      <c r="H296" s="8">
        <v>1171.73</v>
      </c>
      <c r="I296" s="8">
        <v>-355.89</v>
      </c>
      <c r="J296" s="8">
        <v>0.14000000000000001</v>
      </c>
      <c r="K296" t="str">
        <f>IF(SalesData[[#This Row],[Profit]]&gt;0,"Profit","Loss")</f>
        <v>Loss</v>
      </c>
      <c r="L296" s="8">
        <f>SalesData[[#This Row],[Profit]]/SalesData[[#This Row],[Sales]]</f>
        <v>-0.30373038157254656</v>
      </c>
      <c r="M296" t="str">
        <f>TEXT(SalesData[[#This Row],[Order_Date]],"mmm")</f>
        <v>Oct</v>
      </c>
      <c r="N296">
        <f>YEAR(SalesData[[#This Row],[Order_Date]])</f>
        <v>2023</v>
      </c>
    </row>
    <row r="297" spans="1:14" x14ac:dyDescent="0.3">
      <c r="A297" t="s">
        <v>804</v>
      </c>
      <c r="B297" s="1">
        <v>45104</v>
      </c>
      <c r="C297" t="s">
        <v>805</v>
      </c>
      <c r="D297" t="s">
        <v>40</v>
      </c>
      <c r="E297" t="s">
        <v>19</v>
      </c>
      <c r="F297" t="s">
        <v>20</v>
      </c>
      <c r="G297" t="s">
        <v>806</v>
      </c>
      <c r="H297" s="8">
        <v>132.4</v>
      </c>
      <c r="I297" s="8">
        <v>-48.05</v>
      </c>
      <c r="J297" s="8">
        <v>0.17</v>
      </c>
      <c r="K297" t="str">
        <f>IF(SalesData[[#This Row],[Profit]]&gt;0,"Profit","Loss")</f>
        <v>Loss</v>
      </c>
      <c r="L297" s="8">
        <f>SalesData[[#This Row],[Profit]]/SalesData[[#This Row],[Sales]]</f>
        <v>-0.36291540785498488</v>
      </c>
      <c r="M297" t="str">
        <f>TEXT(SalesData[[#This Row],[Order_Date]],"mmm")</f>
        <v>Jun</v>
      </c>
      <c r="N297">
        <f>YEAR(SalesData[[#This Row],[Order_Date]])</f>
        <v>2023</v>
      </c>
    </row>
    <row r="298" spans="1:14" x14ac:dyDescent="0.3">
      <c r="A298" t="s">
        <v>807</v>
      </c>
      <c r="B298" s="1">
        <v>44745</v>
      </c>
      <c r="C298" t="s">
        <v>808</v>
      </c>
      <c r="D298" t="s">
        <v>12</v>
      </c>
      <c r="E298" t="s">
        <v>19</v>
      </c>
      <c r="F298" t="s">
        <v>20</v>
      </c>
      <c r="G298" t="s">
        <v>809</v>
      </c>
      <c r="H298" s="8">
        <v>2560.86</v>
      </c>
      <c r="I298" s="8">
        <v>-388.37</v>
      </c>
      <c r="J298" s="8">
        <v>0.21</v>
      </c>
      <c r="K298" t="str">
        <f>IF(SalesData[[#This Row],[Profit]]&gt;0,"Profit","Loss")</f>
        <v>Loss</v>
      </c>
      <c r="L298" s="8">
        <f>SalesData[[#This Row],[Profit]]/SalesData[[#This Row],[Sales]]</f>
        <v>-0.15165608428418578</v>
      </c>
      <c r="M298" t="str">
        <f>TEXT(SalesData[[#This Row],[Order_Date]],"mmm")</f>
        <v>Jul</v>
      </c>
      <c r="N298">
        <f>YEAR(SalesData[[#This Row],[Order_Date]])</f>
        <v>2022</v>
      </c>
    </row>
    <row r="299" spans="1:14" x14ac:dyDescent="0.3">
      <c r="A299" t="s">
        <v>810</v>
      </c>
      <c r="B299" s="1">
        <v>44835</v>
      </c>
      <c r="C299" t="s">
        <v>811</v>
      </c>
      <c r="D299" t="s">
        <v>12</v>
      </c>
      <c r="E299" t="s">
        <v>56</v>
      </c>
      <c r="F299" t="s">
        <v>57</v>
      </c>
      <c r="G299" t="s">
        <v>656</v>
      </c>
      <c r="H299" s="8">
        <v>1040.47</v>
      </c>
      <c r="I299" s="8">
        <v>134.35</v>
      </c>
      <c r="J299" s="8">
        <v>0.16</v>
      </c>
      <c r="K299" t="str">
        <f>IF(SalesData[[#This Row],[Profit]]&gt;0,"Profit","Loss")</f>
        <v>Profit</v>
      </c>
      <c r="L299" s="8">
        <f>SalesData[[#This Row],[Profit]]/SalesData[[#This Row],[Sales]]</f>
        <v>0.12912433803953982</v>
      </c>
      <c r="M299" t="str">
        <f>TEXT(SalesData[[#This Row],[Order_Date]],"mmm")</f>
        <v>Oct</v>
      </c>
      <c r="N299">
        <f>YEAR(SalesData[[#This Row],[Order_Date]])</f>
        <v>2022</v>
      </c>
    </row>
    <row r="300" spans="1:14" x14ac:dyDescent="0.3">
      <c r="A300" t="s">
        <v>812</v>
      </c>
      <c r="B300" s="1">
        <v>45262</v>
      </c>
      <c r="C300" t="s">
        <v>213</v>
      </c>
      <c r="D300" t="s">
        <v>12</v>
      </c>
      <c r="E300" t="s">
        <v>19</v>
      </c>
      <c r="F300" t="s">
        <v>29</v>
      </c>
      <c r="G300" t="s">
        <v>450</v>
      </c>
      <c r="H300" s="8">
        <v>2868.51</v>
      </c>
      <c r="I300" s="8">
        <v>-1045.53</v>
      </c>
      <c r="J300" s="8">
        <v>0.3</v>
      </c>
      <c r="K300" t="str">
        <f>IF(SalesData[[#This Row],[Profit]]&gt;0,"Profit","Loss")</f>
        <v>Loss</v>
      </c>
      <c r="L300" s="8">
        <f>SalesData[[#This Row],[Profit]]/SalesData[[#This Row],[Sales]]</f>
        <v>-0.36448539485656312</v>
      </c>
      <c r="M300" t="str">
        <f>TEXT(SalesData[[#This Row],[Order_Date]],"mmm")</f>
        <v>Dec</v>
      </c>
      <c r="N300">
        <f>YEAR(SalesData[[#This Row],[Order_Date]])</f>
        <v>2023</v>
      </c>
    </row>
    <row r="301" spans="1:14" x14ac:dyDescent="0.3">
      <c r="A301" t="s">
        <v>813</v>
      </c>
      <c r="B301" s="1">
        <v>45281</v>
      </c>
      <c r="C301" t="s">
        <v>814</v>
      </c>
      <c r="D301" t="s">
        <v>12</v>
      </c>
      <c r="E301" t="s">
        <v>19</v>
      </c>
      <c r="F301" t="s">
        <v>29</v>
      </c>
      <c r="G301" t="s">
        <v>598</v>
      </c>
      <c r="H301" s="8">
        <v>1948.13</v>
      </c>
      <c r="I301" s="8">
        <v>81.92</v>
      </c>
      <c r="J301" s="8">
        <v>0.14000000000000001</v>
      </c>
      <c r="K301" t="str">
        <f>IF(SalesData[[#This Row],[Profit]]&gt;0,"Profit","Loss")</f>
        <v>Profit</v>
      </c>
      <c r="L301" s="8">
        <f>SalesData[[#This Row],[Profit]]/SalesData[[#This Row],[Sales]]</f>
        <v>4.2050581840020938E-2</v>
      </c>
      <c r="M301" t="str">
        <f>TEXT(SalesData[[#This Row],[Order_Date]],"mmm")</f>
        <v>Dec</v>
      </c>
      <c r="N301">
        <f>YEAR(SalesData[[#This Row],[Order_Date]])</f>
        <v>2023</v>
      </c>
    </row>
    <row r="302" spans="1:14" x14ac:dyDescent="0.3">
      <c r="A302" t="s">
        <v>815</v>
      </c>
      <c r="B302" s="1">
        <v>44659</v>
      </c>
      <c r="C302" t="s">
        <v>555</v>
      </c>
      <c r="D302" t="s">
        <v>12</v>
      </c>
      <c r="E302" t="s">
        <v>19</v>
      </c>
      <c r="F302" t="s">
        <v>141</v>
      </c>
      <c r="G302" t="s">
        <v>816</v>
      </c>
      <c r="H302" s="8">
        <v>3943.44</v>
      </c>
      <c r="I302" s="8">
        <v>570.91999999999996</v>
      </c>
      <c r="J302" s="8">
        <v>0.17</v>
      </c>
      <c r="K302" t="str">
        <f>IF(SalesData[[#This Row],[Profit]]&gt;0,"Profit","Loss")</f>
        <v>Profit</v>
      </c>
      <c r="L302" s="8">
        <f>SalesData[[#This Row],[Profit]]/SalesData[[#This Row],[Sales]]</f>
        <v>0.14477714888523724</v>
      </c>
      <c r="M302" t="str">
        <f>TEXT(SalesData[[#This Row],[Order_Date]],"mmm")</f>
        <v>Apr</v>
      </c>
      <c r="N302">
        <f>YEAR(SalesData[[#This Row],[Order_Date]])</f>
        <v>2022</v>
      </c>
    </row>
    <row r="303" spans="1:14" x14ac:dyDescent="0.3">
      <c r="A303" t="s">
        <v>817</v>
      </c>
      <c r="B303" s="1">
        <v>44638</v>
      </c>
      <c r="C303" t="s">
        <v>361</v>
      </c>
      <c r="D303" t="s">
        <v>40</v>
      </c>
      <c r="E303" t="s">
        <v>56</v>
      </c>
      <c r="F303" t="s">
        <v>73</v>
      </c>
      <c r="G303" t="s">
        <v>603</v>
      </c>
      <c r="H303" s="8">
        <v>4449.0200000000004</v>
      </c>
      <c r="I303" s="8">
        <v>-1388.37</v>
      </c>
      <c r="J303" s="8">
        <v>0.14000000000000001</v>
      </c>
      <c r="K303" t="str">
        <f>IF(SalesData[[#This Row],[Profit]]&gt;0,"Profit","Loss")</f>
        <v>Loss</v>
      </c>
      <c r="L303" s="8">
        <f>SalesData[[#This Row],[Profit]]/SalesData[[#This Row],[Sales]]</f>
        <v>-0.31206198218933601</v>
      </c>
      <c r="M303" t="str">
        <f>TEXT(SalesData[[#This Row],[Order_Date]],"mmm")</f>
        <v>Mar</v>
      </c>
      <c r="N303">
        <f>YEAR(SalesData[[#This Row],[Order_Date]])</f>
        <v>2022</v>
      </c>
    </row>
    <row r="304" spans="1:14" x14ac:dyDescent="0.3">
      <c r="A304" t="s">
        <v>818</v>
      </c>
      <c r="B304" s="1">
        <v>44578</v>
      </c>
      <c r="C304" t="s">
        <v>819</v>
      </c>
      <c r="D304" t="s">
        <v>18</v>
      </c>
      <c r="E304" t="s">
        <v>13</v>
      </c>
      <c r="F304" t="s">
        <v>24</v>
      </c>
      <c r="G304" t="s">
        <v>537</v>
      </c>
      <c r="H304" s="8">
        <v>3324.74</v>
      </c>
      <c r="I304" s="8">
        <v>865.29</v>
      </c>
      <c r="J304" s="8">
        <v>0.05</v>
      </c>
      <c r="K304" t="str">
        <f>IF(SalesData[[#This Row],[Profit]]&gt;0,"Profit","Loss")</f>
        <v>Profit</v>
      </c>
      <c r="L304" s="8">
        <f>SalesData[[#This Row],[Profit]]/SalesData[[#This Row],[Sales]]</f>
        <v>0.26025794498216404</v>
      </c>
      <c r="M304" t="str">
        <f>TEXT(SalesData[[#This Row],[Order_Date]],"mmm")</f>
        <v>Jan</v>
      </c>
      <c r="N304">
        <f>YEAR(SalesData[[#This Row],[Order_Date]])</f>
        <v>2022</v>
      </c>
    </row>
    <row r="305" spans="1:14" x14ac:dyDescent="0.3">
      <c r="A305" t="s">
        <v>820</v>
      </c>
      <c r="B305" s="1">
        <v>45142</v>
      </c>
      <c r="C305" t="s">
        <v>821</v>
      </c>
      <c r="D305" t="s">
        <v>40</v>
      </c>
      <c r="E305" t="s">
        <v>13</v>
      </c>
      <c r="F305" t="s">
        <v>36</v>
      </c>
      <c r="G305" t="s">
        <v>380</v>
      </c>
      <c r="H305" s="8">
        <v>4651.49</v>
      </c>
      <c r="I305" s="8">
        <v>225.02</v>
      </c>
      <c r="J305" s="8">
        <v>0.09</v>
      </c>
      <c r="K305" t="str">
        <f>IF(SalesData[[#This Row],[Profit]]&gt;0,"Profit","Loss")</f>
        <v>Profit</v>
      </c>
      <c r="L305" s="8">
        <f>SalesData[[#This Row],[Profit]]/SalesData[[#This Row],[Sales]]</f>
        <v>4.8375896755663242E-2</v>
      </c>
      <c r="M305" t="str">
        <f>TEXT(SalesData[[#This Row],[Order_Date]],"mmm")</f>
        <v>Aug</v>
      </c>
      <c r="N305">
        <f>YEAR(SalesData[[#This Row],[Order_Date]])</f>
        <v>2023</v>
      </c>
    </row>
    <row r="306" spans="1:14" x14ac:dyDescent="0.3">
      <c r="A306" t="s">
        <v>822</v>
      </c>
      <c r="B306" s="1">
        <v>44916</v>
      </c>
      <c r="C306" t="s">
        <v>823</v>
      </c>
      <c r="D306" t="s">
        <v>12</v>
      </c>
      <c r="E306" t="s">
        <v>13</v>
      </c>
      <c r="F306" t="s">
        <v>14</v>
      </c>
      <c r="G306" t="s">
        <v>491</v>
      </c>
      <c r="H306" s="8">
        <v>3973.44</v>
      </c>
      <c r="I306" s="8">
        <v>-1442.13</v>
      </c>
      <c r="J306" s="8">
        <v>0.21</v>
      </c>
      <c r="K306" t="str">
        <f>IF(SalesData[[#This Row],[Profit]]&gt;0,"Profit","Loss")</f>
        <v>Loss</v>
      </c>
      <c r="L306" s="8">
        <f>SalesData[[#This Row],[Profit]]/SalesData[[#This Row],[Sales]]</f>
        <v>-0.36294243778690505</v>
      </c>
      <c r="M306" t="str">
        <f>TEXT(SalesData[[#This Row],[Order_Date]],"mmm")</f>
        <v>Dec</v>
      </c>
      <c r="N306">
        <f>YEAR(SalesData[[#This Row],[Order_Date]])</f>
        <v>2022</v>
      </c>
    </row>
    <row r="307" spans="1:14" x14ac:dyDescent="0.3">
      <c r="A307" t="s">
        <v>824</v>
      </c>
      <c r="B307" s="1">
        <v>44968</v>
      </c>
      <c r="C307" t="s">
        <v>825</v>
      </c>
      <c r="D307" t="s">
        <v>40</v>
      </c>
      <c r="E307" t="s">
        <v>56</v>
      </c>
      <c r="F307" t="s">
        <v>57</v>
      </c>
      <c r="G307" t="s">
        <v>826</v>
      </c>
      <c r="H307" s="8">
        <v>1768.9</v>
      </c>
      <c r="I307" s="8">
        <v>252.8</v>
      </c>
      <c r="J307" s="8">
        <v>0.23</v>
      </c>
      <c r="K307" t="str">
        <f>IF(SalesData[[#This Row],[Profit]]&gt;0,"Profit","Loss")</f>
        <v>Profit</v>
      </c>
      <c r="L307" s="8">
        <f>SalesData[[#This Row],[Profit]]/SalesData[[#This Row],[Sales]]</f>
        <v>0.142913675165357</v>
      </c>
      <c r="M307" t="str">
        <f>TEXT(SalesData[[#This Row],[Order_Date]],"mmm")</f>
        <v>Feb</v>
      </c>
      <c r="N307">
        <f>YEAR(SalesData[[#This Row],[Order_Date]])</f>
        <v>2023</v>
      </c>
    </row>
    <row r="308" spans="1:14" x14ac:dyDescent="0.3">
      <c r="A308" t="s">
        <v>827</v>
      </c>
      <c r="B308" s="1">
        <v>45128</v>
      </c>
      <c r="C308" t="s">
        <v>243</v>
      </c>
      <c r="D308" t="s">
        <v>28</v>
      </c>
      <c r="E308" t="s">
        <v>13</v>
      </c>
      <c r="F308" t="s">
        <v>36</v>
      </c>
      <c r="G308" t="s">
        <v>828</v>
      </c>
      <c r="H308" s="8">
        <v>3939.39</v>
      </c>
      <c r="I308" s="8">
        <v>-800.16</v>
      </c>
      <c r="J308" s="8">
        <v>0.14000000000000001</v>
      </c>
      <c r="K308" t="str">
        <f>IF(SalesData[[#This Row],[Profit]]&gt;0,"Profit","Loss")</f>
        <v>Loss</v>
      </c>
      <c r="L308" s="8">
        <f>SalesData[[#This Row],[Profit]]/SalesData[[#This Row],[Sales]]</f>
        <v>-0.20311774157928003</v>
      </c>
      <c r="M308" t="str">
        <f>TEXT(SalesData[[#This Row],[Order_Date]],"mmm")</f>
        <v>Jul</v>
      </c>
      <c r="N308">
        <f>YEAR(SalesData[[#This Row],[Order_Date]])</f>
        <v>2023</v>
      </c>
    </row>
    <row r="309" spans="1:14" x14ac:dyDescent="0.3">
      <c r="A309" t="s">
        <v>829</v>
      </c>
      <c r="B309" s="1">
        <v>44814</v>
      </c>
      <c r="C309" t="s">
        <v>830</v>
      </c>
      <c r="D309" t="s">
        <v>12</v>
      </c>
      <c r="E309" t="s">
        <v>13</v>
      </c>
      <c r="F309" t="s">
        <v>24</v>
      </c>
      <c r="G309" t="s">
        <v>228</v>
      </c>
      <c r="H309" s="8">
        <v>3337.29</v>
      </c>
      <c r="I309" s="8">
        <v>471.12</v>
      </c>
      <c r="J309" s="8">
        <v>0.03</v>
      </c>
      <c r="K309" t="str">
        <f>IF(SalesData[[#This Row],[Profit]]&gt;0,"Profit","Loss")</f>
        <v>Profit</v>
      </c>
      <c r="L309" s="8">
        <f>SalesData[[#This Row],[Profit]]/SalesData[[#This Row],[Sales]]</f>
        <v>0.14116843306994598</v>
      </c>
      <c r="M309" t="str">
        <f>TEXT(SalesData[[#This Row],[Order_Date]],"mmm")</f>
        <v>Sep</v>
      </c>
      <c r="N309">
        <f>YEAR(SalesData[[#This Row],[Order_Date]])</f>
        <v>2022</v>
      </c>
    </row>
    <row r="310" spans="1:14" x14ac:dyDescent="0.3">
      <c r="A310" t="s">
        <v>831</v>
      </c>
      <c r="B310" s="1">
        <v>44960</v>
      </c>
      <c r="C310" t="s">
        <v>832</v>
      </c>
      <c r="D310" t="s">
        <v>40</v>
      </c>
      <c r="E310" t="s">
        <v>19</v>
      </c>
      <c r="F310" t="s">
        <v>20</v>
      </c>
      <c r="G310" t="s">
        <v>833</v>
      </c>
      <c r="H310" s="8">
        <v>1962</v>
      </c>
      <c r="I310" s="8">
        <v>-681.67</v>
      </c>
      <c r="J310" s="8">
        <v>0.24</v>
      </c>
      <c r="K310" t="str">
        <f>IF(SalesData[[#This Row],[Profit]]&gt;0,"Profit","Loss")</f>
        <v>Loss</v>
      </c>
      <c r="L310" s="8">
        <f>SalesData[[#This Row],[Profit]]/SalesData[[#This Row],[Sales]]</f>
        <v>-0.34743628950050964</v>
      </c>
      <c r="M310" t="str">
        <f>TEXT(SalesData[[#This Row],[Order_Date]],"mmm")</f>
        <v>Feb</v>
      </c>
      <c r="N310">
        <f>YEAR(SalesData[[#This Row],[Order_Date]])</f>
        <v>2023</v>
      </c>
    </row>
    <row r="311" spans="1:14" x14ac:dyDescent="0.3">
      <c r="A311" t="s">
        <v>834</v>
      </c>
      <c r="B311" s="1">
        <v>44666</v>
      </c>
      <c r="C311" t="s">
        <v>835</v>
      </c>
      <c r="D311" t="s">
        <v>12</v>
      </c>
      <c r="E311" t="s">
        <v>56</v>
      </c>
      <c r="F311" t="s">
        <v>57</v>
      </c>
      <c r="G311" t="s">
        <v>828</v>
      </c>
      <c r="H311" s="8">
        <v>4720.51</v>
      </c>
      <c r="I311" s="8">
        <v>598.6</v>
      </c>
      <c r="J311" s="8">
        <v>0.13</v>
      </c>
      <c r="K311" t="str">
        <f>IF(SalesData[[#This Row],[Profit]]&gt;0,"Profit","Loss")</f>
        <v>Profit</v>
      </c>
      <c r="L311" s="8">
        <f>SalesData[[#This Row],[Profit]]/SalesData[[#This Row],[Sales]]</f>
        <v>0.12680833215055154</v>
      </c>
      <c r="M311" t="str">
        <f>TEXT(SalesData[[#This Row],[Order_Date]],"mmm")</f>
        <v>Apr</v>
      </c>
      <c r="N311">
        <f>YEAR(SalesData[[#This Row],[Order_Date]])</f>
        <v>2022</v>
      </c>
    </row>
    <row r="312" spans="1:14" x14ac:dyDescent="0.3">
      <c r="A312" t="s">
        <v>836</v>
      </c>
      <c r="B312" s="1">
        <v>44653</v>
      </c>
      <c r="C312" t="s">
        <v>837</v>
      </c>
      <c r="D312" t="s">
        <v>12</v>
      </c>
      <c r="E312" t="s">
        <v>19</v>
      </c>
      <c r="F312" t="s">
        <v>29</v>
      </c>
      <c r="G312" t="s">
        <v>667</v>
      </c>
      <c r="H312" s="8">
        <v>2829.23</v>
      </c>
      <c r="I312" s="8">
        <v>-814.89</v>
      </c>
      <c r="J312" s="8">
        <v>0.15</v>
      </c>
      <c r="K312" t="str">
        <f>IF(SalesData[[#This Row],[Profit]]&gt;0,"Profit","Loss")</f>
        <v>Loss</v>
      </c>
      <c r="L312" s="8">
        <f>SalesData[[#This Row],[Profit]]/SalesData[[#This Row],[Sales]]</f>
        <v>-0.28802536379156163</v>
      </c>
      <c r="M312" t="str">
        <f>TEXT(SalesData[[#This Row],[Order_Date]],"mmm")</f>
        <v>Apr</v>
      </c>
      <c r="N312">
        <f>YEAR(SalesData[[#This Row],[Order_Date]])</f>
        <v>2022</v>
      </c>
    </row>
    <row r="313" spans="1:14" x14ac:dyDescent="0.3">
      <c r="A313" t="s">
        <v>838</v>
      </c>
      <c r="B313" s="1">
        <v>44648</v>
      </c>
      <c r="C313" t="s">
        <v>839</v>
      </c>
      <c r="D313" t="s">
        <v>18</v>
      </c>
      <c r="E313" t="s">
        <v>13</v>
      </c>
      <c r="F313" t="s">
        <v>36</v>
      </c>
      <c r="G313" t="s">
        <v>840</v>
      </c>
      <c r="H313" s="8">
        <v>4332.22</v>
      </c>
      <c r="I313" s="8">
        <v>209.19</v>
      </c>
      <c r="J313" s="8">
        <v>0</v>
      </c>
      <c r="K313" t="str">
        <f>IF(SalesData[[#This Row],[Profit]]&gt;0,"Profit","Loss")</f>
        <v>Profit</v>
      </c>
      <c r="L313" s="8">
        <f>SalesData[[#This Row],[Profit]]/SalesData[[#This Row],[Sales]]</f>
        <v>4.8287021434737842E-2</v>
      </c>
      <c r="M313" t="str">
        <f>TEXT(SalesData[[#This Row],[Order_Date]],"mmm")</f>
        <v>Mar</v>
      </c>
      <c r="N313">
        <f>YEAR(SalesData[[#This Row],[Order_Date]])</f>
        <v>2022</v>
      </c>
    </row>
    <row r="314" spans="1:14" x14ac:dyDescent="0.3">
      <c r="A314" t="s">
        <v>841</v>
      </c>
      <c r="B314" s="1">
        <v>44836</v>
      </c>
      <c r="C314" t="s">
        <v>842</v>
      </c>
      <c r="D314" t="s">
        <v>18</v>
      </c>
      <c r="E314" t="s">
        <v>13</v>
      </c>
      <c r="F314" t="s">
        <v>14</v>
      </c>
      <c r="G314" t="s">
        <v>843</v>
      </c>
      <c r="H314" s="8">
        <v>3458.05</v>
      </c>
      <c r="I314" s="8">
        <v>-306.55</v>
      </c>
      <c r="J314" s="8">
        <v>0.05</v>
      </c>
      <c r="K314" t="str">
        <f>IF(SalesData[[#This Row],[Profit]]&gt;0,"Profit","Loss")</f>
        <v>Loss</v>
      </c>
      <c r="L314" s="8">
        <f>SalesData[[#This Row],[Profit]]/SalesData[[#This Row],[Sales]]</f>
        <v>-8.8648226601697494E-2</v>
      </c>
      <c r="M314" t="str">
        <f>TEXT(SalesData[[#This Row],[Order_Date]],"mmm")</f>
        <v>Oct</v>
      </c>
      <c r="N314">
        <f>YEAR(SalesData[[#This Row],[Order_Date]])</f>
        <v>2022</v>
      </c>
    </row>
    <row r="315" spans="1:14" x14ac:dyDescent="0.3">
      <c r="A315" t="s">
        <v>844</v>
      </c>
      <c r="B315" s="1">
        <v>44931</v>
      </c>
      <c r="C315" t="s">
        <v>845</v>
      </c>
      <c r="D315" t="s">
        <v>18</v>
      </c>
      <c r="E315" t="s">
        <v>56</v>
      </c>
      <c r="F315" t="s">
        <v>95</v>
      </c>
      <c r="G315" t="s">
        <v>534</v>
      </c>
      <c r="H315" s="8">
        <v>1452.21</v>
      </c>
      <c r="I315" s="8">
        <v>260.82</v>
      </c>
      <c r="J315" s="8">
        <v>0.09</v>
      </c>
      <c r="K315" t="str">
        <f>IF(SalesData[[#This Row],[Profit]]&gt;0,"Profit","Loss")</f>
        <v>Profit</v>
      </c>
      <c r="L315" s="8">
        <f>SalesData[[#This Row],[Profit]]/SalesData[[#This Row],[Sales]]</f>
        <v>0.17960212365980127</v>
      </c>
      <c r="M315" t="str">
        <f>TEXT(SalesData[[#This Row],[Order_Date]],"mmm")</f>
        <v>Jan</v>
      </c>
      <c r="N315">
        <f>YEAR(SalesData[[#This Row],[Order_Date]])</f>
        <v>2023</v>
      </c>
    </row>
    <row r="316" spans="1:14" x14ac:dyDescent="0.3">
      <c r="A316" t="s">
        <v>846</v>
      </c>
      <c r="B316" s="1">
        <v>44873</v>
      </c>
      <c r="C316" t="s">
        <v>847</v>
      </c>
      <c r="D316" t="s">
        <v>28</v>
      </c>
      <c r="E316" t="s">
        <v>13</v>
      </c>
      <c r="F316" t="s">
        <v>36</v>
      </c>
      <c r="G316" t="s">
        <v>345</v>
      </c>
      <c r="H316" s="8">
        <v>3009.65</v>
      </c>
      <c r="I316" s="8">
        <v>-589.34</v>
      </c>
      <c r="J316" s="8">
        <v>0.06</v>
      </c>
      <c r="K316" t="str">
        <f>IF(SalesData[[#This Row],[Profit]]&gt;0,"Profit","Loss")</f>
        <v>Loss</v>
      </c>
      <c r="L316" s="8">
        <f>SalesData[[#This Row],[Profit]]/SalesData[[#This Row],[Sales]]</f>
        <v>-0.19581678932766269</v>
      </c>
      <c r="M316" t="str">
        <f>TEXT(SalesData[[#This Row],[Order_Date]],"mmm")</f>
        <v>Nov</v>
      </c>
      <c r="N316">
        <f>YEAR(SalesData[[#This Row],[Order_Date]])</f>
        <v>2022</v>
      </c>
    </row>
    <row r="317" spans="1:14" x14ac:dyDescent="0.3">
      <c r="A317" t="s">
        <v>848</v>
      </c>
      <c r="B317" s="1">
        <v>45228</v>
      </c>
      <c r="C317" t="s">
        <v>849</v>
      </c>
      <c r="D317" t="s">
        <v>18</v>
      </c>
      <c r="E317" t="s">
        <v>13</v>
      </c>
      <c r="F317" t="s">
        <v>36</v>
      </c>
      <c r="G317" t="s">
        <v>850</v>
      </c>
      <c r="H317" s="8">
        <v>4039.97</v>
      </c>
      <c r="I317" s="8">
        <v>-400.6</v>
      </c>
      <c r="J317" s="8">
        <v>0.1</v>
      </c>
      <c r="K317" t="str">
        <f>IF(SalesData[[#This Row],[Profit]]&gt;0,"Profit","Loss")</f>
        <v>Loss</v>
      </c>
      <c r="L317" s="8">
        <f>SalesData[[#This Row],[Profit]]/SalesData[[#This Row],[Sales]]</f>
        <v>-9.9159152171922074E-2</v>
      </c>
      <c r="M317" t="str">
        <f>TEXT(SalesData[[#This Row],[Order_Date]],"mmm")</f>
        <v>Oct</v>
      </c>
      <c r="N317">
        <f>YEAR(SalesData[[#This Row],[Order_Date]])</f>
        <v>2023</v>
      </c>
    </row>
    <row r="318" spans="1:14" x14ac:dyDescent="0.3">
      <c r="A318" t="s">
        <v>851</v>
      </c>
      <c r="B318" s="1">
        <v>44969</v>
      </c>
      <c r="C318" t="s">
        <v>852</v>
      </c>
      <c r="D318" t="s">
        <v>40</v>
      </c>
      <c r="E318" t="s">
        <v>19</v>
      </c>
      <c r="F318" t="s">
        <v>141</v>
      </c>
      <c r="G318" t="s">
        <v>853</v>
      </c>
      <c r="H318" s="8">
        <v>4741.67</v>
      </c>
      <c r="I318" s="8">
        <v>-338.98</v>
      </c>
      <c r="J318" s="8">
        <v>0.06</v>
      </c>
      <c r="K318" t="str">
        <f>IF(SalesData[[#This Row],[Profit]]&gt;0,"Profit","Loss")</f>
        <v>Loss</v>
      </c>
      <c r="L318" s="8">
        <f>SalesData[[#This Row],[Profit]]/SalesData[[#This Row],[Sales]]</f>
        <v>-7.1489580675162978E-2</v>
      </c>
      <c r="M318" t="str">
        <f>TEXT(SalesData[[#This Row],[Order_Date]],"mmm")</f>
        <v>Feb</v>
      </c>
      <c r="N318">
        <f>YEAR(SalesData[[#This Row],[Order_Date]])</f>
        <v>2023</v>
      </c>
    </row>
    <row r="319" spans="1:14" x14ac:dyDescent="0.3">
      <c r="A319" t="s">
        <v>854</v>
      </c>
      <c r="B319" s="1">
        <v>44947</v>
      </c>
      <c r="C319" t="s">
        <v>855</v>
      </c>
      <c r="D319" t="s">
        <v>28</v>
      </c>
      <c r="E319" t="s">
        <v>13</v>
      </c>
      <c r="F319" t="s">
        <v>24</v>
      </c>
      <c r="G319" t="s">
        <v>178</v>
      </c>
      <c r="H319" s="8">
        <v>2505.94</v>
      </c>
      <c r="I319" s="8">
        <v>-562.70000000000005</v>
      </c>
      <c r="J319" s="8">
        <v>0.17</v>
      </c>
      <c r="K319" t="str">
        <f>IF(SalesData[[#This Row],[Profit]]&gt;0,"Profit","Loss")</f>
        <v>Loss</v>
      </c>
      <c r="L319" s="8">
        <f>SalesData[[#This Row],[Profit]]/SalesData[[#This Row],[Sales]]</f>
        <v>-0.22454647756929536</v>
      </c>
      <c r="M319" t="str">
        <f>TEXT(SalesData[[#This Row],[Order_Date]],"mmm")</f>
        <v>Jan</v>
      </c>
      <c r="N319">
        <f>YEAR(SalesData[[#This Row],[Order_Date]])</f>
        <v>2023</v>
      </c>
    </row>
    <row r="320" spans="1:14" x14ac:dyDescent="0.3">
      <c r="A320" t="s">
        <v>856</v>
      </c>
      <c r="B320" s="1">
        <v>45125</v>
      </c>
      <c r="C320" t="s">
        <v>857</v>
      </c>
      <c r="D320" t="s">
        <v>28</v>
      </c>
      <c r="E320" t="s">
        <v>56</v>
      </c>
      <c r="F320" t="s">
        <v>73</v>
      </c>
      <c r="G320" t="s">
        <v>244</v>
      </c>
      <c r="H320" s="8">
        <v>1079.02</v>
      </c>
      <c r="I320" s="8">
        <v>-423.02</v>
      </c>
      <c r="J320" s="8">
        <v>0.3</v>
      </c>
      <c r="K320" t="str">
        <f>IF(SalesData[[#This Row],[Profit]]&gt;0,"Profit","Loss")</f>
        <v>Loss</v>
      </c>
      <c r="L320" s="8">
        <f>SalesData[[#This Row],[Profit]]/SalesData[[#This Row],[Sales]]</f>
        <v>-0.39204092602546753</v>
      </c>
      <c r="M320" t="str">
        <f>TEXT(SalesData[[#This Row],[Order_Date]],"mmm")</f>
        <v>Jul</v>
      </c>
      <c r="N320">
        <f>YEAR(SalesData[[#This Row],[Order_Date]])</f>
        <v>2023</v>
      </c>
    </row>
    <row r="321" spans="1:14" x14ac:dyDescent="0.3">
      <c r="A321" t="s">
        <v>858</v>
      </c>
      <c r="B321" s="1">
        <v>44980</v>
      </c>
      <c r="C321" t="s">
        <v>859</v>
      </c>
      <c r="D321" t="s">
        <v>28</v>
      </c>
      <c r="E321" t="s">
        <v>13</v>
      </c>
      <c r="F321" t="s">
        <v>14</v>
      </c>
      <c r="G321" t="s">
        <v>860</v>
      </c>
      <c r="H321" s="8">
        <v>2248.4299999999998</v>
      </c>
      <c r="I321" s="8">
        <v>282.63</v>
      </c>
      <c r="J321" s="8">
        <v>0.09</v>
      </c>
      <c r="K321" t="str">
        <f>IF(SalesData[[#This Row],[Profit]]&gt;0,"Profit","Loss")</f>
        <v>Profit</v>
      </c>
      <c r="L321" s="8">
        <f>SalesData[[#This Row],[Profit]]/SalesData[[#This Row],[Sales]]</f>
        <v>0.12570104472898869</v>
      </c>
      <c r="M321" t="str">
        <f>TEXT(SalesData[[#This Row],[Order_Date]],"mmm")</f>
        <v>Feb</v>
      </c>
      <c r="N321">
        <f>YEAR(SalesData[[#This Row],[Order_Date]])</f>
        <v>2023</v>
      </c>
    </row>
    <row r="322" spans="1:14" x14ac:dyDescent="0.3">
      <c r="A322" t="s">
        <v>861</v>
      </c>
      <c r="B322" s="1">
        <v>44948</v>
      </c>
      <c r="C322" t="s">
        <v>615</v>
      </c>
      <c r="D322" t="s">
        <v>28</v>
      </c>
      <c r="E322" t="s">
        <v>13</v>
      </c>
      <c r="F322" t="s">
        <v>36</v>
      </c>
      <c r="G322" t="s">
        <v>862</v>
      </c>
      <c r="H322" s="8">
        <v>1285.9000000000001</v>
      </c>
      <c r="I322" s="8">
        <v>37.47</v>
      </c>
      <c r="J322" s="8">
        <v>0.2</v>
      </c>
      <c r="K322" t="str">
        <f>IF(SalesData[[#This Row],[Profit]]&gt;0,"Profit","Loss")</f>
        <v>Profit</v>
      </c>
      <c r="L322" s="8">
        <f>SalesData[[#This Row],[Profit]]/SalesData[[#This Row],[Sales]]</f>
        <v>2.9139124348705185E-2</v>
      </c>
      <c r="M322" t="str">
        <f>TEXT(SalesData[[#This Row],[Order_Date]],"mmm")</f>
        <v>Jan</v>
      </c>
      <c r="N322">
        <f>YEAR(SalesData[[#This Row],[Order_Date]])</f>
        <v>2023</v>
      </c>
    </row>
    <row r="323" spans="1:14" x14ac:dyDescent="0.3">
      <c r="A323" t="s">
        <v>863</v>
      </c>
      <c r="B323" s="1">
        <v>45270</v>
      </c>
      <c r="C323" t="s">
        <v>541</v>
      </c>
      <c r="D323" t="s">
        <v>12</v>
      </c>
      <c r="E323" t="s">
        <v>19</v>
      </c>
      <c r="F323" t="s">
        <v>141</v>
      </c>
      <c r="G323" t="s">
        <v>864</v>
      </c>
      <c r="H323" s="8">
        <v>2063.94</v>
      </c>
      <c r="I323" s="8">
        <v>417.4</v>
      </c>
      <c r="J323" s="8">
        <v>0.15</v>
      </c>
      <c r="K323" t="str">
        <f>IF(SalesData[[#This Row],[Profit]]&gt;0,"Profit","Loss")</f>
        <v>Profit</v>
      </c>
      <c r="L323" s="8">
        <f>SalesData[[#This Row],[Profit]]/SalesData[[#This Row],[Sales]]</f>
        <v>0.20223456108220197</v>
      </c>
      <c r="M323" t="str">
        <f>TEXT(SalesData[[#This Row],[Order_Date]],"mmm")</f>
        <v>Dec</v>
      </c>
      <c r="N323">
        <f>YEAR(SalesData[[#This Row],[Order_Date]])</f>
        <v>2023</v>
      </c>
    </row>
    <row r="324" spans="1:14" x14ac:dyDescent="0.3">
      <c r="A324" t="s">
        <v>865</v>
      </c>
      <c r="B324" s="1">
        <v>44649</v>
      </c>
      <c r="C324" t="s">
        <v>866</v>
      </c>
      <c r="D324" t="s">
        <v>18</v>
      </c>
      <c r="E324" t="s">
        <v>19</v>
      </c>
      <c r="F324" t="s">
        <v>141</v>
      </c>
      <c r="G324" t="s">
        <v>867</v>
      </c>
      <c r="H324" s="8">
        <v>4487.96</v>
      </c>
      <c r="I324" s="8">
        <v>102.81</v>
      </c>
      <c r="J324" s="8">
        <v>0.16</v>
      </c>
      <c r="K324" t="str">
        <f>IF(SalesData[[#This Row],[Profit]]&gt;0,"Profit","Loss")</f>
        <v>Profit</v>
      </c>
      <c r="L324" s="8">
        <f>SalesData[[#This Row],[Profit]]/SalesData[[#This Row],[Sales]]</f>
        <v>2.2907958181445469E-2</v>
      </c>
      <c r="M324" t="str">
        <f>TEXT(SalesData[[#This Row],[Order_Date]],"mmm")</f>
        <v>Mar</v>
      </c>
      <c r="N324">
        <f>YEAR(SalesData[[#This Row],[Order_Date]])</f>
        <v>2022</v>
      </c>
    </row>
    <row r="325" spans="1:14" x14ac:dyDescent="0.3">
      <c r="A325" t="s">
        <v>868</v>
      </c>
      <c r="B325" s="1">
        <v>45222</v>
      </c>
      <c r="C325" t="s">
        <v>869</v>
      </c>
      <c r="D325" t="s">
        <v>28</v>
      </c>
      <c r="E325" t="s">
        <v>13</v>
      </c>
      <c r="F325" t="s">
        <v>36</v>
      </c>
      <c r="G325" t="s">
        <v>401</v>
      </c>
      <c r="H325" s="8">
        <v>915.06</v>
      </c>
      <c r="I325" s="8">
        <v>-38.49</v>
      </c>
      <c r="J325" s="8">
        <v>0.18</v>
      </c>
      <c r="K325" t="str">
        <f>IF(SalesData[[#This Row],[Profit]]&gt;0,"Profit","Loss")</f>
        <v>Loss</v>
      </c>
      <c r="L325" s="8">
        <f>SalesData[[#This Row],[Profit]]/SalesData[[#This Row],[Sales]]</f>
        <v>-4.2062815553078489E-2</v>
      </c>
      <c r="M325" t="str">
        <f>TEXT(SalesData[[#This Row],[Order_Date]],"mmm")</f>
        <v>Oct</v>
      </c>
      <c r="N325">
        <f>YEAR(SalesData[[#This Row],[Order_Date]])</f>
        <v>2023</v>
      </c>
    </row>
    <row r="326" spans="1:14" x14ac:dyDescent="0.3">
      <c r="A326" t="s">
        <v>870</v>
      </c>
      <c r="B326" s="1">
        <v>45093</v>
      </c>
      <c r="C326" t="s">
        <v>871</v>
      </c>
      <c r="D326" t="s">
        <v>18</v>
      </c>
      <c r="E326" t="s">
        <v>19</v>
      </c>
      <c r="F326" t="s">
        <v>29</v>
      </c>
      <c r="G326" t="s">
        <v>872</v>
      </c>
      <c r="H326" s="8">
        <v>619.13</v>
      </c>
      <c r="I326" s="8">
        <v>-59.93</v>
      </c>
      <c r="J326" s="8">
        <v>0.03</v>
      </c>
      <c r="K326" t="str">
        <f>IF(SalesData[[#This Row],[Profit]]&gt;0,"Profit","Loss")</f>
        <v>Loss</v>
      </c>
      <c r="L326" s="8">
        <f>SalesData[[#This Row],[Profit]]/SalesData[[#This Row],[Sales]]</f>
        <v>-9.6797118537302343E-2</v>
      </c>
      <c r="M326" t="str">
        <f>TEXT(SalesData[[#This Row],[Order_Date]],"mmm")</f>
        <v>Jun</v>
      </c>
      <c r="N326">
        <f>YEAR(SalesData[[#This Row],[Order_Date]])</f>
        <v>2023</v>
      </c>
    </row>
    <row r="327" spans="1:14" x14ac:dyDescent="0.3">
      <c r="A327" t="s">
        <v>873</v>
      </c>
      <c r="B327" s="1">
        <v>44716</v>
      </c>
      <c r="C327" t="s">
        <v>874</v>
      </c>
      <c r="D327" t="s">
        <v>12</v>
      </c>
      <c r="E327" t="s">
        <v>19</v>
      </c>
      <c r="F327" t="s">
        <v>29</v>
      </c>
      <c r="G327" t="s">
        <v>875</v>
      </c>
      <c r="H327" s="8">
        <v>2369.0100000000002</v>
      </c>
      <c r="I327" s="8">
        <v>33.79</v>
      </c>
      <c r="J327" s="8">
        <v>0.2</v>
      </c>
      <c r="K327" t="str">
        <f>IF(SalesData[[#This Row],[Profit]]&gt;0,"Profit","Loss")</f>
        <v>Profit</v>
      </c>
      <c r="L327" s="8">
        <f>SalesData[[#This Row],[Profit]]/SalesData[[#This Row],[Sales]]</f>
        <v>1.4263342071160525E-2</v>
      </c>
      <c r="M327" t="str">
        <f>TEXT(SalesData[[#This Row],[Order_Date]],"mmm")</f>
        <v>Jun</v>
      </c>
      <c r="N327">
        <f>YEAR(SalesData[[#This Row],[Order_Date]])</f>
        <v>2022</v>
      </c>
    </row>
    <row r="328" spans="1:14" x14ac:dyDescent="0.3">
      <c r="A328" t="s">
        <v>876</v>
      </c>
      <c r="B328" s="1">
        <v>44707</v>
      </c>
      <c r="C328" t="s">
        <v>877</v>
      </c>
      <c r="D328" t="s">
        <v>40</v>
      </c>
      <c r="E328" t="s">
        <v>56</v>
      </c>
      <c r="F328" t="s">
        <v>95</v>
      </c>
      <c r="G328" t="s">
        <v>878</v>
      </c>
      <c r="H328" s="8">
        <v>2138.2800000000002</v>
      </c>
      <c r="I328" s="8">
        <v>-898.84</v>
      </c>
      <c r="J328" s="8">
        <v>0.28999999999999998</v>
      </c>
      <c r="K328" t="str">
        <f>IF(SalesData[[#This Row],[Profit]]&gt;0,"Profit","Loss")</f>
        <v>Loss</v>
      </c>
      <c r="L328" s="8">
        <f>SalesData[[#This Row],[Profit]]/SalesData[[#This Row],[Sales]]</f>
        <v>-0.42035654825373664</v>
      </c>
      <c r="M328" t="str">
        <f>TEXT(SalesData[[#This Row],[Order_Date]],"mmm")</f>
        <v>May</v>
      </c>
      <c r="N328">
        <f>YEAR(SalesData[[#This Row],[Order_Date]])</f>
        <v>2022</v>
      </c>
    </row>
    <row r="329" spans="1:14" x14ac:dyDescent="0.3">
      <c r="A329" t="s">
        <v>879</v>
      </c>
      <c r="B329" s="1">
        <v>45275</v>
      </c>
      <c r="C329" t="s">
        <v>880</v>
      </c>
      <c r="D329" t="s">
        <v>40</v>
      </c>
      <c r="E329" t="s">
        <v>19</v>
      </c>
      <c r="F329" t="s">
        <v>20</v>
      </c>
      <c r="G329" t="s">
        <v>564</v>
      </c>
      <c r="H329" s="8">
        <v>2653.46</v>
      </c>
      <c r="I329" s="8">
        <v>-640.61</v>
      </c>
      <c r="J329" s="8">
        <v>0.1</v>
      </c>
      <c r="K329" t="str">
        <f>IF(SalesData[[#This Row],[Profit]]&gt;0,"Profit","Loss")</f>
        <v>Loss</v>
      </c>
      <c r="L329" s="8">
        <f>SalesData[[#This Row],[Profit]]/SalesData[[#This Row],[Sales]]</f>
        <v>-0.24142440436260582</v>
      </c>
      <c r="M329" t="str">
        <f>TEXT(SalesData[[#This Row],[Order_Date]],"mmm")</f>
        <v>Dec</v>
      </c>
      <c r="N329">
        <f>YEAR(SalesData[[#This Row],[Order_Date]])</f>
        <v>2023</v>
      </c>
    </row>
    <row r="330" spans="1:14" x14ac:dyDescent="0.3">
      <c r="A330" t="s">
        <v>881</v>
      </c>
      <c r="B330" s="1">
        <v>45225</v>
      </c>
      <c r="C330" t="s">
        <v>866</v>
      </c>
      <c r="D330" t="s">
        <v>18</v>
      </c>
      <c r="E330" t="s">
        <v>19</v>
      </c>
      <c r="F330" t="s">
        <v>20</v>
      </c>
      <c r="G330" t="s">
        <v>882</v>
      </c>
      <c r="H330" s="8">
        <v>4069.91</v>
      </c>
      <c r="I330" s="8">
        <v>1137.57</v>
      </c>
      <c r="J330" s="8">
        <v>0.03</v>
      </c>
      <c r="K330" t="str">
        <f>IF(SalesData[[#This Row],[Profit]]&gt;0,"Profit","Loss")</f>
        <v>Profit</v>
      </c>
      <c r="L330" s="8">
        <f>SalesData[[#This Row],[Profit]]/SalesData[[#This Row],[Sales]]</f>
        <v>0.27950740925475009</v>
      </c>
      <c r="M330" t="str">
        <f>TEXT(SalesData[[#This Row],[Order_Date]],"mmm")</f>
        <v>Oct</v>
      </c>
      <c r="N330">
        <f>YEAR(SalesData[[#This Row],[Order_Date]])</f>
        <v>2023</v>
      </c>
    </row>
    <row r="331" spans="1:14" x14ac:dyDescent="0.3">
      <c r="A331" t="s">
        <v>883</v>
      </c>
      <c r="B331" s="1">
        <v>44998</v>
      </c>
      <c r="C331" t="s">
        <v>736</v>
      </c>
      <c r="D331" t="s">
        <v>18</v>
      </c>
      <c r="E331" t="s">
        <v>13</v>
      </c>
      <c r="F331" t="s">
        <v>14</v>
      </c>
      <c r="G331" t="s">
        <v>428</v>
      </c>
      <c r="H331" s="8">
        <v>2628.37</v>
      </c>
      <c r="I331" s="8">
        <v>-450.52</v>
      </c>
      <c r="J331" s="8">
        <v>0.17</v>
      </c>
      <c r="K331" t="str">
        <f>IF(SalesData[[#This Row],[Profit]]&gt;0,"Profit","Loss")</f>
        <v>Loss</v>
      </c>
      <c r="L331" s="8">
        <f>SalesData[[#This Row],[Profit]]/SalesData[[#This Row],[Sales]]</f>
        <v>-0.17140661322416556</v>
      </c>
      <c r="M331" t="str">
        <f>TEXT(SalesData[[#This Row],[Order_Date]],"mmm")</f>
        <v>Mar</v>
      </c>
      <c r="N331">
        <f>YEAR(SalesData[[#This Row],[Order_Date]])</f>
        <v>2023</v>
      </c>
    </row>
    <row r="332" spans="1:14" x14ac:dyDescent="0.3">
      <c r="A332" t="s">
        <v>884</v>
      </c>
      <c r="B332" s="1">
        <v>44591</v>
      </c>
      <c r="C332" t="s">
        <v>885</v>
      </c>
      <c r="D332" t="s">
        <v>18</v>
      </c>
      <c r="E332" t="s">
        <v>19</v>
      </c>
      <c r="F332" t="s">
        <v>141</v>
      </c>
      <c r="G332" t="s">
        <v>288</v>
      </c>
      <c r="H332" s="8">
        <v>1003.81</v>
      </c>
      <c r="I332" s="8">
        <v>-131.22</v>
      </c>
      <c r="J332" s="8">
        <v>0.19</v>
      </c>
      <c r="K332" t="str">
        <f>IF(SalesData[[#This Row],[Profit]]&gt;0,"Profit","Loss")</f>
        <v>Loss</v>
      </c>
      <c r="L332" s="8">
        <f>SalesData[[#This Row],[Profit]]/SalesData[[#This Row],[Sales]]</f>
        <v>-0.13072194937288931</v>
      </c>
      <c r="M332" t="str">
        <f>TEXT(SalesData[[#This Row],[Order_Date]],"mmm")</f>
        <v>Jan</v>
      </c>
      <c r="N332">
        <f>YEAR(SalesData[[#This Row],[Order_Date]])</f>
        <v>2022</v>
      </c>
    </row>
    <row r="333" spans="1:14" x14ac:dyDescent="0.3">
      <c r="A333" t="s">
        <v>886</v>
      </c>
      <c r="B333" s="1">
        <v>45282</v>
      </c>
      <c r="C333" t="s">
        <v>571</v>
      </c>
      <c r="D333" t="s">
        <v>12</v>
      </c>
      <c r="E333" t="s">
        <v>13</v>
      </c>
      <c r="F333" t="s">
        <v>36</v>
      </c>
      <c r="G333" t="s">
        <v>102</v>
      </c>
      <c r="H333" s="8">
        <v>2005.3</v>
      </c>
      <c r="I333" s="8">
        <v>-574.58000000000004</v>
      </c>
      <c r="J333" s="8">
        <v>0.21</v>
      </c>
      <c r="K333" t="str">
        <f>IF(SalesData[[#This Row],[Profit]]&gt;0,"Profit","Loss")</f>
        <v>Loss</v>
      </c>
      <c r="L333" s="8">
        <f>SalesData[[#This Row],[Profit]]/SalesData[[#This Row],[Sales]]</f>
        <v>-0.28653069366179629</v>
      </c>
      <c r="M333" t="str">
        <f>TEXT(SalesData[[#This Row],[Order_Date]],"mmm")</f>
        <v>Dec</v>
      </c>
      <c r="N333">
        <f>YEAR(SalesData[[#This Row],[Order_Date]])</f>
        <v>2023</v>
      </c>
    </row>
    <row r="334" spans="1:14" x14ac:dyDescent="0.3">
      <c r="A334" t="s">
        <v>887</v>
      </c>
      <c r="B334" s="1">
        <v>45248</v>
      </c>
      <c r="C334" t="s">
        <v>888</v>
      </c>
      <c r="D334" t="s">
        <v>40</v>
      </c>
      <c r="E334" t="s">
        <v>13</v>
      </c>
      <c r="F334" t="s">
        <v>14</v>
      </c>
      <c r="G334" t="s">
        <v>667</v>
      </c>
      <c r="H334" s="8">
        <v>1892.39</v>
      </c>
      <c r="I334" s="8">
        <v>-362.63</v>
      </c>
      <c r="J334" s="8">
        <v>0.06</v>
      </c>
      <c r="K334" t="str">
        <f>IF(SalesData[[#This Row],[Profit]]&gt;0,"Profit","Loss")</f>
        <v>Loss</v>
      </c>
      <c r="L334" s="8">
        <f>SalesData[[#This Row],[Profit]]/SalesData[[#This Row],[Sales]]</f>
        <v>-0.19162540491124977</v>
      </c>
      <c r="M334" t="str">
        <f>TEXT(SalesData[[#This Row],[Order_Date]],"mmm")</f>
        <v>Nov</v>
      </c>
      <c r="N334">
        <f>YEAR(SalesData[[#This Row],[Order_Date]])</f>
        <v>2023</v>
      </c>
    </row>
    <row r="335" spans="1:14" x14ac:dyDescent="0.3">
      <c r="A335" t="s">
        <v>889</v>
      </c>
      <c r="B335" s="1">
        <v>45030</v>
      </c>
      <c r="C335" t="s">
        <v>890</v>
      </c>
      <c r="D335" t="s">
        <v>18</v>
      </c>
      <c r="E335" t="s">
        <v>19</v>
      </c>
      <c r="F335" t="s">
        <v>141</v>
      </c>
      <c r="G335" t="s">
        <v>891</v>
      </c>
      <c r="H335" s="8">
        <v>2023.47</v>
      </c>
      <c r="I335" s="8">
        <v>-38.06</v>
      </c>
      <c r="J335" s="8">
        <v>0.03</v>
      </c>
      <c r="K335" t="str">
        <f>IF(SalesData[[#This Row],[Profit]]&gt;0,"Profit","Loss")</f>
        <v>Loss</v>
      </c>
      <c r="L335" s="8">
        <f>SalesData[[#This Row],[Profit]]/SalesData[[#This Row],[Sales]]</f>
        <v>-1.8809273179241602E-2</v>
      </c>
      <c r="M335" t="str">
        <f>TEXT(SalesData[[#This Row],[Order_Date]],"mmm")</f>
        <v>Apr</v>
      </c>
      <c r="N335">
        <f>YEAR(SalesData[[#This Row],[Order_Date]])</f>
        <v>2023</v>
      </c>
    </row>
    <row r="336" spans="1:14" x14ac:dyDescent="0.3">
      <c r="A336" t="s">
        <v>892</v>
      </c>
      <c r="B336" s="1">
        <v>45250</v>
      </c>
      <c r="C336" t="s">
        <v>893</v>
      </c>
      <c r="D336" t="s">
        <v>40</v>
      </c>
      <c r="E336" t="s">
        <v>13</v>
      </c>
      <c r="F336" t="s">
        <v>24</v>
      </c>
      <c r="G336" t="s">
        <v>747</v>
      </c>
      <c r="H336" s="8">
        <v>4023.01</v>
      </c>
      <c r="I336" s="8">
        <v>-506.49</v>
      </c>
      <c r="J336" s="8">
        <v>0.28000000000000003</v>
      </c>
      <c r="K336" t="str">
        <f>IF(SalesData[[#This Row],[Profit]]&gt;0,"Profit","Loss")</f>
        <v>Loss</v>
      </c>
      <c r="L336" s="8">
        <f>SalesData[[#This Row],[Profit]]/SalesData[[#This Row],[Sales]]</f>
        <v>-0.12589827020067063</v>
      </c>
      <c r="M336" t="str">
        <f>TEXT(SalesData[[#This Row],[Order_Date]],"mmm")</f>
        <v>Nov</v>
      </c>
      <c r="N336">
        <f>YEAR(SalesData[[#This Row],[Order_Date]])</f>
        <v>2023</v>
      </c>
    </row>
    <row r="337" spans="1:14" x14ac:dyDescent="0.3">
      <c r="A337" t="s">
        <v>894</v>
      </c>
      <c r="B337" s="1">
        <v>44959</v>
      </c>
      <c r="C337" t="s">
        <v>541</v>
      </c>
      <c r="D337" t="s">
        <v>18</v>
      </c>
      <c r="E337" t="s">
        <v>56</v>
      </c>
      <c r="F337" t="s">
        <v>95</v>
      </c>
      <c r="G337" t="s">
        <v>895</v>
      </c>
      <c r="H337" s="8">
        <v>673.05</v>
      </c>
      <c r="I337" s="8">
        <v>-151.56</v>
      </c>
      <c r="J337" s="8">
        <v>0.11</v>
      </c>
      <c r="K337" t="str">
        <f>IF(SalesData[[#This Row],[Profit]]&gt;0,"Profit","Loss")</f>
        <v>Loss</v>
      </c>
      <c r="L337" s="8">
        <f>SalesData[[#This Row],[Profit]]/SalesData[[#This Row],[Sales]]</f>
        <v>-0.22518386449743705</v>
      </c>
      <c r="M337" t="str">
        <f>TEXT(SalesData[[#This Row],[Order_Date]],"mmm")</f>
        <v>Feb</v>
      </c>
      <c r="N337">
        <f>YEAR(SalesData[[#This Row],[Order_Date]])</f>
        <v>2023</v>
      </c>
    </row>
    <row r="338" spans="1:14" x14ac:dyDescent="0.3">
      <c r="A338" t="s">
        <v>896</v>
      </c>
      <c r="B338" s="1">
        <v>45222</v>
      </c>
      <c r="C338" t="s">
        <v>499</v>
      </c>
      <c r="D338" t="s">
        <v>18</v>
      </c>
      <c r="E338" t="s">
        <v>19</v>
      </c>
      <c r="F338" t="s">
        <v>29</v>
      </c>
      <c r="G338" t="s">
        <v>897</v>
      </c>
      <c r="H338" s="8">
        <v>1010.19</v>
      </c>
      <c r="I338" s="8">
        <v>26.33</v>
      </c>
      <c r="J338" s="8">
        <v>0.19</v>
      </c>
      <c r="K338" t="str">
        <f>IF(SalesData[[#This Row],[Profit]]&gt;0,"Profit","Loss")</f>
        <v>Profit</v>
      </c>
      <c r="L338" s="8">
        <f>SalesData[[#This Row],[Profit]]/SalesData[[#This Row],[Sales]]</f>
        <v>2.6064403726031735E-2</v>
      </c>
      <c r="M338" t="str">
        <f>TEXT(SalesData[[#This Row],[Order_Date]],"mmm")</f>
        <v>Oct</v>
      </c>
      <c r="N338">
        <f>YEAR(SalesData[[#This Row],[Order_Date]])</f>
        <v>2023</v>
      </c>
    </row>
    <row r="339" spans="1:14" x14ac:dyDescent="0.3">
      <c r="A339" t="s">
        <v>898</v>
      </c>
      <c r="B339" s="1">
        <v>44929</v>
      </c>
      <c r="C339" t="s">
        <v>899</v>
      </c>
      <c r="D339" t="s">
        <v>28</v>
      </c>
      <c r="E339" t="s">
        <v>19</v>
      </c>
      <c r="F339" t="s">
        <v>20</v>
      </c>
      <c r="G339" t="s">
        <v>900</v>
      </c>
      <c r="H339" s="8">
        <v>1016.78</v>
      </c>
      <c r="I339" s="8">
        <v>-79.67</v>
      </c>
      <c r="J339" s="8">
        <v>0.25</v>
      </c>
      <c r="K339" t="str">
        <f>IF(SalesData[[#This Row],[Profit]]&gt;0,"Profit","Loss")</f>
        <v>Loss</v>
      </c>
      <c r="L339" s="8">
        <f>SalesData[[#This Row],[Profit]]/SalesData[[#This Row],[Sales]]</f>
        <v>-7.8355199748224788E-2</v>
      </c>
      <c r="M339" t="str">
        <f>TEXT(SalesData[[#This Row],[Order_Date]],"mmm")</f>
        <v>Jan</v>
      </c>
      <c r="N339">
        <f>YEAR(SalesData[[#This Row],[Order_Date]])</f>
        <v>2023</v>
      </c>
    </row>
    <row r="340" spans="1:14" x14ac:dyDescent="0.3">
      <c r="A340" t="s">
        <v>901</v>
      </c>
      <c r="B340" s="1">
        <v>45263</v>
      </c>
      <c r="C340" t="s">
        <v>902</v>
      </c>
      <c r="D340" t="s">
        <v>28</v>
      </c>
      <c r="E340" t="s">
        <v>56</v>
      </c>
      <c r="F340" t="s">
        <v>95</v>
      </c>
      <c r="G340" t="s">
        <v>606</v>
      </c>
      <c r="H340" s="8">
        <v>4822.76</v>
      </c>
      <c r="I340" s="8">
        <v>-255.69</v>
      </c>
      <c r="J340" s="8">
        <v>0.15</v>
      </c>
      <c r="K340" t="str">
        <f>IF(SalesData[[#This Row],[Profit]]&gt;0,"Profit","Loss")</f>
        <v>Loss</v>
      </c>
      <c r="L340" s="8">
        <f>SalesData[[#This Row],[Profit]]/SalesData[[#This Row],[Sales]]</f>
        <v>-5.3017359354394576E-2</v>
      </c>
      <c r="M340" t="str">
        <f>TEXT(SalesData[[#This Row],[Order_Date]],"mmm")</f>
        <v>Dec</v>
      </c>
      <c r="N340">
        <f>YEAR(SalesData[[#This Row],[Order_Date]])</f>
        <v>2023</v>
      </c>
    </row>
    <row r="341" spans="1:14" x14ac:dyDescent="0.3">
      <c r="A341" t="s">
        <v>903</v>
      </c>
      <c r="B341" s="1">
        <v>44787</v>
      </c>
      <c r="C341" t="s">
        <v>904</v>
      </c>
      <c r="D341" t="s">
        <v>12</v>
      </c>
      <c r="E341" t="s">
        <v>19</v>
      </c>
      <c r="F341" t="s">
        <v>29</v>
      </c>
      <c r="G341" t="s">
        <v>211</v>
      </c>
      <c r="H341" s="8">
        <v>919.54</v>
      </c>
      <c r="I341" s="8">
        <v>98.88</v>
      </c>
      <c r="J341" s="8">
        <v>0.17</v>
      </c>
      <c r="K341" t="str">
        <f>IF(SalesData[[#This Row],[Profit]]&gt;0,"Profit","Loss")</f>
        <v>Profit</v>
      </c>
      <c r="L341" s="8">
        <f>SalesData[[#This Row],[Profit]]/SalesData[[#This Row],[Sales]]</f>
        <v>0.10753202688300673</v>
      </c>
      <c r="M341" t="str">
        <f>TEXT(SalesData[[#This Row],[Order_Date]],"mmm")</f>
        <v>Aug</v>
      </c>
      <c r="N341">
        <f>YEAR(SalesData[[#This Row],[Order_Date]])</f>
        <v>2022</v>
      </c>
    </row>
    <row r="342" spans="1:14" x14ac:dyDescent="0.3">
      <c r="A342" t="s">
        <v>905</v>
      </c>
      <c r="B342" s="1">
        <v>45069</v>
      </c>
      <c r="C342" t="s">
        <v>906</v>
      </c>
      <c r="D342" t="s">
        <v>12</v>
      </c>
      <c r="E342" t="s">
        <v>56</v>
      </c>
      <c r="F342" t="s">
        <v>73</v>
      </c>
      <c r="G342" t="s">
        <v>279</v>
      </c>
      <c r="H342" s="8">
        <v>1514.48</v>
      </c>
      <c r="I342" s="8">
        <v>-137.22999999999999</v>
      </c>
      <c r="J342" s="8">
        <v>0.23</v>
      </c>
      <c r="K342" t="str">
        <f>IF(SalesData[[#This Row],[Profit]]&gt;0,"Profit","Loss")</f>
        <v>Loss</v>
      </c>
      <c r="L342" s="8">
        <f>SalesData[[#This Row],[Profit]]/SalesData[[#This Row],[Sales]]</f>
        <v>-9.0611959220326443E-2</v>
      </c>
      <c r="M342" t="str">
        <f>TEXT(SalesData[[#This Row],[Order_Date]],"mmm")</f>
        <v>May</v>
      </c>
      <c r="N342">
        <f>YEAR(SalesData[[#This Row],[Order_Date]])</f>
        <v>2023</v>
      </c>
    </row>
    <row r="343" spans="1:14" x14ac:dyDescent="0.3">
      <c r="A343" t="s">
        <v>907</v>
      </c>
      <c r="B343" s="1">
        <v>44604</v>
      </c>
      <c r="C343" t="s">
        <v>79</v>
      </c>
      <c r="D343" t="s">
        <v>28</v>
      </c>
      <c r="E343" t="s">
        <v>56</v>
      </c>
      <c r="F343" t="s">
        <v>95</v>
      </c>
      <c r="G343" t="s">
        <v>908</v>
      </c>
      <c r="H343" s="8">
        <v>3898.05</v>
      </c>
      <c r="I343" s="8">
        <v>-896.1</v>
      </c>
      <c r="J343" s="8">
        <v>0.25</v>
      </c>
      <c r="K343" t="str">
        <f>IF(SalesData[[#This Row],[Profit]]&gt;0,"Profit","Loss")</f>
        <v>Loss</v>
      </c>
      <c r="L343" s="8">
        <f>SalesData[[#This Row],[Profit]]/SalesData[[#This Row],[Sales]]</f>
        <v>-0.2298841728556586</v>
      </c>
      <c r="M343" t="str">
        <f>TEXT(SalesData[[#This Row],[Order_Date]],"mmm")</f>
        <v>Feb</v>
      </c>
      <c r="N343">
        <f>YEAR(SalesData[[#This Row],[Order_Date]])</f>
        <v>2022</v>
      </c>
    </row>
    <row r="344" spans="1:14" x14ac:dyDescent="0.3">
      <c r="A344" t="s">
        <v>909</v>
      </c>
      <c r="B344" s="1">
        <v>44866</v>
      </c>
      <c r="C344" t="s">
        <v>910</v>
      </c>
      <c r="D344" t="s">
        <v>28</v>
      </c>
      <c r="E344" t="s">
        <v>56</v>
      </c>
      <c r="F344" t="s">
        <v>95</v>
      </c>
      <c r="G344" t="s">
        <v>911</v>
      </c>
      <c r="H344" s="8">
        <v>601.84</v>
      </c>
      <c r="I344" s="8">
        <v>0.49</v>
      </c>
      <c r="J344" s="8">
        <v>0.25</v>
      </c>
      <c r="K344" t="str">
        <f>IF(SalesData[[#This Row],[Profit]]&gt;0,"Profit","Loss")</f>
        <v>Profit</v>
      </c>
      <c r="L344" s="8">
        <f>SalesData[[#This Row],[Profit]]/SalesData[[#This Row],[Sales]]</f>
        <v>8.1416987903761787E-4</v>
      </c>
      <c r="M344" t="str">
        <f>TEXT(SalesData[[#This Row],[Order_Date]],"mmm")</f>
        <v>Nov</v>
      </c>
      <c r="N344">
        <f>YEAR(SalesData[[#This Row],[Order_Date]])</f>
        <v>2022</v>
      </c>
    </row>
    <row r="345" spans="1:14" x14ac:dyDescent="0.3">
      <c r="A345" t="s">
        <v>912</v>
      </c>
      <c r="B345" s="1">
        <v>44804</v>
      </c>
      <c r="C345" t="s">
        <v>913</v>
      </c>
      <c r="D345" t="s">
        <v>40</v>
      </c>
      <c r="E345" t="s">
        <v>19</v>
      </c>
      <c r="F345" t="s">
        <v>20</v>
      </c>
      <c r="G345" t="s">
        <v>914</v>
      </c>
      <c r="H345" s="8">
        <v>2251.44</v>
      </c>
      <c r="I345" s="8">
        <v>-77.95</v>
      </c>
      <c r="J345" s="8">
        <v>0.3</v>
      </c>
      <c r="K345" t="str">
        <f>IF(SalesData[[#This Row],[Profit]]&gt;0,"Profit","Loss")</f>
        <v>Loss</v>
      </c>
      <c r="L345" s="8">
        <f>SalesData[[#This Row],[Profit]]/SalesData[[#This Row],[Sales]]</f>
        <v>-3.4622286181288417E-2</v>
      </c>
      <c r="M345" t="str">
        <f>TEXT(SalesData[[#This Row],[Order_Date]],"mmm")</f>
        <v>Aug</v>
      </c>
      <c r="N345">
        <f>YEAR(SalesData[[#This Row],[Order_Date]])</f>
        <v>2022</v>
      </c>
    </row>
    <row r="346" spans="1:14" x14ac:dyDescent="0.3">
      <c r="A346" t="s">
        <v>915</v>
      </c>
      <c r="B346" s="1">
        <v>44773</v>
      </c>
      <c r="C346" t="s">
        <v>916</v>
      </c>
      <c r="D346" t="s">
        <v>12</v>
      </c>
      <c r="E346" t="s">
        <v>13</v>
      </c>
      <c r="F346" t="s">
        <v>24</v>
      </c>
      <c r="G346" t="s">
        <v>917</v>
      </c>
      <c r="H346" s="8">
        <v>3200.58</v>
      </c>
      <c r="I346" s="8">
        <v>-532.77</v>
      </c>
      <c r="J346" s="8">
        <v>0.05</v>
      </c>
      <c r="K346" t="str">
        <f>IF(SalesData[[#This Row],[Profit]]&gt;0,"Profit","Loss")</f>
        <v>Loss</v>
      </c>
      <c r="L346" s="8">
        <f>SalesData[[#This Row],[Profit]]/SalesData[[#This Row],[Sales]]</f>
        <v>-0.16646045404270476</v>
      </c>
      <c r="M346" t="str">
        <f>TEXT(SalesData[[#This Row],[Order_Date]],"mmm")</f>
        <v>Jul</v>
      </c>
      <c r="N346">
        <f>YEAR(SalesData[[#This Row],[Order_Date]])</f>
        <v>2022</v>
      </c>
    </row>
    <row r="347" spans="1:14" x14ac:dyDescent="0.3">
      <c r="A347" t="s">
        <v>918</v>
      </c>
      <c r="B347" s="1">
        <v>45282</v>
      </c>
      <c r="C347" t="s">
        <v>904</v>
      </c>
      <c r="D347" t="s">
        <v>40</v>
      </c>
      <c r="E347" t="s">
        <v>19</v>
      </c>
      <c r="F347" t="s">
        <v>141</v>
      </c>
      <c r="G347" t="s">
        <v>279</v>
      </c>
      <c r="H347" s="8">
        <v>1477.32</v>
      </c>
      <c r="I347" s="8">
        <v>-244.95</v>
      </c>
      <c r="J347" s="8">
        <v>0.16</v>
      </c>
      <c r="K347" t="str">
        <f>IF(SalesData[[#This Row],[Profit]]&gt;0,"Profit","Loss")</f>
        <v>Loss</v>
      </c>
      <c r="L347" s="8">
        <f>SalesData[[#This Row],[Profit]]/SalesData[[#This Row],[Sales]]</f>
        <v>-0.1658070018682479</v>
      </c>
      <c r="M347" t="str">
        <f>TEXT(SalesData[[#This Row],[Order_Date]],"mmm")</f>
        <v>Dec</v>
      </c>
      <c r="N347">
        <f>YEAR(SalesData[[#This Row],[Order_Date]])</f>
        <v>2023</v>
      </c>
    </row>
    <row r="348" spans="1:14" x14ac:dyDescent="0.3">
      <c r="A348" t="s">
        <v>919</v>
      </c>
      <c r="B348" s="1">
        <v>44983</v>
      </c>
      <c r="C348" t="s">
        <v>110</v>
      </c>
      <c r="D348" t="s">
        <v>40</v>
      </c>
      <c r="E348" t="s">
        <v>19</v>
      </c>
      <c r="F348" t="s">
        <v>141</v>
      </c>
      <c r="G348" t="s">
        <v>578</v>
      </c>
      <c r="H348" s="8">
        <v>4928.8900000000003</v>
      </c>
      <c r="I348" s="8">
        <v>-1689.94</v>
      </c>
      <c r="J348" s="8">
        <v>0.2</v>
      </c>
      <c r="K348" t="str">
        <f>IF(SalesData[[#This Row],[Profit]]&gt;0,"Profit","Loss")</f>
        <v>Loss</v>
      </c>
      <c r="L348" s="8">
        <f>SalesData[[#This Row],[Profit]]/SalesData[[#This Row],[Sales]]</f>
        <v>-0.34286421486379287</v>
      </c>
      <c r="M348" t="str">
        <f>TEXT(SalesData[[#This Row],[Order_Date]],"mmm")</f>
        <v>Feb</v>
      </c>
      <c r="N348">
        <f>YEAR(SalesData[[#This Row],[Order_Date]])</f>
        <v>2023</v>
      </c>
    </row>
    <row r="349" spans="1:14" x14ac:dyDescent="0.3">
      <c r="A349" t="s">
        <v>920</v>
      </c>
      <c r="B349" s="1">
        <v>44891</v>
      </c>
      <c r="C349" t="s">
        <v>751</v>
      </c>
      <c r="D349" t="s">
        <v>28</v>
      </c>
      <c r="E349" t="s">
        <v>13</v>
      </c>
      <c r="F349" t="s">
        <v>14</v>
      </c>
      <c r="G349" t="s">
        <v>897</v>
      </c>
      <c r="H349" s="8">
        <v>3536.99</v>
      </c>
      <c r="I349" s="8">
        <v>-538.52</v>
      </c>
      <c r="J349" s="8">
        <v>0.04</v>
      </c>
      <c r="K349" t="str">
        <f>IF(SalesData[[#This Row],[Profit]]&gt;0,"Profit","Loss")</f>
        <v>Loss</v>
      </c>
      <c r="L349" s="8">
        <f>SalesData[[#This Row],[Profit]]/SalesData[[#This Row],[Sales]]</f>
        <v>-0.15225375248445713</v>
      </c>
      <c r="M349" t="str">
        <f>TEXT(SalesData[[#This Row],[Order_Date]],"mmm")</f>
        <v>Nov</v>
      </c>
      <c r="N349">
        <f>YEAR(SalesData[[#This Row],[Order_Date]])</f>
        <v>2022</v>
      </c>
    </row>
    <row r="350" spans="1:14" x14ac:dyDescent="0.3">
      <c r="A350" t="s">
        <v>921</v>
      </c>
      <c r="B350" s="1">
        <v>44639</v>
      </c>
      <c r="C350" t="s">
        <v>922</v>
      </c>
      <c r="D350" t="s">
        <v>12</v>
      </c>
      <c r="E350" t="s">
        <v>56</v>
      </c>
      <c r="F350" t="s">
        <v>73</v>
      </c>
      <c r="G350" t="s">
        <v>923</v>
      </c>
      <c r="H350" s="8">
        <v>3198.77</v>
      </c>
      <c r="I350" s="8">
        <v>-527.47</v>
      </c>
      <c r="J350" s="8">
        <v>0.19</v>
      </c>
      <c r="K350" t="str">
        <f>IF(SalesData[[#This Row],[Profit]]&gt;0,"Profit","Loss")</f>
        <v>Loss</v>
      </c>
      <c r="L350" s="8">
        <f>SalesData[[#This Row],[Profit]]/SalesData[[#This Row],[Sales]]</f>
        <v>-0.16489775757556813</v>
      </c>
      <c r="M350" t="str">
        <f>TEXT(SalesData[[#This Row],[Order_Date]],"mmm")</f>
        <v>Mar</v>
      </c>
      <c r="N350">
        <f>YEAR(SalesData[[#This Row],[Order_Date]])</f>
        <v>2022</v>
      </c>
    </row>
    <row r="351" spans="1:14" x14ac:dyDescent="0.3">
      <c r="A351" t="s">
        <v>924</v>
      </c>
      <c r="B351" s="1">
        <v>45061</v>
      </c>
      <c r="C351" t="s">
        <v>230</v>
      </c>
      <c r="D351" t="s">
        <v>12</v>
      </c>
      <c r="E351" t="s">
        <v>13</v>
      </c>
      <c r="F351" t="s">
        <v>24</v>
      </c>
      <c r="G351" t="s">
        <v>925</v>
      </c>
      <c r="H351" s="8">
        <v>1463.31</v>
      </c>
      <c r="I351" s="8">
        <v>-378.35</v>
      </c>
      <c r="J351" s="8">
        <v>0.28000000000000003</v>
      </c>
      <c r="K351" t="str">
        <f>IF(SalesData[[#This Row],[Profit]]&gt;0,"Profit","Loss")</f>
        <v>Loss</v>
      </c>
      <c r="L351" s="8">
        <f>SalesData[[#This Row],[Profit]]/SalesData[[#This Row],[Sales]]</f>
        <v>-0.25855765353889471</v>
      </c>
      <c r="M351" t="str">
        <f>TEXT(SalesData[[#This Row],[Order_Date]],"mmm")</f>
        <v>May</v>
      </c>
      <c r="N351">
        <f>YEAR(SalesData[[#This Row],[Order_Date]])</f>
        <v>2023</v>
      </c>
    </row>
    <row r="352" spans="1:14" x14ac:dyDescent="0.3">
      <c r="A352" t="s">
        <v>926</v>
      </c>
      <c r="B352" s="1">
        <v>44928</v>
      </c>
      <c r="C352" t="s">
        <v>571</v>
      </c>
      <c r="D352" t="s">
        <v>28</v>
      </c>
      <c r="E352" t="s">
        <v>13</v>
      </c>
      <c r="F352" t="s">
        <v>14</v>
      </c>
      <c r="G352" t="s">
        <v>927</v>
      </c>
      <c r="H352" s="8">
        <v>3681.57</v>
      </c>
      <c r="I352" s="8">
        <v>215.32</v>
      </c>
      <c r="J352" s="8">
        <v>0.14000000000000001</v>
      </c>
      <c r="K352" t="str">
        <f>IF(SalesData[[#This Row],[Profit]]&gt;0,"Profit","Loss")</f>
        <v>Profit</v>
      </c>
      <c r="L352" s="8">
        <f>SalesData[[#This Row],[Profit]]/SalesData[[#This Row],[Sales]]</f>
        <v>5.8485917692723481E-2</v>
      </c>
      <c r="M352" t="str">
        <f>TEXT(SalesData[[#This Row],[Order_Date]],"mmm")</f>
        <v>Jan</v>
      </c>
      <c r="N352">
        <f>YEAR(SalesData[[#This Row],[Order_Date]])</f>
        <v>2023</v>
      </c>
    </row>
    <row r="353" spans="1:14" x14ac:dyDescent="0.3">
      <c r="A353" t="s">
        <v>928</v>
      </c>
      <c r="B353" s="1">
        <v>45122</v>
      </c>
      <c r="C353" t="s">
        <v>929</v>
      </c>
      <c r="D353" t="s">
        <v>18</v>
      </c>
      <c r="E353" t="s">
        <v>19</v>
      </c>
      <c r="F353" t="s">
        <v>20</v>
      </c>
      <c r="G353" t="s">
        <v>930</v>
      </c>
      <c r="H353" s="8">
        <v>2524.1</v>
      </c>
      <c r="I353" s="8">
        <v>-327.74</v>
      </c>
      <c r="J353" s="8">
        <v>0.1</v>
      </c>
      <c r="K353" t="str">
        <f>IF(SalesData[[#This Row],[Profit]]&gt;0,"Profit","Loss")</f>
        <v>Loss</v>
      </c>
      <c r="L353" s="8">
        <f>SalesData[[#This Row],[Profit]]/SalesData[[#This Row],[Sales]]</f>
        <v>-0.12984430093894855</v>
      </c>
      <c r="M353" t="str">
        <f>TEXT(SalesData[[#This Row],[Order_Date]],"mmm")</f>
        <v>Jul</v>
      </c>
      <c r="N353">
        <f>YEAR(SalesData[[#This Row],[Order_Date]])</f>
        <v>2023</v>
      </c>
    </row>
    <row r="354" spans="1:14" x14ac:dyDescent="0.3">
      <c r="A354" t="s">
        <v>931</v>
      </c>
      <c r="B354" s="1">
        <v>45203</v>
      </c>
      <c r="C354" t="s">
        <v>932</v>
      </c>
      <c r="D354" t="s">
        <v>12</v>
      </c>
      <c r="E354" t="s">
        <v>19</v>
      </c>
      <c r="F354" t="s">
        <v>29</v>
      </c>
      <c r="G354" t="s">
        <v>933</v>
      </c>
      <c r="H354" s="8">
        <v>4481.3599999999997</v>
      </c>
      <c r="I354" s="8">
        <v>-1803.45</v>
      </c>
      <c r="J354" s="8">
        <v>0.23</v>
      </c>
      <c r="K354" t="str">
        <f>IF(SalesData[[#This Row],[Profit]]&gt;0,"Profit","Loss")</f>
        <v>Loss</v>
      </c>
      <c r="L354" s="8">
        <f>SalesData[[#This Row],[Profit]]/SalesData[[#This Row],[Sales]]</f>
        <v>-0.40243363621757683</v>
      </c>
      <c r="M354" t="str">
        <f>TEXT(SalesData[[#This Row],[Order_Date]],"mmm")</f>
        <v>Oct</v>
      </c>
      <c r="N354">
        <f>YEAR(SalesData[[#This Row],[Order_Date]])</f>
        <v>2023</v>
      </c>
    </row>
    <row r="355" spans="1:14" x14ac:dyDescent="0.3">
      <c r="A355" t="s">
        <v>934</v>
      </c>
      <c r="B355" s="1">
        <v>45267</v>
      </c>
      <c r="C355" t="s">
        <v>835</v>
      </c>
      <c r="D355" t="s">
        <v>40</v>
      </c>
      <c r="E355" t="s">
        <v>56</v>
      </c>
      <c r="F355" t="s">
        <v>95</v>
      </c>
      <c r="G355" t="s">
        <v>935</v>
      </c>
      <c r="H355" s="8">
        <v>2336.94</v>
      </c>
      <c r="I355" s="8">
        <v>-568.63</v>
      </c>
      <c r="J355" s="8">
        <v>0.3</v>
      </c>
      <c r="K355" t="str">
        <f>IF(SalesData[[#This Row],[Profit]]&gt;0,"Profit","Loss")</f>
        <v>Loss</v>
      </c>
      <c r="L355" s="8">
        <f>SalesData[[#This Row],[Profit]]/SalesData[[#This Row],[Sales]]</f>
        <v>-0.24332246441928332</v>
      </c>
      <c r="M355" t="str">
        <f>TEXT(SalesData[[#This Row],[Order_Date]],"mmm")</f>
        <v>Dec</v>
      </c>
      <c r="N355">
        <f>YEAR(SalesData[[#This Row],[Order_Date]])</f>
        <v>2023</v>
      </c>
    </row>
    <row r="356" spans="1:14" x14ac:dyDescent="0.3">
      <c r="A356" t="s">
        <v>936</v>
      </c>
      <c r="B356" s="1">
        <v>45226</v>
      </c>
      <c r="C356" t="s">
        <v>937</v>
      </c>
      <c r="D356" t="s">
        <v>12</v>
      </c>
      <c r="E356" t="s">
        <v>19</v>
      </c>
      <c r="F356" t="s">
        <v>20</v>
      </c>
      <c r="G356" t="s">
        <v>938</v>
      </c>
      <c r="H356" s="8">
        <v>3307.48</v>
      </c>
      <c r="I356" s="8">
        <v>-188.17</v>
      </c>
      <c r="J356" s="8">
        <v>0.08</v>
      </c>
      <c r="K356" t="str">
        <f>IF(SalesData[[#This Row],[Profit]]&gt;0,"Profit","Loss")</f>
        <v>Loss</v>
      </c>
      <c r="L356" s="8">
        <f>SalesData[[#This Row],[Profit]]/SalesData[[#This Row],[Sales]]</f>
        <v>-5.6892256340174391E-2</v>
      </c>
      <c r="M356" t="str">
        <f>TEXT(SalesData[[#This Row],[Order_Date]],"mmm")</f>
        <v>Oct</v>
      </c>
      <c r="N356">
        <f>YEAR(SalesData[[#This Row],[Order_Date]])</f>
        <v>2023</v>
      </c>
    </row>
    <row r="357" spans="1:14" x14ac:dyDescent="0.3">
      <c r="A357" t="s">
        <v>939</v>
      </c>
      <c r="B357" s="1">
        <v>44655</v>
      </c>
      <c r="C357" t="s">
        <v>940</v>
      </c>
      <c r="D357" t="s">
        <v>12</v>
      </c>
      <c r="E357" t="s">
        <v>13</v>
      </c>
      <c r="F357" t="s">
        <v>36</v>
      </c>
      <c r="G357" t="s">
        <v>561</v>
      </c>
      <c r="H357" s="8">
        <v>3657.34</v>
      </c>
      <c r="I357" s="8">
        <v>-630.75</v>
      </c>
      <c r="J357" s="8">
        <v>0.23</v>
      </c>
      <c r="K357" t="str">
        <f>IF(SalesData[[#This Row],[Profit]]&gt;0,"Profit","Loss")</f>
        <v>Loss</v>
      </c>
      <c r="L357" s="8">
        <f>SalesData[[#This Row],[Profit]]/SalesData[[#This Row],[Sales]]</f>
        <v>-0.17246140637731247</v>
      </c>
      <c r="M357" t="str">
        <f>TEXT(SalesData[[#This Row],[Order_Date]],"mmm")</f>
        <v>Apr</v>
      </c>
      <c r="N357">
        <f>YEAR(SalesData[[#This Row],[Order_Date]])</f>
        <v>2022</v>
      </c>
    </row>
    <row r="358" spans="1:14" x14ac:dyDescent="0.3">
      <c r="A358" t="s">
        <v>941</v>
      </c>
      <c r="B358" s="1">
        <v>45017</v>
      </c>
      <c r="C358" t="s">
        <v>899</v>
      </c>
      <c r="D358" t="s">
        <v>12</v>
      </c>
      <c r="E358" t="s">
        <v>56</v>
      </c>
      <c r="F358" t="s">
        <v>95</v>
      </c>
      <c r="G358" t="s">
        <v>942</v>
      </c>
      <c r="H358" s="8">
        <v>481.9</v>
      </c>
      <c r="I358" s="8">
        <v>-32.93</v>
      </c>
      <c r="J358" s="8">
        <v>0.18</v>
      </c>
      <c r="K358" t="str">
        <f>IF(SalesData[[#This Row],[Profit]]&gt;0,"Profit","Loss")</f>
        <v>Loss</v>
      </c>
      <c r="L358" s="8">
        <f>SalesData[[#This Row],[Profit]]/SalesData[[#This Row],[Sales]]</f>
        <v>-6.8333679186553226E-2</v>
      </c>
      <c r="M358" t="str">
        <f>TEXT(SalesData[[#This Row],[Order_Date]],"mmm")</f>
        <v>Apr</v>
      </c>
      <c r="N358">
        <f>YEAR(SalesData[[#This Row],[Order_Date]])</f>
        <v>2023</v>
      </c>
    </row>
    <row r="359" spans="1:14" x14ac:dyDescent="0.3">
      <c r="A359" t="s">
        <v>943</v>
      </c>
      <c r="B359" s="1">
        <v>44634</v>
      </c>
      <c r="C359" t="s">
        <v>944</v>
      </c>
      <c r="D359" t="s">
        <v>28</v>
      </c>
      <c r="E359" t="s">
        <v>19</v>
      </c>
      <c r="F359" t="s">
        <v>20</v>
      </c>
      <c r="G359" t="s">
        <v>945</v>
      </c>
      <c r="H359" s="8">
        <v>4941.96</v>
      </c>
      <c r="I359" s="8">
        <v>-1238.92</v>
      </c>
      <c r="J359" s="8">
        <v>0.13</v>
      </c>
      <c r="K359" t="str">
        <f>IF(SalesData[[#This Row],[Profit]]&gt;0,"Profit","Loss")</f>
        <v>Loss</v>
      </c>
      <c r="L359" s="8">
        <f>SalesData[[#This Row],[Profit]]/SalesData[[#This Row],[Sales]]</f>
        <v>-0.25069405660911864</v>
      </c>
      <c r="M359" t="str">
        <f>TEXT(SalesData[[#This Row],[Order_Date]],"mmm")</f>
        <v>Mar</v>
      </c>
      <c r="N359">
        <f>YEAR(SalesData[[#This Row],[Order_Date]])</f>
        <v>2022</v>
      </c>
    </row>
    <row r="360" spans="1:14" x14ac:dyDescent="0.3">
      <c r="A360" t="s">
        <v>946</v>
      </c>
      <c r="B360" s="1">
        <v>44953</v>
      </c>
      <c r="C360" t="s">
        <v>825</v>
      </c>
      <c r="D360" t="s">
        <v>18</v>
      </c>
      <c r="E360" t="s">
        <v>13</v>
      </c>
      <c r="F360" t="s">
        <v>14</v>
      </c>
      <c r="G360" t="s">
        <v>632</v>
      </c>
      <c r="H360" s="8">
        <v>605.69000000000005</v>
      </c>
      <c r="I360" s="8">
        <v>-79.010000000000005</v>
      </c>
      <c r="J360" s="8">
        <v>0.11</v>
      </c>
      <c r="K360" t="str">
        <f>IF(SalesData[[#This Row],[Profit]]&gt;0,"Profit","Loss")</f>
        <v>Loss</v>
      </c>
      <c r="L360" s="8">
        <f>SalesData[[#This Row],[Profit]]/SalesData[[#This Row],[Sales]]</f>
        <v>-0.13044626789281646</v>
      </c>
      <c r="M360" t="str">
        <f>TEXT(SalesData[[#This Row],[Order_Date]],"mmm")</f>
        <v>Jan</v>
      </c>
      <c r="N360">
        <f>YEAR(SalesData[[#This Row],[Order_Date]])</f>
        <v>2023</v>
      </c>
    </row>
    <row r="361" spans="1:14" x14ac:dyDescent="0.3">
      <c r="A361" t="s">
        <v>947</v>
      </c>
      <c r="B361" s="1">
        <v>44730</v>
      </c>
      <c r="C361" t="s">
        <v>948</v>
      </c>
      <c r="D361" t="s">
        <v>40</v>
      </c>
      <c r="E361" t="s">
        <v>13</v>
      </c>
      <c r="F361" t="s">
        <v>14</v>
      </c>
      <c r="G361" t="s">
        <v>534</v>
      </c>
      <c r="H361" s="8">
        <v>435.22</v>
      </c>
      <c r="I361" s="8">
        <v>-1.66</v>
      </c>
      <c r="J361" s="8">
        <v>0.17</v>
      </c>
      <c r="K361" t="str">
        <f>IF(SalesData[[#This Row],[Profit]]&gt;0,"Profit","Loss")</f>
        <v>Loss</v>
      </c>
      <c r="L361" s="8">
        <f>SalesData[[#This Row],[Profit]]/SalesData[[#This Row],[Sales]]</f>
        <v>-3.8141629520702168E-3</v>
      </c>
      <c r="M361" t="str">
        <f>TEXT(SalesData[[#This Row],[Order_Date]],"mmm")</f>
        <v>Jun</v>
      </c>
      <c r="N361">
        <f>YEAR(SalesData[[#This Row],[Order_Date]])</f>
        <v>2022</v>
      </c>
    </row>
    <row r="362" spans="1:14" x14ac:dyDescent="0.3">
      <c r="A362" t="s">
        <v>949</v>
      </c>
      <c r="B362" s="1">
        <v>45015</v>
      </c>
      <c r="C362" t="s">
        <v>950</v>
      </c>
      <c r="D362" t="s">
        <v>12</v>
      </c>
      <c r="E362" t="s">
        <v>56</v>
      </c>
      <c r="F362" t="s">
        <v>73</v>
      </c>
      <c r="G362" t="s">
        <v>951</v>
      </c>
      <c r="H362" s="8">
        <v>3766.52</v>
      </c>
      <c r="I362" s="8">
        <v>-415.65</v>
      </c>
      <c r="J362" s="8">
        <v>0.28000000000000003</v>
      </c>
      <c r="K362" t="str">
        <f>IF(SalesData[[#This Row],[Profit]]&gt;0,"Profit","Loss")</f>
        <v>Loss</v>
      </c>
      <c r="L362" s="8">
        <f>SalesData[[#This Row],[Profit]]/SalesData[[#This Row],[Sales]]</f>
        <v>-0.11035385448636938</v>
      </c>
      <c r="M362" t="str">
        <f>TEXT(SalesData[[#This Row],[Order_Date]],"mmm")</f>
        <v>Mar</v>
      </c>
      <c r="N362">
        <f>YEAR(SalesData[[#This Row],[Order_Date]])</f>
        <v>2023</v>
      </c>
    </row>
    <row r="363" spans="1:14" x14ac:dyDescent="0.3">
      <c r="A363" t="s">
        <v>952</v>
      </c>
      <c r="B363" s="1">
        <v>45001</v>
      </c>
      <c r="C363" t="s">
        <v>953</v>
      </c>
      <c r="D363" t="s">
        <v>18</v>
      </c>
      <c r="E363" t="s">
        <v>56</v>
      </c>
      <c r="F363" t="s">
        <v>57</v>
      </c>
      <c r="G363" t="s">
        <v>954</v>
      </c>
      <c r="H363" s="8">
        <v>3786.98</v>
      </c>
      <c r="I363" s="8">
        <v>-566.46</v>
      </c>
      <c r="J363" s="8">
        <v>0.18</v>
      </c>
      <c r="K363" t="str">
        <f>IF(SalesData[[#This Row],[Profit]]&gt;0,"Profit","Loss")</f>
        <v>Loss</v>
      </c>
      <c r="L363" s="8">
        <f>SalesData[[#This Row],[Profit]]/SalesData[[#This Row],[Sales]]</f>
        <v>-0.14958093256367871</v>
      </c>
      <c r="M363" t="str">
        <f>TEXT(SalesData[[#This Row],[Order_Date]],"mmm")</f>
        <v>Mar</v>
      </c>
      <c r="N363">
        <f>YEAR(SalesData[[#This Row],[Order_Date]])</f>
        <v>2023</v>
      </c>
    </row>
    <row r="364" spans="1:14" x14ac:dyDescent="0.3">
      <c r="A364" t="s">
        <v>955</v>
      </c>
      <c r="B364" s="1">
        <v>45184</v>
      </c>
      <c r="C364" t="s">
        <v>132</v>
      </c>
      <c r="D364" t="s">
        <v>12</v>
      </c>
      <c r="E364" t="s">
        <v>19</v>
      </c>
      <c r="F364" t="s">
        <v>141</v>
      </c>
      <c r="G364" t="s">
        <v>592</v>
      </c>
      <c r="H364" s="8">
        <v>512.82000000000005</v>
      </c>
      <c r="I364" s="8">
        <v>-5.13</v>
      </c>
      <c r="J364" s="8">
        <v>0.17</v>
      </c>
      <c r="K364" t="str">
        <f>IF(SalesData[[#This Row],[Profit]]&gt;0,"Profit","Loss")</f>
        <v>Loss</v>
      </c>
      <c r="L364" s="8">
        <f>SalesData[[#This Row],[Profit]]/SalesData[[#This Row],[Sales]]</f>
        <v>-1.0003510003510001E-2</v>
      </c>
      <c r="M364" t="str">
        <f>TEXT(SalesData[[#This Row],[Order_Date]],"mmm")</f>
        <v>Sep</v>
      </c>
      <c r="N364">
        <f>YEAR(SalesData[[#This Row],[Order_Date]])</f>
        <v>2023</v>
      </c>
    </row>
    <row r="365" spans="1:14" x14ac:dyDescent="0.3">
      <c r="A365" t="s">
        <v>956</v>
      </c>
      <c r="B365" s="1">
        <v>44963</v>
      </c>
      <c r="C365" t="s">
        <v>382</v>
      </c>
      <c r="D365" t="s">
        <v>12</v>
      </c>
      <c r="E365" t="s">
        <v>13</v>
      </c>
      <c r="F365" t="s">
        <v>36</v>
      </c>
      <c r="G365" t="s">
        <v>957</v>
      </c>
      <c r="H365" s="8">
        <v>1106.68</v>
      </c>
      <c r="I365" s="8">
        <v>-295.27999999999997</v>
      </c>
      <c r="J365" s="8">
        <v>0.18</v>
      </c>
      <c r="K365" t="str">
        <f>IF(SalesData[[#This Row],[Profit]]&gt;0,"Profit","Loss")</f>
        <v>Loss</v>
      </c>
      <c r="L365" s="8">
        <f>SalesData[[#This Row],[Profit]]/SalesData[[#This Row],[Sales]]</f>
        <v>-0.26681606245707878</v>
      </c>
      <c r="M365" t="str">
        <f>TEXT(SalesData[[#This Row],[Order_Date]],"mmm")</f>
        <v>Feb</v>
      </c>
      <c r="N365">
        <f>YEAR(SalesData[[#This Row],[Order_Date]])</f>
        <v>2023</v>
      </c>
    </row>
    <row r="366" spans="1:14" x14ac:dyDescent="0.3">
      <c r="A366" t="s">
        <v>958</v>
      </c>
      <c r="B366" s="1">
        <v>44634</v>
      </c>
      <c r="C366" t="s">
        <v>555</v>
      </c>
      <c r="D366" t="s">
        <v>12</v>
      </c>
      <c r="E366" t="s">
        <v>56</v>
      </c>
      <c r="F366" t="s">
        <v>95</v>
      </c>
      <c r="G366" t="s">
        <v>611</v>
      </c>
      <c r="H366" s="8">
        <v>1990.84</v>
      </c>
      <c r="I366" s="8">
        <v>224.67</v>
      </c>
      <c r="J366" s="8">
        <v>7.0000000000000007E-2</v>
      </c>
      <c r="K366" t="str">
        <f>IF(SalesData[[#This Row],[Profit]]&gt;0,"Profit","Loss")</f>
        <v>Profit</v>
      </c>
      <c r="L366" s="8">
        <f>SalesData[[#This Row],[Profit]]/SalesData[[#This Row],[Sales]]</f>
        <v>0.11285186152578811</v>
      </c>
      <c r="M366" t="str">
        <f>TEXT(SalesData[[#This Row],[Order_Date]],"mmm")</f>
        <v>Mar</v>
      </c>
      <c r="N366">
        <f>YEAR(SalesData[[#This Row],[Order_Date]])</f>
        <v>2022</v>
      </c>
    </row>
    <row r="367" spans="1:14" x14ac:dyDescent="0.3">
      <c r="A367" t="s">
        <v>959</v>
      </c>
      <c r="B367" s="1">
        <v>45121</v>
      </c>
      <c r="C367" t="s">
        <v>43</v>
      </c>
      <c r="D367" t="s">
        <v>18</v>
      </c>
      <c r="E367" t="s">
        <v>19</v>
      </c>
      <c r="F367" t="s">
        <v>20</v>
      </c>
      <c r="G367" t="s">
        <v>728</v>
      </c>
      <c r="H367" s="8">
        <v>1995.51</v>
      </c>
      <c r="I367" s="8">
        <v>-394.08</v>
      </c>
      <c r="J367" s="8">
        <v>0.25</v>
      </c>
      <c r="K367" t="str">
        <f>IF(SalesData[[#This Row],[Profit]]&gt;0,"Profit","Loss")</f>
        <v>Loss</v>
      </c>
      <c r="L367" s="8">
        <f>SalesData[[#This Row],[Profit]]/SalesData[[#This Row],[Sales]]</f>
        <v>-0.19748335012102169</v>
      </c>
      <c r="M367" t="str">
        <f>TEXT(SalesData[[#This Row],[Order_Date]],"mmm")</f>
        <v>Jul</v>
      </c>
      <c r="N367">
        <f>YEAR(SalesData[[#This Row],[Order_Date]])</f>
        <v>2023</v>
      </c>
    </row>
    <row r="368" spans="1:14" x14ac:dyDescent="0.3">
      <c r="A368" t="s">
        <v>960</v>
      </c>
      <c r="B368" s="1">
        <v>44602</v>
      </c>
      <c r="C368" t="s">
        <v>290</v>
      </c>
      <c r="D368" t="s">
        <v>28</v>
      </c>
      <c r="E368" t="s">
        <v>19</v>
      </c>
      <c r="F368" t="s">
        <v>20</v>
      </c>
      <c r="G368" t="s">
        <v>70</v>
      </c>
      <c r="H368" s="8">
        <v>181.78</v>
      </c>
      <c r="I368" s="8">
        <v>-11.4</v>
      </c>
      <c r="J368" s="8">
        <v>0.02</v>
      </c>
      <c r="K368" t="str">
        <f>IF(SalesData[[#This Row],[Profit]]&gt;0,"Profit","Loss")</f>
        <v>Loss</v>
      </c>
      <c r="L368" s="8">
        <f>SalesData[[#This Row],[Profit]]/SalesData[[#This Row],[Sales]]</f>
        <v>-6.2713169765650792E-2</v>
      </c>
      <c r="M368" t="str">
        <f>TEXT(SalesData[[#This Row],[Order_Date]],"mmm")</f>
        <v>Feb</v>
      </c>
      <c r="N368">
        <f>YEAR(SalesData[[#This Row],[Order_Date]])</f>
        <v>2022</v>
      </c>
    </row>
    <row r="369" spans="1:14" x14ac:dyDescent="0.3">
      <c r="A369" t="s">
        <v>961</v>
      </c>
      <c r="B369" s="1">
        <v>44973</v>
      </c>
      <c r="C369" t="s">
        <v>962</v>
      </c>
      <c r="D369" t="s">
        <v>18</v>
      </c>
      <c r="E369" t="s">
        <v>19</v>
      </c>
      <c r="F369" t="s">
        <v>141</v>
      </c>
      <c r="G369" t="s">
        <v>257</v>
      </c>
      <c r="H369" s="8">
        <v>3591.88</v>
      </c>
      <c r="I369" s="8">
        <v>-631.65</v>
      </c>
      <c r="J369" s="8">
        <v>0.23</v>
      </c>
      <c r="K369" t="str">
        <f>IF(SalesData[[#This Row],[Profit]]&gt;0,"Profit","Loss")</f>
        <v>Loss</v>
      </c>
      <c r="L369" s="8">
        <f>SalesData[[#This Row],[Profit]]/SalesData[[#This Row],[Sales]]</f>
        <v>-0.17585498401951066</v>
      </c>
      <c r="M369" t="str">
        <f>TEXT(SalesData[[#This Row],[Order_Date]],"mmm")</f>
        <v>Feb</v>
      </c>
      <c r="N369">
        <f>YEAR(SalesData[[#This Row],[Order_Date]])</f>
        <v>2023</v>
      </c>
    </row>
    <row r="370" spans="1:14" x14ac:dyDescent="0.3">
      <c r="A370" t="s">
        <v>963</v>
      </c>
      <c r="B370" s="1">
        <v>44721</v>
      </c>
      <c r="C370" t="s">
        <v>732</v>
      </c>
      <c r="D370" t="s">
        <v>40</v>
      </c>
      <c r="E370" t="s">
        <v>56</v>
      </c>
      <c r="F370" t="s">
        <v>95</v>
      </c>
      <c r="G370" t="s">
        <v>964</v>
      </c>
      <c r="H370" s="8">
        <v>487.21</v>
      </c>
      <c r="I370" s="8">
        <v>50.96</v>
      </c>
      <c r="J370" s="8">
        <v>0.28000000000000003</v>
      </c>
      <c r="K370" t="str">
        <f>IF(SalesData[[#This Row],[Profit]]&gt;0,"Profit","Loss")</f>
        <v>Profit</v>
      </c>
      <c r="L370" s="8">
        <f>SalesData[[#This Row],[Profit]]/SalesData[[#This Row],[Sales]]</f>
        <v>0.10459555427844257</v>
      </c>
      <c r="M370" t="str">
        <f>TEXT(SalesData[[#This Row],[Order_Date]],"mmm")</f>
        <v>Jun</v>
      </c>
      <c r="N370">
        <f>YEAR(SalesData[[#This Row],[Order_Date]])</f>
        <v>2022</v>
      </c>
    </row>
    <row r="371" spans="1:14" x14ac:dyDescent="0.3">
      <c r="A371" t="s">
        <v>965</v>
      </c>
      <c r="B371" s="1">
        <v>44879</v>
      </c>
      <c r="C371" t="s">
        <v>524</v>
      </c>
      <c r="D371" t="s">
        <v>28</v>
      </c>
      <c r="E371" t="s">
        <v>13</v>
      </c>
      <c r="F371" t="s">
        <v>24</v>
      </c>
      <c r="G371" t="s">
        <v>966</v>
      </c>
      <c r="H371" s="8">
        <v>3839.8</v>
      </c>
      <c r="I371" s="8">
        <v>-15.77</v>
      </c>
      <c r="J371" s="8">
        <v>0.19</v>
      </c>
      <c r="K371" t="str">
        <f>IF(SalesData[[#This Row],[Profit]]&gt;0,"Profit","Loss")</f>
        <v>Loss</v>
      </c>
      <c r="L371" s="8">
        <f>SalesData[[#This Row],[Profit]]/SalesData[[#This Row],[Sales]]</f>
        <v>-4.1069847387884785E-3</v>
      </c>
      <c r="M371" t="str">
        <f>TEXT(SalesData[[#This Row],[Order_Date]],"mmm")</f>
        <v>Nov</v>
      </c>
      <c r="N371">
        <f>YEAR(SalesData[[#This Row],[Order_Date]])</f>
        <v>2022</v>
      </c>
    </row>
    <row r="372" spans="1:14" x14ac:dyDescent="0.3">
      <c r="A372" t="s">
        <v>967</v>
      </c>
      <c r="B372" s="1">
        <v>45188</v>
      </c>
      <c r="C372" t="s">
        <v>968</v>
      </c>
      <c r="D372" t="s">
        <v>12</v>
      </c>
      <c r="E372" t="s">
        <v>56</v>
      </c>
      <c r="F372" t="s">
        <v>57</v>
      </c>
      <c r="G372" t="s">
        <v>507</v>
      </c>
      <c r="H372" s="8">
        <v>1297.95</v>
      </c>
      <c r="I372" s="8">
        <v>-532.69000000000005</v>
      </c>
      <c r="J372" s="8">
        <v>0.28000000000000003</v>
      </c>
      <c r="K372" t="str">
        <f>IF(SalesData[[#This Row],[Profit]]&gt;0,"Profit","Loss")</f>
        <v>Loss</v>
      </c>
      <c r="L372" s="8">
        <f>SalesData[[#This Row],[Profit]]/SalesData[[#This Row],[Sales]]</f>
        <v>-0.41040872144535617</v>
      </c>
      <c r="M372" t="str">
        <f>TEXT(SalesData[[#This Row],[Order_Date]],"mmm")</f>
        <v>Sep</v>
      </c>
      <c r="N372">
        <f>YEAR(SalesData[[#This Row],[Order_Date]])</f>
        <v>2023</v>
      </c>
    </row>
    <row r="373" spans="1:14" x14ac:dyDescent="0.3">
      <c r="A373" t="s">
        <v>969</v>
      </c>
      <c r="B373" s="1">
        <v>44702</v>
      </c>
      <c r="C373" t="s">
        <v>970</v>
      </c>
      <c r="D373" t="s">
        <v>12</v>
      </c>
      <c r="E373" t="s">
        <v>13</v>
      </c>
      <c r="F373" t="s">
        <v>24</v>
      </c>
      <c r="G373" t="s">
        <v>971</v>
      </c>
      <c r="H373" s="8">
        <v>3324.46</v>
      </c>
      <c r="I373" s="8">
        <v>-805.85</v>
      </c>
      <c r="J373" s="8">
        <v>0.05</v>
      </c>
      <c r="K373" t="str">
        <f>IF(SalesData[[#This Row],[Profit]]&gt;0,"Profit","Loss")</f>
        <v>Loss</v>
      </c>
      <c r="L373" s="8">
        <f>SalesData[[#This Row],[Profit]]/SalesData[[#This Row],[Sales]]</f>
        <v>-0.24240026951745547</v>
      </c>
      <c r="M373" t="str">
        <f>TEXT(SalesData[[#This Row],[Order_Date]],"mmm")</f>
        <v>May</v>
      </c>
      <c r="N373">
        <f>YEAR(SalesData[[#This Row],[Order_Date]])</f>
        <v>2022</v>
      </c>
    </row>
    <row r="374" spans="1:14" x14ac:dyDescent="0.3">
      <c r="A374" t="s">
        <v>972</v>
      </c>
      <c r="B374" s="1">
        <v>44732</v>
      </c>
      <c r="C374" t="s">
        <v>973</v>
      </c>
      <c r="D374" t="s">
        <v>18</v>
      </c>
      <c r="E374" t="s">
        <v>19</v>
      </c>
      <c r="F374" t="s">
        <v>29</v>
      </c>
      <c r="G374" t="s">
        <v>974</v>
      </c>
      <c r="H374" s="8">
        <v>2662.73</v>
      </c>
      <c r="I374" s="8">
        <v>6.55</v>
      </c>
      <c r="J374" s="8">
        <v>0.23</v>
      </c>
      <c r="K374" t="str">
        <f>IF(SalesData[[#This Row],[Profit]]&gt;0,"Profit","Loss")</f>
        <v>Profit</v>
      </c>
      <c r="L374" s="8">
        <f>SalesData[[#This Row],[Profit]]/SalesData[[#This Row],[Sales]]</f>
        <v>2.4598813999166269E-3</v>
      </c>
      <c r="M374" t="str">
        <f>TEXT(SalesData[[#This Row],[Order_Date]],"mmm")</f>
        <v>Jun</v>
      </c>
      <c r="N374">
        <f>YEAR(SalesData[[#This Row],[Order_Date]])</f>
        <v>2022</v>
      </c>
    </row>
    <row r="375" spans="1:14" x14ac:dyDescent="0.3">
      <c r="A375" t="s">
        <v>975</v>
      </c>
      <c r="B375" s="1">
        <v>45001</v>
      </c>
      <c r="C375" t="s">
        <v>976</v>
      </c>
      <c r="D375" t="s">
        <v>12</v>
      </c>
      <c r="E375" t="s">
        <v>19</v>
      </c>
      <c r="F375" t="s">
        <v>141</v>
      </c>
      <c r="G375" t="s">
        <v>911</v>
      </c>
      <c r="H375" s="8">
        <v>4443.43</v>
      </c>
      <c r="I375" s="8">
        <v>-1832.41</v>
      </c>
      <c r="J375" s="8">
        <v>0.23</v>
      </c>
      <c r="K375" t="str">
        <f>IF(SalesData[[#This Row],[Profit]]&gt;0,"Profit","Loss")</f>
        <v>Loss</v>
      </c>
      <c r="L375" s="8">
        <f>SalesData[[#This Row],[Profit]]/SalesData[[#This Row],[Sales]]</f>
        <v>-0.41238637719059373</v>
      </c>
      <c r="M375" t="str">
        <f>TEXT(SalesData[[#This Row],[Order_Date]],"mmm")</f>
        <v>Mar</v>
      </c>
      <c r="N375">
        <f>YEAR(SalesData[[#This Row],[Order_Date]])</f>
        <v>2023</v>
      </c>
    </row>
    <row r="376" spans="1:14" x14ac:dyDescent="0.3">
      <c r="A376" t="s">
        <v>977</v>
      </c>
      <c r="B376" s="1">
        <v>44618</v>
      </c>
      <c r="C376" t="s">
        <v>978</v>
      </c>
      <c r="D376" t="s">
        <v>18</v>
      </c>
      <c r="E376" t="s">
        <v>13</v>
      </c>
      <c r="F376" t="s">
        <v>24</v>
      </c>
      <c r="G376" t="s">
        <v>979</v>
      </c>
      <c r="H376" s="8">
        <v>3174.91</v>
      </c>
      <c r="I376" s="8">
        <v>-138.21</v>
      </c>
      <c r="J376" s="8">
        <v>0.15</v>
      </c>
      <c r="K376" t="str">
        <f>IF(SalesData[[#This Row],[Profit]]&gt;0,"Profit","Loss")</f>
        <v>Loss</v>
      </c>
      <c r="L376" s="8">
        <f>SalesData[[#This Row],[Profit]]/SalesData[[#This Row],[Sales]]</f>
        <v>-4.353194263774407E-2</v>
      </c>
      <c r="M376" t="str">
        <f>TEXT(SalesData[[#This Row],[Order_Date]],"mmm")</f>
        <v>Feb</v>
      </c>
      <c r="N376">
        <f>YEAR(SalesData[[#This Row],[Order_Date]])</f>
        <v>2022</v>
      </c>
    </row>
    <row r="377" spans="1:14" x14ac:dyDescent="0.3">
      <c r="A377" t="s">
        <v>980</v>
      </c>
      <c r="B377" s="1">
        <v>44680</v>
      </c>
      <c r="C377" t="s">
        <v>165</v>
      </c>
      <c r="D377" t="s">
        <v>12</v>
      </c>
      <c r="E377" t="s">
        <v>56</v>
      </c>
      <c r="F377" t="s">
        <v>95</v>
      </c>
      <c r="G377" t="s">
        <v>981</v>
      </c>
      <c r="H377" s="8">
        <v>3889.31</v>
      </c>
      <c r="I377" s="8">
        <v>-254.86</v>
      </c>
      <c r="J377" s="8">
        <v>0.27</v>
      </c>
      <c r="K377" t="str">
        <f>IF(SalesData[[#This Row],[Profit]]&gt;0,"Profit","Loss")</f>
        <v>Loss</v>
      </c>
      <c r="L377" s="8">
        <f>SalesData[[#This Row],[Profit]]/SalesData[[#This Row],[Sales]]</f>
        <v>-6.5528332789106553E-2</v>
      </c>
      <c r="M377" t="str">
        <f>TEXT(SalesData[[#This Row],[Order_Date]],"mmm")</f>
        <v>Apr</v>
      </c>
      <c r="N377">
        <f>YEAR(SalesData[[#This Row],[Order_Date]])</f>
        <v>2022</v>
      </c>
    </row>
    <row r="378" spans="1:14" x14ac:dyDescent="0.3">
      <c r="A378" t="s">
        <v>982</v>
      </c>
      <c r="B378" s="1">
        <v>44745</v>
      </c>
      <c r="C378" t="s">
        <v>983</v>
      </c>
      <c r="D378" t="s">
        <v>28</v>
      </c>
      <c r="E378" t="s">
        <v>56</v>
      </c>
      <c r="F378" t="s">
        <v>57</v>
      </c>
      <c r="G378" t="s">
        <v>984</v>
      </c>
      <c r="H378" s="8">
        <v>325.31</v>
      </c>
      <c r="I378" s="8">
        <v>78.77</v>
      </c>
      <c r="J378" s="8">
        <v>0.11</v>
      </c>
      <c r="K378" t="str">
        <f>IF(SalesData[[#This Row],[Profit]]&gt;0,"Profit","Loss")</f>
        <v>Profit</v>
      </c>
      <c r="L378" s="8">
        <f>SalesData[[#This Row],[Profit]]/SalesData[[#This Row],[Sales]]</f>
        <v>0.24213826811349173</v>
      </c>
      <c r="M378" t="str">
        <f>TEXT(SalesData[[#This Row],[Order_Date]],"mmm")</f>
        <v>Jul</v>
      </c>
      <c r="N378">
        <f>YEAR(SalesData[[#This Row],[Order_Date]])</f>
        <v>2022</v>
      </c>
    </row>
    <row r="379" spans="1:14" x14ac:dyDescent="0.3">
      <c r="A379" t="s">
        <v>985</v>
      </c>
      <c r="B379" s="1">
        <v>44641</v>
      </c>
      <c r="C379" t="s">
        <v>986</v>
      </c>
      <c r="D379" t="s">
        <v>40</v>
      </c>
      <c r="E379" t="s">
        <v>19</v>
      </c>
      <c r="F379" t="s">
        <v>20</v>
      </c>
      <c r="G379" t="s">
        <v>987</v>
      </c>
      <c r="H379" s="8">
        <v>2139.66</v>
      </c>
      <c r="I379" s="8">
        <v>-550.41999999999996</v>
      </c>
      <c r="J379" s="8">
        <v>0.22</v>
      </c>
      <c r="K379" t="str">
        <f>IF(SalesData[[#This Row],[Profit]]&gt;0,"Profit","Loss")</f>
        <v>Loss</v>
      </c>
      <c r="L379" s="8">
        <f>SalesData[[#This Row],[Profit]]/SalesData[[#This Row],[Sales]]</f>
        <v>-0.25724647841245807</v>
      </c>
      <c r="M379" t="str">
        <f>TEXT(SalesData[[#This Row],[Order_Date]],"mmm")</f>
        <v>Mar</v>
      </c>
      <c r="N379">
        <f>YEAR(SalesData[[#This Row],[Order_Date]])</f>
        <v>2022</v>
      </c>
    </row>
    <row r="380" spans="1:14" x14ac:dyDescent="0.3">
      <c r="A380" t="s">
        <v>988</v>
      </c>
      <c r="B380" s="1">
        <v>44609</v>
      </c>
      <c r="C380" t="s">
        <v>713</v>
      </c>
      <c r="D380" t="s">
        <v>12</v>
      </c>
      <c r="E380" t="s">
        <v>13</v>
      </c>
      <c r="F380" t="s">
        <v>24</v>
      </c>
      <c r="G380" t="s">
        <v>989</v>
      </c>
      <c r="H380" s="8">
        <v>4519.51</v>
      </c>
      <c r="I380" s="8">
        <v>1051.25</v>
      </c>
      <c r="J380" s="8">
        <v>0.05</v>
      </c>
      <c r="K380" t="str">
        <f>IF(SalesData[[#This Row],[Profit]]&gt;0,"Profit","Loss")</f>
        <v>Profit</v>
      </c>
      <c r="L380" s="8">
        <f>SalesData[[#This Row],[Profit]]/SalesData[[#This Row],[Sales]]</f>
        <v>0.23260264940225819</v>
      </c>
      <c r="M380" t="str">
        <f>TEXT(SalesData[[#This Row],[Order_Date]],"mmm")</f>
        <v>Feb</v>
      </c>
      <c r="N380">
        <f>YEAR(SalesData[[#This Row],[Order_Date]])</f>
        <v>2022</v>
      </c>
    </row>
    <row r="381" spans="1:14" x14ac:dyDescent="0.3">
      <c r="A381" t="s">
        <v>990</v>
      </c>
      <c r="B381" s="1">
        <v>45029</v>
      </c>
      <c r="C381" t="s">
        <v>134</v>
      </c>
      <c r="D381" t="s">
        <v>40</v>
      </c>
      <c r="E381" t="s">
        <v>19</v>
      </c>
      <c r="F381" t="s">
        <v>29</v>
      </c>
      <c r="G381" t="s">
        <v>991</v>
      </c>
      <c r="H381" s="8">
        <v>3890.28</v>
      </c>
      <c r="I381" s="8">
        <v>-926.54</v>
      </c>
      <c r="J381" s="8">
        <v>0.09</v>
      </c>
      <c r="K381" t="str">
        <f>IF(SalesData[[#This Row],[Profit]]&gt;0,"Profit","Loss")</f>
        <v>Loss</v>
      </c>
      <c r="L381" s="8">
        <f>SalesData[[#This Row],[Profit]]/SalesData[[#This Row],[Sales]]</f>
        <v>-0.23816794678018033</v>
      </c>
      <c r="M381" t="str">
        <f>TEXT(SalesData[[#This Row],[Order_Date]],"mmm")</f>
        <v>Apr</v>
      </c>
      <c r="N381">
        <f>YEAR(SalesData[[#This Row],[Order_Date]])</f>
        <v>2023</v>
      </c>
    </row>
    <row r="382" spans="1:14" x14ac:dyDescent="0.3">
      <c r="A382" t="s">
        <v>992</v>
      </c>
      <c r="B382" s="1">
        <v>44939</v>
      </c>
      <c r="C382" t="s">
        <v>763</v>
      </c>
      <c r="D382" t="s">
        <v>28</v>
      </c>
      <c r="E382" t="s">
        <v>19</v>
      </c>
      <c r="F382" t="s">
        <v>141</v>
      </c>
      <c r="G382" t="s">
        <v>339</v>
      </c>
      <c r="H382" s="8">
        <v>3944.09</v>
      </c>
      <c r="I382" s="8">
        <v>-1082.45</v>
      </c>
      <c r="J382" s="8">
        <v>0.22</v>
      </c>
      <c r="K382" t="str">
        <f>IF(SalesData[[#This Row],[Profit]]&gt;0,"Profit","Loss")</f>
        <v>Loss</v>
      </c>
      <c r="L382" s="8">
        <f>SalesData[[#This Row],[Profit]]/SalesData[[#This Row],[Sales]]</f>
        <v>-0.27444860538172305</v>
      </c>
      <c r="M382" t="str">
        <f>TEXT(SalesData[[#This Row],[Order_Date]],"mmm")</f>
        <v>Jan</v>
      </c>
      <c r="N382">
        <f>YEAR(SalesData[[#This Row],[Order_Date]])</f>
        <v>2023</v>
      </c>
    </row>
    <row r="383" spans="1:14" x14ac:dyDescent="0.3">
      <c r="A383" t="s">
        <v>993</v>
      </c>
      <c r="B383" s="1">
        <v>44568</v>
      </c>
      <c r="C383" t="s">
        <v>994</v>
      </c>
      <c r="D383" t="s">
        <v>12</v>
      </c>
      <c r="E383" t="s">
        <v>56</v>
      </c>
      <c r="F383" t="s">
        <v>73</v>
      </c>
      <c r="G383" t="s">
        <v>348</v>
      </c>
      <c r="H383" s="8">
        <v>4512.17</v>
      </c>
      <c r="I383" s="8">
        <v>-1276.5999999999999</v>
      </c>
      <c r="J383" s="8">
        <v>0.23</v>
      </c>
      <c r="K383" t="str">
        <f>IF(SalesData[[#This Row],[Profit]]&gt;0,"Profit","Loss")</f>
        <v>Loss</v>
      </c>
      <c r="L383" s="8">
        <f>SalesData[[#This Row],[Profit]]/SalesData[[#This Row],[Sales]]</f>
        <v>-0.28292373735918636</v>
      </c>
      <c r="M383" t="str">
        <f>TEXT(SalesData[[#This Row],[Order_Date]],"mmm")</f>
        <v>Jan</v>
      </c>
      <c r="N383">
        <f>YEAR(SalesData[[#This Row],[Order_Date]])</f>
        <v>2022</v>
      </c>
    </row>
    <row r="384" spans="1:14" x14ac:dyDescent="0.3">
      <c r="A384" t="s">
        <v>995</v>
      </c>
      <c r="B384" s="1">
        <v>44905</v>
      </c>
      <c r="C384" t="s">
        <v>996</v>
      </c>
      <c r="D384" t="s">
        <v>28</v>
      </c>
      <c r="E384" t="s">
        <v>13</v>
      </c>
      <c r="F384" t="s">
        <v>36</v>
      </c>
      <c r="G384" t="s">
        <v>592</v>
      </c>
      <c r="H384" s="8">
        <v>3216.12</v>
      </c>
      <c r="I384" s="8">
        <v>-1300.0899999999999</v>
      </c>
      <c r="J384" s="8">
        <v>0.21</v>
      </c>
      <c r="K384" t="str">
        <f>IF(SalesData[[#This Row],[Profit]]&gt;0,"Profit","Loss")</f>
        <v>Loss</v>
      </c>
      <c r="L384" s="8">
        <f>SalesData[[#This Row],[Profit]]/SalesData[[#This Row],[Sales]]</f>
        <v>-0.40424175714836508</v>
      </c>
      <c r="M384" t="str">
        <f>TEXT(SalesData[[#This Row],[Order_Date]],"mmm")</f>
        <v>Dec</v>
      </c>
      <c r="N384">
        <f>YEAR(SalesData[[#This Row],[Order_Date]])</f>
        <v>2022</v>
      </c>
    </row>
    <row r="385" spans="1:14" x14ac:dyDescent="0.3">
      <c r="A385" t="s">
        <v>997</v>
      </c>
      <c r="B385" s="1">
        <v>44991</v>
      </c>
      <c r="C385" t="s">
        <v>902</v>
      </c>
      <c r="D385" t="s">
        <v>12</v>
      </c>
      <c r="E385" t="s">
        <v>13</v>
      </c>
      <c r="F385" t="s">
        <v>24</v>
      </c>
      <c r="G385" t="s">
        <v>64</v>
      </c>
      <c r="H385" s="8">
        <v>1606.8</v>
      </c>
      <c r="I385" s="8">
        <v>530.03</v>
      </c>
      <c r="J385" s="8">
        <v>0.06</v>
      </c>
      <c r="K385" t="str">
        <f>IF(SalesData[[#This Row],[Profit]]&gt;0,"Profit","Loss")</f>
        <v>Profit</v>
      </c>
      <c r="L385" s="8">
        <f>SalesData[[#This Row],[Profit]]/SalesData[[#This Row],[Sales]]</f>
        <v>0.32986681603186457</v>
      </c>
      <c r="M385" t="str">
        <f>TEXT(SalesData[[#This Row],[Order_Date]],"mmm")</f>
        <v>Mar</v>
      </c>
      <c r="N385">
        <f>YEAR(SalesData[[#This Row],[Order_Date]])</f>
        <v>2023</v>
      </c>
    </row>
    <row r="386" spans="1:14" x14ac:dyDescent="0.3">
      <c r="A386" t="s">
        <v>998</v>
      </c>
      <c r="B386" s="1">
        <v>45094</v>
      </c>
      <c r="C386" t="s">
        <v>673</v>
      </c>
      <c r="D386" t="s">
        <v>40</v>
      </c>
      <c r="E386" t="s">
        <v>56</v>
      </c>
      <c r="F386" t="s">
        <v>73</v>
      </c>
      <c r="G386" t="s">
        <v>436</v>
      </c>
      <c r="H386" s="8">
        <v>1471.14</v>
      </c>
      <c r="I386" s="8">
        <v>-104.62</v>
      </c>
      <c r="J386" s="8">
        <v>0.01</v>
      </c>
      <c r="K386" t="str">
        <f>IF(SalesData[[#This Row],[Profit]]&gt;0,"Profit","Loss")</f>
        <v>Loss</v>
      </c>
      <c r="L386" s="8">
        <f>SalesData[[#This Row],[Profit]]/SalesData[[#This Row],[Sales]]</f>
        <v>-7.1114917682885373E-2</v>
      </c>
      <c r="M386" t="str">
        <f>TEXT(SalesData[[#This Row],[Order_Date]],"mmm")</f>
        <v>Jun</v>
      </c>
      <c r="N386">
        <f>YEAR(SalesData[[#This Row],[Order_Date]])</f>
        <v>2023</v>
      </c>
    </row>
    <row r="387" spans="1:14" x14ac:dyDescent="0.3">
      <c r="A387" t="s">
        <v>999</v>
      </c>
      <c r="B387" s="1">
        <v>44965</v>
      </c>
      <c r="C387" t="s">
        <v>1000</v>
      </c>
      <c r="D387" t="s">
        <v>12</v>
      </c>
      <c r="E387" t="s">
        <v>13</v>
      </c>
      <c r="F387" t="s">
        <v>14</v>
      </c>
      <c r="G387" t="s">
        <v>1001</v>
      </c>
      <c r="H387" s="8">
        <v>2945.78</v>
      </c>
      <c r="I387" s="8">
        <v>95.24</v>
      </c>
      <c r="J387" s="8">
        <v>0.15</v>
      </c>
      <c r="K387" t="str">
        <f>IF(SalesData[[#This Row],[Profit]]&gt;0,"Profit","Loss")</f>
        <v>Profit</v>
      </c>
      <c r="L387" s="8">
        <f>SalesData[[#This Row],[Profit]]/SalesData[[#This Row],[Sales]]</f>
        <v>3.2330995525803007E-2</v>
      </c>
      <c r="M387" t="str">
        <f>TEXT(SalesData[[#This Row],[Order_Date]],"mmm")</f>
        <v>Feb</v>
      </c>
      <c r="N387">
        <f>YEAR(SalesData[[#This Row],[Order_Date]])</f>
        <v>2023</v>
      </c>
    </row>
    <row r="388" spans="1:14" x14ac:dyDescent="0.3">
      <c r="A388" t="s">
        <v>1002</v>
      </c>
      <c r="B388" s="1">
        <v>44964</v>
      </c>
      <c r="C388" t="s">
        <v>1003</v>
      </c>
      <c r="D388" t="s">
        <v>40</v>
      </c>
      <c r="E388" t="s">
        <v>13</v>
      </c>
      <c r="F388" t="s">
        <v>14</v>
      </c>
      <c r="G388" t="s">
        <v>1004</v>
      </c>
      <c r="H388" s="8">
        <v>1260.18</v>
      </c>
      <c r="I388" s="8">
        <v>-114.67</v>
      </c>
      <c r="J388" s="8">
        <v>0.08</v>
      </c>
      <c r="K388" t="str">
        <f>IF(SalesData[[#This Row],[Profit]]&gt;0,"Profit","Loss")</f>
        <v>Loss</v>
      </c>
      <c r="L388" s="8">
        <f>SalesData[[#This Row],[Profit]]/SalesData[[#This Row],[Sales]]</f>
        <v>-9.0994937231189191E-2</v>
      </c>
      <c r="M388" t="str">
        <f>TEXT(SalesData[[#This Row],[Order_Date]],"mmm")</f>
        <v>Feb</v>
      </c>
      <c r="N388">
        <f>YEAR(SalesData[[#This Row],[Order_Date]])</f>
        <v>2023</v>
      </c>
    </row>
    <row r="389" spans="1:14" x14ac:dyDescent="0.3">
      <c r="A389" t="s">
        <v>1005</v>
      </c>
      <c r="B389" s="1">
        <v>45160</v>
      </c>
      <c r="C389" t="s">
        <v>866</v>
      </c>
      <c r="D389" t="s">
        <v>18</v>
      </c>
      <c r="E389" t="s">
        <v>19</v>
      </c>
      <c r="F389" t="s">
        <v>29</v>
      </c>
      <c r="G389" t="s">
        <v>833</v>
      </c>
      <c r="H389" s="8">
        <v>1244.7</v>
      </c>
      <c r="I389" s="8">
        <v>-495.8</v>
      </c>
      <c r="J389" s="8">
        <v>0.28000000000000003</v>
      </c>
      <c r="K389" t="str">
        <f>IF(SalesData[[#This Row],[Profit]]&gt;0,"Profit","Loss")</f>
        <v>Loss</v>
      </c>
      <c r="L389" s="8">
        <f>SalesData[[#This Row],[Profit]]/SalesData[[#This Row],[Sales]]</f>
        <v>-0.39832891459789505</v>
      </c>
      <c r="M389" t="str">
        <f>TEXT(SalesData[[#This Row],[Order_Date]],"mmm")</f>
        <v>Aug</v>
      </c>
      <c r="N389">
        <f>YEAR(SalesData[[#This Row],[Order_Date]])</f>
        <v>2023</v>
      </c>
    </row>
    <row r="390" spans="1:14" x14ac:dyDescent="0.3">
      <c r="A390" t="s">
        <v>1006</v>
      </c>
      <c r="B390" s="1">
        <v>44774</v>
      </c>
      <c r="C390" t="s">
        <v>602</v>
      </c>
      <c r="D390" t="s">
        <v>40</v>
      </c>
      <c r="E390" t="s">
        <v>56</v>
      </c>
      <c r="F390" t="s">
        <v>95</v>
      </c>
      <c r="G390" t="s">
        <v>1007</v>
      </c>
      <c r="H390" s="8">
        <v>2383.67</v>
      </c>
      <c r="I390" s="8">
        <v>3.71</v>
      </c>
      <c r="J390" s="8">
        <v>0.12</v>
      </c>
      <c r="K390" t="str">
        <f>IF(SalesData[[#This Row],[Profit]]&gt;0,"Profit","Loss")</f>
        <v>Profit</v>
      </c>
      <c r="L390" s="8">
        <f>SalesData[[#This Row],[Profit]]/SalesData[[#This Row],[Sales]]</f>
        <v>1.5564234982191325E-3</v>
      </c>
      <c r="M390" t="str">
        <f>TEXT(SalesData[[#This Row],[Order_Date]],"mmm")</f>
        <v>Aug</v>
      </c>
      <c r="N390">
        <f>YEAR(SalesData[[#This Row],[Order_Date]])</f>
        <v>2022</v>
      </c>
    </row>
    <row r="391" spans="1:14" x14ac:dyDescent="0.3">
      <c r="A391" t="s">
        <v>1008</v>
      </c>
      <c r="B391" s="1">
        <v>45283</v>
      </c>
      <c r="C391" t="s">
        <v>113</v>
      </c>
      <c r="D391" t="s">
        <v>12</v>
      </c>
      <c r="E391" t="s">
        <v>19</v>
      </c>
      <c r="F391" t="s">
        <v>20</v>
      </c>
      <c r="G391" t="s">
        <v>1009</v>
      </c>
      <c r="H391" s="8">
        <v>543.05999999999995</v>
      </c>
      <c r="I391" s="8">
        <v>-139.82</v>
      </c>
      <c r="J391" s="8">
        <v>0.24</v>
      </c>
      <c r="K391" t="str">
        <f>IF(SalesData[[#This Row],[Profit]]&gt;0,"Profit","Loss")</f>
        <v>Loss</v>
      </c>
      <c r="L391" s="8">
        <f>SalesData[[#This Row],[Profit]]/SalesData[[#This Row],[Sales]]</f>
        <v>-0.25746694656207419</v>
      </c>
      <c r="M391" t="str">
        <f>TEXT(SalesData[[#This Row],[Order_Date]],"mmm")</f>
        <v>Dec</v>
      </c>
      <c r="N391">
        <f>YEAR(SalesData[[#This Row],[Order_Date]])</f>
        <v>2023</v>
      </c>
    </row>
    <row r="392" spans="1:14" x14ac:dyDescent="0.3">
      <c r="A392" t="s">
        <v>1010</v>
      </c>
      <c r="B392" s="1">
        <v>45087</v>
      </c>
      <c r="C392" t="s">
        <v>470</v>
      </c>
      <c r="D392" t="s">
        <v>40</v>
      </c>
      <c r="E392" t="s">
        <v>19</v>
      </c>
      <c r="F392" t="s">
        <v>20</v>
      </c>
      <c r="G392" t="s">
        <v>1011</v>
      </c>
      <c r="H392" s="8">
        <v>546.94000000000005</v>
      </c>
      <c r="I392" s="8">
        <v>-30.93</v>
      </c>
      <c r="J392" s="8">
        <v>7.0000000000000007E-2</v>
      </c>
      <c r="K392" t="str">
        <f>IF(SalesData[[#This Row],[Profit]]&gt;0,"Profit","Loss")</f>
        <v>Loss</v>
      </c>
      <c r="L392" s="8">
        <f>SalesData[[#This Row],[Profit]]/SalesData[[#This Row],[Sales]]</f>
        <v>-5.6550992796284776E-2</v>
      </c>
      <c r="M392" t="str">
        <f>TEXT(SalesData[[#This Row],[Order_Date]],"mmm")</f>
        <v>Jun</v>
      </c>
      <c r="N392">
        <f>YEAR(SalesData[[#This Row],[Order_Date]])</f>
        <v>2023</v>
      </c>
    </row>
    <row r="393" spans="1:14" x14ac:dyDescent="0.3">
      <c r="A393" t="s">
        <v>1012</v>
      </c>
      <c r="B393" s="1">
        <v>45125</v>
      </c>
      <c r="C393" t="s">
        <v>1013</v>
      </c>
      <c r="D393" t="s">
        <v>12</v>
      </c>
      <c r="E393" t="s">
        <v>56</v>
      </c>
      <c r="F393" t="s">
        <v>57</v>
      </c>
      <c r="G393" t="s">
        <v>510</v>
      </c>
      <c r="H393" s="8">
        <v>4765.2700000000004</v>
      </c>
      <c r="I393" s="8">
        <v>-602.46</v>
      </c>
      <c r="J393" s="8">
        <v>0.26</v>
      </c>
      <c r="K393" t="str">
        <f>IF(SalesData[[#This Row],[Profit]]&gt;0,"Profit","Loss")</f>
        <v>Loss</v>
      </c>
      <c r="L393" s="8">
        <f>SalesData[[#This Row],[Profit]]/SalesData[[#This Row],[Sales]]</f>
        <v>-0.12642725385969736</v>
      </c>
      <c r="M393" t="str">
        <f>TEXT(SalesData[[#This Row],[Order_Date]],"mmm")</f>
        <v>Jul</v>
      </c>
      <c r="N393">
        <f>YEAR(SalesData[[#This Row],[Order_Date]])</f>
        <v>2023</v>
      </c>
    </row>
    <row r="394" spans="1:14" x14ac:dyDescent="0.3">
      <c r="A394" t="s">
        <v>1014</v>
      </c>
      <c r="B394" s="1">
        <v>44789</v>
      </c>
      <c r="C394" t="s">
        <v>1015</v>
      </c>
      <c r="D394" t="s">
        <v>18</v>
      </c>
      <c r="E394" t="s">
        <v>56</v>
      </c>
      <c r="F394" t="s">
        <v>57</v>
      </c>
      <c r="G394" t="s">
        <v>1016</v>
      </c>
      <c r="H394" s="8">
        <v>695.12</v>
      </c>
      <c r="I394" s="8">
        <v>172.79</v>
      </c>
      <c r="J394" s="8">
        <v>0.02</v>
      </c>
      <c r="K394" t="str">
        <f>IF(SalesData[[#This Row],[Profit]]&gt;0,"Profit","Loss")</f>
        <v>Profit</v>
      </c>
      <c r="L394" s="8">
        <f>SalesData[[#This Row],[Profit]]/SalesData[[#This Row],[Sales]]</f>
        <v>0.24857578547588904</v>
      </c>
      <c r="M394" t="str">
        <f>TEXT(SalesData[[#This Row],[Order_Date]],"mmm")</f>
        <v>Aug</v>
      </c>
      <c r="N394">
        <f>YEAR(SalesData[[#This Row],[Order_Date]])</f>
        <v>2022</v>
      </c>
    </row>
    <row r="395" spans="1:14" x14ac:dyDescent="0.3">
      <c r="A395" t="s">
        <v>1017</v>
      </c>
      <c r="B395" s="1">
        <v>45162</v>
      </c>
      <c r="C395" t="s">
        <v>1018</v>
      </c>
      <c r="D395" t="s">
        <v>12</v>
      </c>
      <c r="E395" t="s">
        <v>19</v>
      </c>
      <c r="F395" t="s">
        <v>29</v>
      </c>
      <c r="G395" t="s">
        <v>1019</v>
      </c>
      <c r="H395" s="8">
        <v>3462.8</v>
      </c>
      <c r="I395" s="8">
        <v>-1487.54</v>
      </c>
      <c r="J395" s="8">
        <v>0.28000000000000003</v>
      </c>
      <c r="K395" t="str">
        <f>IF(SalesData[[#This Row],[Profit]]&gt;0,"Profit","Loss")</f>
        <v>Loss</v>
      </c>
      <c r="L395" s="8">
        <f>SalesData[[#This Row],[Profit]]/SalesData[[#This Row],[Sales]]</f>
        <v>-0.4295772207462169</v>
      </c>
      <c r="M395" t="str">
        <f>TEXT(SalesData[[#This Row],[Order_Date]],"mmm")</f>
        <v>Aug</v>
      </c>
      <c r="N395">
        <f>YEAR(SalesData[[#This Row],[Order_Date]])</f>
        <v>2023</v>
      </c>
    </row>
    <row r="396" spans="1:14" x14ac:dyDescent="0.3">
      <c r="A396" t="s">
        <v>1020</v>
      </c>
      <c r="B396" s="1">
        <v>44901</v>
      </c>
      <c r="C396" t="s">
        <v>1021</v>
      </c>
      <c r="D396" t="s">
        <v>12</v>
      </c>
      <c r="E396" t="s">
        <v>56</v>
      </c>
      <c r="F396" t="s">
        <v>57</v>
      </c>
      <c r="G396" t="s">
        <v>244</v>
      </c>
      <c r="H396" s="8">
        <v>4522.2299999999996</v>
      </c>
      <c r="I396" s="8">
        <v>-1142.8800000000001</v>
      </c>
      <c r="J396" s="8">
        <v>0.13</v>
      </c>
      <c r="K396" t="str">
        <f>IF(SalesData[[#This Row],[Profit]]&gt;0,"Profit","Loss")</f>
        <v>Loss</v>
      </c>
      <c r="L396" s="8">
        <f>SalesData[[#This Row],[Profit]]/SalesData[[#This Row],[Sales]]</f>
        <v>-0.25272487246336434</v>
      </c>
      <c r="M396" t="str">
        <f>TEXT(SalesData[[#This Row],[Order_Date]],"mmm")</f>
        <v>Dec</v>
      </c>
      <c r="N396">
        <f>YEAR(SalesData[[#This Row],[Order_Date]])</f>
        <v>2022</v>
      </c>
    </row>
    <row r="397" spans="1:14" x14ac:dyDescent="0.3">
      <c r="A397" t="s">
        <v>1022</v>
      </c>
      <c r="B397" s="1">
        <v>44966</v>
      </c>
      <c r="C397" t="s">
        <v>1023</v>
      </c>
      <c r="D397" t="s">
        <v>12</v>
      </c>
      <c r="E397" t="s">
        <v>19</v>
      </c>
      <c r="F397" t="s">
        <v>20</v>
      </c>
      <c r="G397" t="s">
        <v>441</v>
      </c>
      <c r="H397" s="8">
        <v>923.15</v>
      </c>
      <c r="I397" s="8">
        <v>113.56</v>
      </c>
      <c r="J397" s="8">
        <v>0.17</v>
      </c>
      <c r="K397" t="str">
        <f>IF(SalesData[[#This Row],[Profit]]&gt;0,"Profit","Loss")</f>
        <v>Profit</v>
      </c>
      <c r="L397" s="8">
        <f>SalesData[[#This Row],[Profit]]/SalesData[[#This Row],[Sales]]</f>
        <v>0.12301359475708173</v>
      </c>
      <c r="M397" t="str">
        <f>TEXT(SalesData[[#This Row],[Order_Date]],"mmm")</f>
        <v>Feb</v>
      </c>
      <c r="N397">
        <f>YEAR(SalesData[[#This Row],[Order_Date]])</f>
        <v>2023</v>
      </c>
    </row>
    <row r="398" spans="1:14" x14ac:dyDescent="0.3">
      <c r="A398" t="s">
        <v>1024</v>
      </c>
      <c r="B398" s="1">
        <v>44848</v>
      </c>
      <c r="C398" t="s">
        <v>207</v>
      </c>
      <c r="D398" t="s">
        <v>18</v>
      </c>
      <c r="E398" t="s">
        <v>13</v>
      </c>
      <c r="F398" t="s">
        <v>36</v>
      </c>
      <c r="G398" t="s">
        <v>1025</v>
      </c>
      <c r="H398" s="8">
        <v>946.76</v>
      </c>
      <c r="I398" s="8">
        <v>-139.85</v>
      </c>
      <c r="J398" s="8">
        <v>0.06</v>
      </c>
      <c r="K398" t="str">
        <f>IF(SalesData[[#This Row],[Profit]]&gt;0,"Profit","Loss")</f>
        <v>Loss</v>
      </c>
      <c r="L398" s="8">
        <f>SalesData[[#This Row],[Profit]]/SalesData[[#This Row],[Sales]]</f>
        <v>-0.14771430985677467</v>
      </c>
      <c r="M398" t="str">
        <f>TEXT(SalesData[[#This Row],[Order_Date]],"mmm")</f>
        <v>Oct</v>
      </c>
      <c r="N398">
        <f>YEAR(SalesData[[#This Row],[Order_Date]])</f>
        <v>2022</v>
      </c>
    </row>
    <row r="399" spans="1:14" x14ac:dyDescent="0.3">
      <c r="A399" t="s">
        <v>1026</v>
      </c>
      <c r="B399" s="1">
        <v>45125</v>
      </c>
      <c r="C399" t="s">
        <v>779</v>
      </c>
      <c r="D399" t="s">
        <v>12</v>
      </c>
      <c r="E399" t="s">
        <v>13</v>
      </c>
      <c r="F399" t="s">
        <v>24</v>
      </c>
      <c r="G399" t="s">
        <v>1027</v>
      </c>
      <c r="H399" s="8">
        <v>3123.19</v>
      </c>
      <c r="I399" s="8">
        <v>-283.16000000000003</v>
      </c>
      <c r="J399" s="8">
        <v>0.19</v>
      </c>
      <c r="K399" t="str">
        <f>IF(SalesData[[#This Row],[Profit]]&gt;0,"Profit","Loss")</f>
        <v>Loss</v>
      </c>
      <c r="L399" s="8">
        <f>SalesData[[#This Row],[Profit]]/SalesData[[#This Row],[Sales]]</f>
        <v>-9.0663712422234963E-2</v>
      </c>
      <c r="M399" t="str">
        <f>TEXT(SalesData[[#This Row],[Order_Date]],"mmm")</f>
        <v>Jul</v>
      </c>
      <c r="N399">
        <f>YEAR(SalesData[[#This Row],[Order_Date]])</f>
        <v>2023</v>
      </c>
    </row>
    <row r="400" spans="1:14" x14ac:dyDescent="0.3">
      <c r="A400" t="s">
        <v>1028</v>
      </c>
      <c r="B400" s="1">
        <v>45100</v>
      </c>
      <c r="C400" t="s">
        <v>1013</v>
      </c>
      <c r="D400" t="s">
        <v>12</v>
      </c>
      <c r="E400" t="s">
        <v>19</v>
      </c>
      <c r="F400" t="s">
        <v>29</v>
      </c>
      <c r="G400" t="s">
        <v>441</v>
      </c>
      <c r="H400" s="8">
        <v>772.46</v>
      </c>
      <c r="I400" s="8">
        <v>209.18</v>
      </c>
      <c r="J400" s="8">
        <v>0.06</v>
      </c>
      <c r="K400" t="str">
        <f>IF(SalesData[[#This Row],[Profit]]&gt;0,"Profit","Loss")</f>
        <v>Profit</v>
      </c>
      <c r="L400" s="8">
        <f>SalesData[[#This Row],[Profit]]/SalesData[[#This Row],[Sales]]</f>
        <v>0.27079719338218161</v>
      </c>
      <c r="M400" t="str">
        <f>TEXT(SalesData[[#This Row],[Order_Date]],"mmm")</f>
        <v>Jun</v>
      </c>
      <c r="N400">
        <f>YEAR(SalesData[[#This Row],[Order_Date]])</f>
        <v>2023</v>
      </c>
    </row>
    <row r="401" spans="1:14" x14ac:dyDescent="0.3">
      <c r="A401" t="s">
        <v>1029</v>
      </c>
      <c r="B401" s="1">
        <v>45141</v>
      </c>
      <c r="C401" t="s">
        <v>547</v>
      </c>
      <c r="D401" t="s">
        <v>40</v>
      </c>
      <c r="E401" t="s">
        <v>13</v>
      </c>
      <c r="F401" t="s">
        <v>36</v>
      </c>
      <c r="G401" t="s">
        <v>1030</v>
      </c>
      <c r="H401" s="8">
        <v>2450.4499999999998</v>
      </c>
      <c r="I401" s="8">
        <v>-547.87</v>
      </c>
      <c r="J401" s="8">
        <v>0.23</v>
      </c>
      <c r="K401" t="str">
        <f>IF(SalesData[[#This Row],[Profit]]&gt;0,"Profit","Loss")</f>
        <v>Loss</v>
      </c>
      <c r="L401" s="8">
        <f>SalesData[[#This Row],[Profit]]/SalesData[[#This Row],[Sales]]</f>
        <v>-0.22357934256973211</v>
      </c>
      <c r="M401" t="str">
        <f>TEXT(SalesData[[#This Row],[Order_Date]],"mmm")</f>
        <v>Aug</v>
      </c>
      <c r="N401">
        <f>YEAR(SalesData[[#This Row],[Order_Date]])</f>
        <v>2023</v>
      </c>
    </row>
    <row r="402" spans="1:14" x14ac:dyDescent="0.3">
      <c r="A402" t="s">
        <v>1031</v>
      </c>
      <c r="B402" s="1">
        <v>44849</v>
      </c>
      <c r="C402" t="s">
        <v>1032</v>
      </c>
      <c r="D402" t="s">
        <v>28</v>
      </c>
      <c r="E402" t="s">
        <v>19</v>
      </c>
      <c r="F402" t="s">
        <v>20</v>
      </c>
      <c r="G402" t="s">
        <v>1033</v>
      </c>
      <c r="H402" s="8">
        <v>227.71</v>
      </c>
      <c r="I402" s="8">
        <v>-82.53</v>
      </c>
      <c r="J402" s="8">
        <v>0.18</v>
      </c>
      <c r="K402" t="str">
        <f>IF(SalesData[[#This Row],[Profit]]&gt;0,"Profit","Loss")</f>
        <v>Loss</v>
      </c>
      <c r="L402" s="8">
        <f>SalesData[[#This Row],[Profit]]/SalesData[[#This Row],[Sales]]</f>
        <v>-0.36243467568398402</v>
      </c>
      <c r="M402" t="str">
        <f>TEXT(SalesData[[#This Row],[Order_Date]],"mmm")</f>
        <v>Oct</v>
      </c>
      <c r="N402">
        <f>YEAR(SalesData[[#This Row],[Order_Date]])</f>
        <v>2022</v>
      </c>
    </row>
    <row r="403" spans="1:14" x14ac:dyDescent="0.3">
      <c r="A403" t="s">
        <v>1034</v>
      </c>
      <c r="B403" s="1">
        <v>45234</v>
      </c>
      <c r="C403" t="s">
        <v>567</v>
      </c>
      <c r="D403" t="s">
        <v>40</v>
      </c>
      <c r="E403" t="s">
        <v>19</v>
      </c>
      <c r="F403" t="s">
        <v>141</v>
      </c>
      <c r="G403" t="s">
        <v>1035</v>
      </c>
      <c r="H403" s="8">
        <v>4998.07</v>
      </c>
      <c r="I403" s="8">
        <v>-2148.77</v>
      </c>
      <c r="J403" s="8">
        <v>0.28999999999999998</v>
      </c>
      <c r="K403" t="str">
        <f>IF(SalesData[[#This Row],[Profit]]&gt;0,"Profit","Loss")</f>
        <v>Loss</v>
      </c>
      <c r="L403" s="8">
        <f>SalesData[[#This Row],[Profit]]/SalesData[[#This Row],[Sales]]</f>
        <v>-0.42991994910035275</v>
      </c>
      <c r="M403" t="str">
        <f>TEXT(SalesData[[#This Row],[Order_Date]],"mmm")</f>
        <v>Nov</v>
      </c>
      <c r="N403">
        <f>YEAR(SalesData[[#This Row],[Order_Date]])</f>
        <v>2023</v>
      </c>
    </row>
    <row r="404" spans="1:14" x14ac:dyDescent="0.3">
      <c r="A404" t="s">
        <v>1036</v>
      </c>
      <c r="B404" s="1">
        <v>44959</v>
      </c>
      <c r="C404" t="s">
        <v>1037</v>
      </c>
      <c r="D404" t="s">
        <v>18</v>
      </c>
      <c r="E404" t="s">
        <v>13</v>
      </c>
      <c r="F404" t="s">
        <v>14</v>
      </c>
      <c r="G404" t="s">
        <v>1038</v>
      </c>
      <c r="H404" s="8">
        <v>3843.84</v>
      </c>
      <c r="I404" s="8">
        <v>-517.32000000000005</v>
      </c>
      <c r="J404" s="8">
        <v>0.28000000000000003</v>
      </c>
      <c r="K404" t="str">
        <f>IF(SalesData[[#This Row],[Profit]]&gt;0,"Profit","Loss")</f>
        <v>Loss</v>
      </c>
      <c r="L404" s="8">
        <f>SalesData[[#This Row],[Profit]]/SalesData[[#This Row],[Sales]]</f>
        <v>-0.13458416583416585</v>
      </c>
      <c r="M404" t="str">
        <f>TEXT(SalesData[[#This Row],[Order_Date]],"mmm")</f>
        <v>Feb</v>
      </c>
      <c r="N404">
        <f>YEAR(SalesData[[#This Row],[Order_Date]])</f>
        <v>2023</v>
      </c>
    </row>
    <row r="405" spans="1:14" x14ac:dyDescent="0.3">
      <c r="A405" t="s">
        <v>1039</v>
      </c>
      <c r="B405" s="1">
        <v>45167</v>
      </c>
      <c r="C405" t="s">
        <v>1040</v>
      </c>
      <c r="D405" t="s">
        <v>40</v>
      </c>
      <c r="E405" t="s">
        <v>56</v>
      </c>
      <c r="F405" t="s">
        <v>73</v>
      </c>
      <c r="G405" t="s">
        <v>291</v>
      </c>
      <c r="H405" s="8">
        <v>1658.22</v>
      </c>
      <c r="I405" s="8">
        <v>-339.49</v>
      </c>
      <c r="J405" s="8">
        <v>0.22</v>
      </c>
      <c r="K405" t="str">
        <f>IF(SalesData[[#This Row],[Profit]]&gt;0,"Profit","Loss")</f>
        <v>Loss</v>
      </c>
      <c r="L405" s="8">
        <f>SalesData[[#This Row],[Profit]]/SalesData[[#This Row],[Sales]]</f>
        <v>-0.20473157964564412</v>
      </c>
      <c r="M405" t="str">
        <f>TEXT(SalesData[[#This Row],[Order_Date]],"mmm")</f>
        <v>Aug</v>
      </c>
      <c r="N405">
        <f>YEAR(SalesData[[#This Row],[Order_Date]])</f>
        <v>2023</v>
      </c>
    </row>
    <row r="406" spans="1:14" x14ac:dyDescent="0.3">
      <c r="A406" t="s">
        <v>1041</v>
      </c>
      <c r="B406" s="1">
        <v>45066</v>
      </c>
      <c r="C406" t="s">
        <v>1042</v>
      </c>
      <c r="D406" t="s">
        <v>40</v>
      </c>
      <c r="E406" t="s">
        <v>13</v>
      </c>
      <c r="F406" t="s">
        <v>24</v>
      </c>
      <c r="G406" t="s">
        <v>711</v>
      </c>
      <c r="H406" s="8">
        <v>796.3</v>
      </c>
      <c r="I406" s="8">
        <v>17.53</v>
      </c>
      <c r="J406" s="8">
        <v>0.28000000000000003</v>
      </c>
      <c r="K406" t="str">
        <f>IF(SalesData[[#This Row],[Profit]]&gt;0,"Profit","Loss")</f>
        <v>Profit</v>
      </c>
      <c r="L406" s="8">
        <f>SalesData[[#This Row],[Profit]]/SalesData[[#This Row],[Sales]]</f>
        <v>2.2014316212482735E-2</v>
      </c>
      <c r="M406" t="str">
        <f>TEXT(SalesData[[#This Row],[Order_Date]],"mmm")</f>
        <v>May</v>
      </c>
      <c r="N406">
        <f>YEAR(SalesData[[#This Row],[Order_Date]])</f>
        <v>2023</v>
      </c>
    </row>
    <row r="407" spans="1:14" x14ac:dyDescent="0.3">
      <c r="A407" t="s">
        <v>1043</v>
      </c>
      <c r="B407" s="1">
        <v>45101</v>
      </c>
      <c r="C407" t="s">
        <v>281</v>
      </c>
      <c r="D407" t="s">
        <v>12</v>
      </c>
      <c r="E407" t="s">
        <v>19</v>
      </c>
      <c r="F407" t="s">
        <v>20</v>
      </c>
      <c r="G407" t="s">
        <v>1044</v>
      </c>
      <c r="H407" s="8">
        <v>542.26</v>
      </c>
      <c r="I407" s="8">
        <v>-75.22</v>
      </c>
      <c r="J407" s="8">
        <v>7.0000000000000007E-2</v>
      </c>
      <c r="K407" t="str">
        <f>IF(SalesData[[#This Row],[Profit]]&gt;0,"Profit","Loss")</f>
        <v>Loss</v>
      </c>
      <c r="L407" s="8">
        <f>SalesData[[#This Row],[Profit]]/SalesData[[#This Row],[Sales]]</f>
        <v>-0.13871574521447277</v>
      </c>
      <c r="M407" t="str">
        <f>TEXT(SalesData[[#This Row],[Order_Date]],"mmm")</f>
        <v>Jun</v>
      </c>
      <c r="N407">
        <f>YEAR(SalesData[[#This Row],[Order_Date]])</f>
        <v>2023</v>
      </c>
    </row>
    <row r="408" spans="1:14" x14ac:dyDescent="0.3">
      <c r="A408" t="s">
        <v>1045</v>
      </c>
      <c r="B408" s="1">
        <v>44893</v>
      </c>
      <c r="C408" t="s">
        <v>110</v>
      </c>
      <c r="D408" t="s">
        <v>12</v>
      </c>
      <c r="E408" t="s">
        <v>13</v>
      </c>
      <c r="F408" t="s">
        <v>14</v>
      </c>
      <c r="G408" t="s">
        <v>1046</v>
      </c>
      <c r="H408" s="8">
        <v>4051.58</v>
      </c>
      <c r="I408" s="8">
        <v>-784.08</v>
      </c>
      <c r="J408" s="8">
        <v>0.1</v>
      </c>
      <c r="K408" t="str">
        <f>IF(SalesData[[#This Row],[Profit]]&gt;0,"Profit","Loss")</f>
        <v>Loss</v>
      </c>
      <c r="L408" s="8">
        <f>SalesData[[#This Row],[Profit]]/SalesData[[#This Row],[Sales]]</f>
        <v>-0.19352450155248077</v>
      </c>
      <c r="M408" t="str">
        <f>TEXT(SalesData[[#This Row],[Order_Date]],"mmm")</f>
        <v>Nov</v>
      </c>
      <c r="N408">
        <f>YEAR(SalesData[[#This Row],[Order_Date]])</f>
        <v>2022</v>
      </c>
    </row>
    <row r="409" spans="1:14" x14ac:dyDescent="0.3">
      <c r="A409" t="s">
        <v>1047</v>
      </c>
      <c r="B409" s="1">
        <v>44935</v>
      </c>
      <c r="C409" t="s">
        <v>634</v>
      </c>
      <c r="D409" t="s">
        <v>40</v>
      </c>
      <c r="E409" t="s">
        <v>13</v>
      </c>
      <c r="F409" t="s">
        <v>24</v>
      </c>
      <c r="G409" t="s">
        <v>682</v>
      </c>
      <c r="H409" s="8">
        <v>4594.3999999999996</v>
      </c>
      <c r="I409" s="8">
        <v>357.85</v>
      </c>
      <c r="J409" s="8">
        <v>0.23</v>
      </c>
      <c r="K409" t="str">
        <f>IF(SalesData[[#This Row],[Profit]]&gt;0,"Profit","Loss")</f>
        <v>Profit</v>
      </c>
      <c r="L409" s="8">
        <f>SalesData[[#This Row],[Profit]]/SalesData[[#This Row],[Sales]]</f>
        <v>7.7888298798537356E-2</v>
      </c>
      <c r="M409" t="str">
        <f>TEXT(SalesData[[#This Row],[Order_Date]],"mmm")</f>
        <v>Jan</v>
      </c>
      <c r="N409">
        <f>YEAR(SalesData[[#This Row],[Order_Date]])</f>
        <v>2023</v>
      </c>
    </row>
    <row r="410" spans="1:14" x14ac:dyDescent="0.3">
      <c r="A410" t="s">
        <v>1048</v>
      </c>
      <c r="B410" s="1">
        <v>44723</v>
      </c>
      <c r="C410" t="s">
        <v>1049</v>
      </c>
      <c r="D410" t="s">
        <v>28</v>
      </c>
      <c r="E410" t="s">
        <v>13</v>
      </c>
      <c r="F410" t="s">
        <v>36</v>
      </c>
      <c r="G410" t="s">
        <v>61</v>
      </c>
      <c r="H410" s="8">
        <v>2971.48</v>
      </c>
      <c r="I410" s="8">
        <v>-316.27999999999997</v>
      </c>
      <c r="J410" s="8">
        <v>0.1</v>
      </c>
      <c r="K410" t="str">
        <f>IF(SalesData[[#This Row],[Profit]]&gt;0,"Profit","Loss")</f>
        <v>Loss</v>
      </c>
      <c r="L410" s="8">
        <f>SalesData[[#This Row],[Profit]]/SalesData[[#This Row],[Sales]]</f>
        <v>-0.10643854240984289</v>
      </c>
      <c r="M410" t="str">
        <f>TEXT(SalesData[[#This Row],[Order_Date]],"mmm")</f>
        <v>Jun</v>
      </c>
      <c r="N410">
        <f>YEAR(SalesData[[#This Row],[Order_Date]])</f>
        <v>2022</v>
      </c>
    </row>
    <row r="411" spans="1:14" x14ac:dyDescent="0.3">
      <c r="A411" t="s">
        <v>1050</v>
      </c>
      <c r="B411" s="1">
        <v>45272</v>
      </c>
      <c r="C411" t="s">
        <v>459</v>
      </c>
      <c r="D411" t="s">
        <v>40</v>
      </c>
      <c r="E411" t="s">
        <v>13</v>
      </c>
      <c r="F411" t="s">
        <v>36</v>
      </c>
      <c r="G411" t="s">
        <v>984</v>
      </c>
      <c r="H411" s="8">
        <v>3280.98</v>
      </c>
      <c r="I411" s="8">
        <v>1086.81</v>
      </c>
      <c r="J411" s="8">
        <v>0.05</v>
      </c>
      <c r="K411" t="str">
        <f>IF(SalesData[[#This Row],[Profit]]&gt;0,"Profit","Loss")</f>
        <v>Profit</v>
      </c>
      <c r="L411" s="8">
        <f>SalesData[[#This Row],[Profit]]/SalesData[[#This Row],[Sales]]</f>
        <v>0.33124554249035348</v>
      </c>
      <c r="M411" t="str">
        <f>TEXT(SalesData[[#This Row],[Order_Date]],"mmm")</f>
        <v>Dec</v>
      </c>
      <c r="N411">
        <f>YEAR(SalesData[[#This Row],[Order_Date]])</f>
        <v>2023</v>
      </c>
    </row>
    <row r="412" spans="1:14" x14ac:dyDescent="0.3">
      <c r="A412" t="s">
        <v>1051</v>
      </c>
      <c r="B412" s="1">
        <v>44863</v>
      </c>
      <c r="C412" t="s">
        <v>527</v>
      </c>
      <c r="D412" t="s">
        <v>18</v>
      </c>
      <c r="E412" t="s">
        <v>13</v>
      </c>
      <c r="F412" t="s">
        <v>24</v>
      </c>
      <c r="G412" t="s">
        <v>966</v>
      </c>
      <c r="H412" s="8">
        <v>4090.83</v>
      </c>
      <c r="I412" s="8">
        <v>533.42999999999995</v>
      </c>
      <c r="J412" s="8">
        <v>0.11</v>
      </c>
      <c r="K412" t="str">
        <f>IF(SalesData[[#This Row],[Profit]]&gt;0,"Profit","Loss")</f>
        <v>Profit</v>
      </c>
      <c r="L412" s="8">
        <f>SalesData[[#This Row],[Profit]]/SalesData[[#This Row],[Sales]]</f>
        <v>0.13039652099940599</v>
      </c>
      <c r="M412" t="str">
        <f>TEXT(SalesData[[#This Row],[Order_Date]],"mmm")</f>
        <v>Oct</v>
      </c>
      <c r="N412">
        <f>YEAR(SalesData[[#This Row],[Order_Date]])</f>
        <v>2022</v>
      </c>
    </row>
    <row r="413" spans="1:14" x14ac:dyDescent="0.3">
      <c r="A413" t="s">
        <v>1052</v>
      </c>
      <c r="B413" s="1">
        <v>45143</v>
      </c>
      <c r="C413" t="s">
        <v>910</v>
      </c>
      <c r="D413" t="s">
        <v>18</v>
      </c>
      <c r="E413" t="s">
        <v>56</v>
      </c>
      <c r="F413" t="s">
        <v>73</v>
      </c>
      <c r="G413" t="s">
        <v>1053</v>
      </c>
      <c r="H413" s="8">
        <v>4748.62</v>
      </c>
      <c r="I413" s="8">
        <v>1313.33</v>
      </c>
      <c r="J413" s="8">
        <v>0.12</v>
      </c>
      <c r="K413" t="str">
        <f>IF(SalesData[[#This Row],[Profit]]&gt;0,"Profit","Loss")</f>
        <v>Profit</v>
      </c>
      <c r="L413" s="8">
        <f>SalesData[[#This Row],[Profit]]/SalesData[[#This Row],[Sales]]</f>
        <v>0.27657087743386499</v>
      </c>
      <c r="M413" t="str">
        <f>TEXT(SalesData[[#This Row],[Order_Date]],"mmm")</f>
        <v>Aug</v>
      </c>
      <c r="N413">
        <f>YEAR(SalesData[[#This Row],[Order_Date]])</f>
        <v>2023</v>
      </c>
    </row>
    <row r="414" spans="1:14" x14ac:dyDescent="0.3">
      <c r="A414" t="s">
        <v>1054</v>
      </c>
      <c r="B414" s="1">
        <v>44706</v>
      </c>
      <c r="C414" t="s">
        <v>1055</v>
      </c>
      <c r="D414" t="s">
        <v>12</v>
      </c>
      <c r="E414" t="s">
        <v>19</v>
      </c>
      <c r="F414" t="s">
        <v>141</v>
      </c>
      <c r="G414" t="s">
        <v>1056</v>
      </c>
      <c r="H414" s="8">
        <v>1182.3900000000001</v>
      </c>
      <c r="I414" s="8">
        <v>227.03</v>
      </c>
      <c r="J414" s="8">
        <v>0.17</v>
      </c>
      <c r="K414" t="str">
        <f>IF(SalesData[[#This Row],[Profit]]&gt;0,"Profit","Loss")</f>
        <v>Profit</v>
      </c>
      <c r="L414" s="8">
        <f>SalesData[[#This Row],[Profit]]/SalesData[[#This Row],[Sales]]</f>
        <v>0.1920094046803508</v>
      </c>
      <c r="M414" t="str">
        <f>TEXT(SalesData[[#This Row],[Order_Date]],"mmm")</f>
        <v>May</v>
      </c>
      <c r="N414">
        <f>YEAR(SalesData[[#This Row],[Order_Date]])</f>
        <v>2022</v>
      </c>
    </row>
    <row r="415" spans="1:14" x14ac:dyDescent="0.3">
      <c r="A415" t="s">
        <v>1057</v>
      </c>
      <c r="B415" s="1">
        <v>45287</v>
      </c>
      <c r="C415" t="s">
        <v>1058</v>
      </c>
      <c r="D415" t="s">
        <v>40</v>
      </c>
      <c r="E415" t="s">
        <v>19</v>
      </c>
      <c r="F415" t="s">
        <v>29</v>
      </c>
      <c r="G415" t="s">
        <v>872</v>
      </c>
      <c r="H415" s="8">
        <v>922.65</v>
      </c>
      <c r="I415" s="8">
        <v>-384.53</v>
      </c>
      <c r="J415" s="8">
        <v>0.27</v>
      </c>
      <c r="K415" t="str">
        <f>IF(SalesData[[#This Row],[Profit]]&gt;0,"Profit","Loss")</f>
        <v>Loss</v>
      </c>
      <c r="L415" s="8">
        <f>SalesData[[#This Row],[Profit]]/SalesData[[#This Row],[Sales]]</f>
        <v>-0.41676692136779925</v>
      </c>
      <c r="M415" t="str">
        <f>TEXT(SalesData[[#This Row],[Order_Date]],"mmm")</f>
        <v>Dec</v>
      </c>
      <c r="N415">
        <f>YEAR(SalesData[[#This Row],[Order_Date]])</f>
        <v>2023</v>
      </c>
    </row>
    <row r="416" spans="1:14" x14ac:dyDescent="0.3">
      <c r="A416" t="s">
        <v>1059</v>
      </c>
      <c r="B416" s="1">
        <v>44672</v>
      </c>
      <c r="C416" t="s">
        <v>626</v>
      </c>
      <c r="D416" t="s">
        <v>12</v>
      </c>
      <c r="E416" t="s">
        <v>56</v>
      </c>
      <c r="F416" t="s">
        <v>95</v>
      </c>
      <c r="G416" t="s">
        <v>646</v>
      </c>
      <c r="H416" s="8">
        <v>1127.45</v>
      </c>
      <c r="I416" s="8">
        <v>-225.16</v>
      </c>
      <c r="J416" s="8">
        <v>0.21</v>
      </c>
      <c r="K416" t="str">
        <f>IF(SalesData[[#This Row],[Profit]]&gt;0,"Profit","Loss")</f>
        <v>Loss</v>
      </c>
      <c r="L416" s="8">
        <f>SalesData[[#This Row],[Profit]]/SalesData[[#This Row],[Sales]]</f>
        <v>-0.19970730409330789</v>
      </c>
      <c r="M416" t="str">
        <f>TEXT(SalesData[[#This Row],[Order_Date]],"mmm")</f>
        <v>Apr</v>
      </c>
      <c r="N416">
        <f>YEAR(SalesData[[#This Row],[Order_Date]])</f>
        <v>2022</v>
      </c>
    </row>
    <row r="417" spans="1:14" x14ac:dyDescent="0.3">
      <c r="A417" t="s">
        <v>1060</v>
      </c>
      <c r="B417" s="1">
        <v>45066</v>
      </c>
      <c r="C417" t="s">
        <v>1061</v>
      </c>
      <c r="D417" t="s">
        <v>40</v>
      </c>
      <c r="E417" t="s">
        <v>19</v>
      </c>
      <c r="F417" t="s">
        <v>29</v>
      </c>
      <c r="G417" t="s">
        <v>908</v>
      </c>
      <c r="H417" s="8">
        <v>3689.66</v>
      </c>
      <c r="I417" s="8">
        <v>150.28</v>
      </c>
      <c r="J417" s="8">
        <v>0.28999999999999998</v>
      </c>
      <c r="K417" t="str">
        <f>IF(SalesData[[#This Row],[Profit]]&gt;0,"Profit","Loss")</f>
        <v>Profit</v>
      </c>
      <c r="L417" s="8">
        <f>SalesData[[#This Row],[Profit]]/SalesData[[#This Row],[Sales]]</f>
        <v>4.0730040166302585E-2</v>
      </c>
      <c r="M417" t="str">
        <f>TEXT(SalesData[[#This Row],[Order_Date]],"mmm")</f>
        <v>May</v>
      </c>
      <c r="N417">
        <f>YEAR(SalesData[[#This Row],[Order_Date]])</f>
        <v>2023</v>
      </c>
    </row>
    <row r="418" spans="1:14" x14ac:dyDescent="0.3">
      <c r="A418" t="s">
        <v>1062</v>
      </c>
      <c r="B418" s="1">
        <v>45265</v>
      </c>
      <c r="C418" t="s">
        <v>1063</v>
      </c>
      <c r="D418" t="s">
        <v>18</v>
      </c>
      <c r="E418" t="s">
        <v>19</v>
      </c>
      <c r="F418" t="s">
        <v>20</v>
      </c>
      <c r="G418" t="s">
        <v>1064</v>
      </c>
      <c r="H418" s="8">
        <v>4161.1499999999996</v>
      </c>
      <c r="I418" s="8">
        <v>-387.68</v>
      </c>
      <c r="J418" s="8">
        <v>0.24</v>
      </c>
      <c r="K418" t="str">
        <f>IF(SalesData[[#This Row],[Profit]]&gt;0,"Profit","Loss")</f>
        <v>Loss</v>
      </c>
      <c r="L418" s="8">
        <f>SalesData[[#This Row],[Profit]]/SalesData[[#This Row],[Sales]]</f>
        <v>-9.3166552515530576E-2</v>
      </c>
      <c r="M418" t="str">
        <f>TEXT(SalesData[[#This Row],[Order_Date]],"mmm")</f>
        <v>Dec</v>
      </c>
      <c r="N418">
        <f>YEAR(SalesData[[#This Row],[Order_Date]])</f>
        <v>2023</v>
      </c>
    </row>
    <row r="419" spans="1:14" x14ac:dyDescent="0.3">
      <c r="A419" t="s">
        <v>1065</v>
      </c>
      <c r="B419" s="1">
        <v>44637</v>
      </c>
      <c r="C419" t="s">
        <v>1066</v>
      </c>
      <c r="D419" t="s">
        <v>18</v>
      </c>
      <c r="E419" t="s">
        <v>56</v>
      </c>
      <c r="F419" t="s">
        <v>57</v>
      </c>
      <c r="G419" t="s">
        <v>1067</v>
      </c>
      <c r="H419" s="8">
        <v>1545.05</v>
      </c>
      <c r="I419" s="8">
        <v>418.7</v>
      </c>
      <c r="J419" s="8">
        <v>0.1</v>
      </c>
      <c r="K419" t="str">
        <f>IF(SalesData[[#This Row],[Profit]]&gt;0,"Profit","Loss")</f>
        <v>Profit</v>
      </c>
      <c r="L419" s="8">
        <f>SalesData[[#This Row],[Profit]]/SalesData[[#This Row],[Sales]]</f>
        <v>0.27099446619850492</v>
      </c>
      <c r="M419" t="str">
        <f>TEXT(SalesData[[#This Row],[Order_Date]],"mmm")</f>
        <v>Mar</v>
      </c>
      <c r="N419">
        <f>YEAR(SalesData[[#This Row],[Order_Date]])</f>
        <v>2022</v>
      </c>
    </row>
    <row r="420" spans="1:14" x14ac:dyDescent="0.3">
      <c r="A420" t="s">
        <v>1068</v>
      </c>
      <c r="B420" s="1">
        <v>44657</v>
      </c>
      <c r="C420" t="s">
        <v>1069</v>
      </c>
      <c r="D420" t="s">
        <v>28</v>
      </c>
      <c r="E420" t="s">
        <v>19</v>
      </c>
      <c r="F420" t="s">
        <v>20</v>
      </c>
      <c r="G420" t="s">
        <v>682</v>
      </c>
      <c r="H420" s="8">
        <v>3686.73</v>
      </c>
      <c r="I420" s="8">
        <v>659.46</v>
      </c>
      <c r="J420" s="8">
        <v>0.16</v>
      </c>
      <c r="K420" t="str">
        <f>IF(SalesData[[#This Row],[Profit]]&gt;0,"Profit","Loss")</f>
        <v>Profit</v>
      </c>
      <c r="L420" s="8">
        <f>SalesData[[#This Row],[Profit]]/SalesData[[#This Row],[Sales]]</f>
        <v>0.17887396147805781</v>
      </c>
      <c r="M420" t="str">
        <f>TEXT(SalesData[[#This Row],[Order_Date]],"mmm")</f>
        <v>Apr</v>
      </c>
      <c r="N420">
        <f>YEAR(SalesData[[#This Row],[Order_Date]])</f>
        <v>2022</v>
      </c>
    </row>
    <row r="421" spans="1:14" x14ac:dyDescent="0.3">
      <c r="A421" t="s">
        <v>1070</v>
      </c>
      <c r="B421" s="1">
        <v>44722</v>
      </c>
      <c r="C421" t="s">
        <v>823</v>
      </c>
      <c r="D421" t="s">
        <v>12</v>
      </c>
      <c r="E421" t="s">
        <v>56</v>
      </c>
      <c r="F421" t="s">
        <v>95</v>
      </c>
      <c r="G421" t="s">
        <v>1044</v>
      </c>
      <c r="H421" s="8">
        <v>4717.97</v>
      </c>
      <c r="I421" s="8">
        <v>1339.21</v>
      </c>
      <c r="J421" s="8">
        <v>0.05</v>
      </c>
      <c r="K421" t="str">
        <f>IF(SalesData[[#This Row],[Profit]]&gt;0,"Profit","Loss")</f>
        <v>Profit</v>
      </c>
      <c r="L421" s="8">
        <f>SalesData[[#This Row],[Profit]]/SalesData[[#This Row],[Sales]]</f>
        <v>0.28385301305434329</v>
      </c>
      <c r="M421" t="str">
        <f>TEXT(SalesData[[#This Row],[Order_Date]],"mmm")</f>
        <v>Jun</v>
      </c>
      <c r="N421">
        <f>YEAR(SalesData[[#This Row],[Order_Date]])</f>
        <v>2022</v>
      </c>
    </row>
    <row r="422" spans="1:14" x14ac:dyDescent="0.3">
      <c r="A422" t="s">
        <v>1071</v>
      </c>
      <c r="B422" s="1">
        <v>45115</v>
      </c>
      <c r="C422" t="s">
        <v>356</v>
      </c>
      <c r="D422" t="s">
        <v>40</v>
      </c>
      <c r="E422" t="s">
        <v>56</v>
      </c>
      <c r="F422" t="s">
        <v>57</v>
      </c>
      <c r="G422" t="s">
        <v>703</v>
      </c>
      <c r="H422" s="8">
        <v>2105.4699999999998</v>
      </c>
      <c r="I422" s="8">
        <v>390.24</v>
      </c>
      <c r="J422" s="8">
        <v>0.17</v>
      </c>
      <c r="K422" t="str">
        <f>IF(SalesData[[#This Row],[Profit]]&gt;0,"Profit","Loss")</f>
        <v>Profit</v>
      </c>
      <c r="L422" s="8">
        <f>SalesData[[#This Row],[Profit]]/SalesData[[#This Row],[Sales]]</f>
        <v>0.18534578977615451</v>
      </c>
      <c r="M422" t="str">
        <f>TEXT(SalesData[[#This Row],[Order_Date]],"mmm")</f>
        <v>Jul</v>
      </c>
      <c r="N422">
        <f>YEAR(SalesData[[#This Row],[Order_Date]])</f>
        <v>2023</v>
      </c>
    </row>
    <row r="423" spans="1:14" x14ac:dyDescent="0.3">
      <c r="A423" t="s">
        <v>1072</v>
      </c>
      <c r="B423" s="1">
        <v>44719</v>
      </c>
      <c r="C423" t="s">
        <v>1073</v>
      </c>
      <c r="D423" t="s">
        <v>40</v>
      </c>
      <c r="E423" t="s">
        <v>56</v>
      </c>
      <c r="F423" t="s">
        <v>57</v>
      </c>
      <c r="G423" t="s">
        <v>1074</v>
      </c>
      <c r="H423" s="8">
        <v>343.21</v>
      </c>
      <c r="I423" s="8">
        <v>45.96</v>
      </c>
      <c r="J423" s="8">
        <v>0.17</v>
      </c>
      <c r="K423" t="str">
        <f>IF(SalesData[[#This Row],[Profit]]&gt;0,"Profit","Loss")</f>
        <v>Profit</v>
      </c>
      <c r="L423" s="8">
        <f>SalesData[[#This Row],[Profit]]/SalesData[[#This Row],[Sales]]</f>
        <v>0.13391218204597768</v>
      </c>
      <c r="M423" t="str">
        <f>TEXT(SalesData[[#This Row],[Order_Date]],"mmm")</f>
        <v>Jun</v>
      </c>
      <c r="N423">
        <f>YEAR(SalesData[[#This Row],[Order_Date]])</f>
        <v>2022</v>
      </c>
    </row>
    <row r="424" spans="1:14" x14ac:dyDescent="0.3">
      <c r="A424" t="s">
        <v>1075</v>
      </c>
      <c r="B424" s="1">
        <v>44766</v>
      </c>
      <c r="C424" t="s">
        <v>655</v>
      </c>
      <c r="D424" t="s">
        <v>12</v>
      </c>
      <c r="E424" t="s">
        <v>19</v>
      </c>
      <c r="F424" t="s">
        <v>20</v>
      </c>
      <c r="G424" t="s">
        <v>1076</v>
      </c>
      <c r="H424" s="8">
        <v>1543.29</v>
      </c>
      <c r="I424" s="8">
        <v>-61.53</v>
      </c>
      <c r="J424" s="8">
        <v>0.2</v>
      </c>
      <c r="K424" t="str">
        <f>IF(SalesData[[#This Row],[Profit]]&gt;0,"Profit","Loss")</f>
        <v>Loss</v>
      </c>
      <c r="L424" s="8">
        <f>SalesData[[#This Row],[Profit]]/SalesData[[#This Row],[Sales]]</f>
        <v>-3.9869369982310519E-2</v>
      </c>
      <c r="M424" t="str">
        <f>TEXT(SalesData[[#This Row],[Order_Date]],"mmm")</f>
        <v>Jul</v>
      </c>
      <c r="N424">
        <f>YEAR(SalesData[[#This Row],[Order_Date]])</f>
        <v>2022</v>
      </c>
    </row>
    <row r="425" spans="1:14" x14ac:dyDescent="0.3">
      <c r="A425" t="s">
        <v>1077</v>
      </c>
      <c r="B425" s="1">
        <v>44877</v>
      </c>
      <c r="C425" t="s">
        <v>1078</v>
      </c>
      <c r="D425" t="s">
        <v>28</v>
      </c>
      <c r="E425" t="s">
        <v>56</v>
      </c>
      <c r="F425" t="s">
        <v>73</v>
      </c>
      <c r="G425" t="s">
        <v>897</v>
      </c>
      <c r="H425" s="8">
        <v>1529.88</v>
      </c>
      <c r="I425" s="8">
        <v>437.95</v>
      </c>
      <c r="J425" s="8">
        <v>0.02</v>
      </c>
      <c r="K425" t="str">
        <f>IF(SalesData[[#This Row],[Profit]]&gt;0,"Profit","Loss")</f>
        <v>Profit</v>
      </c>
      <c r="L425" s="8">
        <f>SalesData[[#This Row],[Profit]]/SalesData[[#This Row],[Sales]]</f>
        <v>0.28626428216592148</v>
      </c>
      <c r="M425" t="str">
        <f>TEXT(SalesData[[#This Row],[Order_Date]],"mmm")</f>
        <v>Nov</v>
      </c>
      <c r="N425">
        <f>YEAR(SalesData[[#This Row],[Order_Date]])</f>
        <v>2022</v>
      </c>
    </row>
    <row r="426" spans="1:14" x14ac:dyDescent="0.3">
      <c r="A426" t="s">
        <v>1079</v>
      </c>
      <c r="B426" s="1">
        <v>44952</v>
      </c>
      <c r="C426" t="s">
        <v>1080</v>
      </c>
      <c r="D426" t="s">
        <v>18</v>
      </c>
      <c r="E426" t="s">
        <v>13</v>
      </c>
      <c r="F426" t="s">
        <v>36</v>
      </c>
      <c r="G426" t="s">
        <v>872</v>
      </c>
      <c r="H426" s="8">
        <v>546.57000000000005</v>
      </c>
      <c r="I426" s="8">
        <v>-136.13</v>
      </c>
      <c r="J426" s="8">
        <v>0.16</v>
      </c>
      <c r="K426" t="str">
        <f>IF(SalesData[[#This Row],[Profit]]&gt;0,"Profit","Loss")</f>
        <v>Loss</v>
      </c>
      <c r="L426" s="8">
        <f>SalesData[[#This Row],[Profit]]/SalesData[[#This Row],[Sales]]</f>
        <v>-0.24906233419324145</v>
      </c>
      <c r="M426" t="str">
        <f>TEXT(SalesData[[#This Row],[Order_Date]],"mmm")</f>
        <v>Jan</v>
      </c>
      <c r="N426">
        <f>YEAR(SalesData[[#This Row],[Order_Date]])</f>
        <v>2023</v>
      </c>
    </row>
    <row r="427" spans="1:14" x14ac:dyDescent="0.3">
      <c r="A427" t="s">
        <v>1081</v>
      </c>
      <c r="B427" s="1">
        <v>45139</v>
      </c>
      <c r="C427" t="s">
        <v>1082</v>
      </c>
      <c r="D427" t="s">
        <v>18</v>
      </c>
      <c r="E427" t="s">
        <v>56</v>
      </c>
      <c r="F427" t="s">
        <v>95</v>
      </c>
      <c r="G427" t="s">
        <v>537</v>
      </c>
      <c r="H427" s="8">
        <v>2254.73</v>
      </c>
      <c r="I427" s="8">
        <v>501.11</v>
      </c>
      <c r="J427" s="8">
        <v>0.08</v>
      </c>
      <c r="K427" t="str">
        <f>IF(SalesData[[#This Row],[Profit]]&gt;0,"Profit","Loss")</f>
        <v>Profit</v>
      </c>
      <c r="L427" s="8">
        <f>SalesData[[#This Row],[Profit]]/SalesData[[#This Row],[Sales]]</f>
        <v>0.22224834015602757</v>
      </c>
      <c r="M427" t="str">
        <f>TEXT(SalesData[[#This Row],[Order_Date]],"mmm")</f>
        <v>Aug</v>
      </c>
      <c r="N427">
        <f>YEAR(SalesData[[#This Row],[Order_Date]])</f>
        <v>2023</v>
      </c>
    </row>
    <row r="428" spans="1:14" x14ac:dyDescent="0.3">
      <c r="A428" t="s">
        <v>1083</v>
      </c>
      <c r="B428" s="1">
        <v>44985</v>
      </c>
      <c r="C428" t="s">
        <v>749</v>
      </c>
      <c r="D428" t="s">
        <v>18</v>
      </c>
      <c r="E428" t="s">
        <v>13</v>
      </c>
      <c r="F428" t="s">
        <v>24</v>
      </c>
      <c r="G428" t="s">
        <v>1084</v>
      </c>
      <c r="H428" s="8">
        <v>573.84</v>
      </c>
      <c r="I428" s="8">
        <v>48.72</v>
      </c>
      <c r="J428" s="8">
        <v>0.2</v>
      </c>
      <c r="K428" t="str">
        <f>IF(SalesData[[#This Row],[Profit]]&gt;0,"Profit","Loss")</f>
        <v>Profit</v>
      </c>
      <c r="L428" s="8">
        <f>SalesData[[#This Row],[Profit]]/SalesData[[#This Row],[Sales]]</f>
        <v>8.4901714763697192E-2</v>
      </c>
      <c r="M428" t="str">
        <f>TEXT(SalesData[[#This Row],[Order_Date]],"mmm")</f>
        <v>Feb</v>
      </c>
      <c r="N428">
        <f>YEAR(SalesData[[#This Row],[Order_Date]])</f>
        <v>2023</v>
      </c>
    </row>
    <row r="429" spans="1:14" x14ac:dyDescent="0.3">
      <c r="A429" t="s">
        <v>1085</v>
      </c>
      <c r="B429" s="1">
        <v>45048</v>
      </c>
      <c r="C429" t="s">
        <v>1086</v>
      </c>
      <c r="D429" t="s">
        <v>18</v>
      </c>
      <c r="E429" t="s">
        <v>56</v>
      </c>
      <c r="F429" t="s">
        <v>95</v>
      </c>
      <c r="G429" t="s">
        <v>1087</v>
      </c>
      <c r="H429" s="8">
        <v>4110.1899999999996</v>
      </c>
      <c r="I429" s="8">
        <v>-35.72</v>
      </c>
      <c r="J429" s="8">
        <v>0.13</v>
      </c>
      <c r="K429" t="str">
        <f>IF(SalesData[[#This Row],[Profit]]&gt;0,"Profit","Loss")</f>
        <v>Loss</v>
      </c>
      <c r="L429" s="8">
        <f>SalesData[[#This Row],[Profit]]/SalesData[[#This Row],[Sales]]</f>
        <v>-8.6905958118724449E-3</v>
      </c>
      <c r="M429" t="str">
        <f>TEXT(SalesData[[#This Row],[Order_Date]],"mmm")</f>
        <v>May</v>
      </c>
      <c r="N429">
        <f>YEAR(SalesData[[#This Row],[Order_Date]])</f>
        <v>2023</v>
      </c>
    </row>
    <row r="430" spans="1:14" x14ac:dyDescent="0.3">
      <c r="A430" t="s">
        <v>1088</v>
      </c>
      <c r="B430" s="1">
        <v>45146</v>
      </c>
      <c r="C430" t="s">
        <v>1089</v>
      </c>
      <c r="D430" t="s">
        <v>18</v>
      </c>
      <c r="E430" t="s">
        <v>19</v>
      </c>
      <c r="F430" t="s">
        <v>20</v>
      </c>
      <c r="G430" t="s">
        <v>987</v>
      </c>
      <c r="H430" s="8">
        <v>2034.54</v>
      </c>
      <c r="I430" s="8">
        <v>-893.49</v>
      </c>
      <c r="J430" s="8">
        <v>0.26</v>
      </c>
      <c r="K430" t="str">
        <f>IF(SalesData[[#This Row],[Profit]]&gt;0,"Profit","Loss")</f>
        <v>Loss</v>
      </c>
      <c r="L430" s="8">
        <f>SalesData[[#This Row],[Profit]]/SalesData[[#This Row],[Sales]]</f>
        <v>-0.43916069480079034</v>
      </c>
      <c r="M430" t="str">
        <f>TEXT(SalesData[[#This Row],[Order_Date]],"mmm")</f>
        <v>Aug</v>
      </c>
      <c r="N430">
        <f>YEAR(SalesData[[#This Row],[Order_Date]])</f>
        <v>2023</v>
      </c>
    </row>
    <row r="431" spans="1:14" x14ac:dyDescent="0.3">
      <c r="A431" t="s">
        <v>1090</v>
      </c>
      <c r="B431" s="1">
        <v>44759</v>
      </c>
      <c r="C431" t="s">
        <v>276</v>
      </c>
      <c r="D431" t="s">
        <v>12</v>
      </c>
      <c r="E431" t="s">
        <v>19</v>
      </c>
      <c r="F431" t="s">
        <v>20</v>
      </c>
      <c r="G431" t="s">
        <v>1091</v>
      </c>
      <c r="H431" s="8">
        <v>4750.3999999999996</v>
      </c>
      <c r="I431" s="8">
        <v>-583.66</v>
      </c>
      <c r="J431" s="8">
        <v>0.05</v>
      </c>
      <c r="K431" t="str">
        <f>IF(SalesData[[#This Row],[Profit]]&gt;0,"Profit","Loss")</f>
        <v>Loss</v>
      </c>
      <c r="L431" s="8">
        <f>SalesData[[#This Row],[Profit]]/SalesData[[#This Row],[Sales]]</f>
        <v>-0.12286544291007073</v>
      </c>
      <c r="M431" t="str">
        <f>TEXT(SalesData[[#This Row],[Order_Date]],"mmm")</f>
        <v>Jul</v>
      </c>
      <c r="N431">
        <f>YEAR(SalesData[[#This Row],[Order_Date]])</f>
        <v>2022</v>
      </c>
    </row>
    <row r="432" spans="1:14" x14ac:dyDescent="0.3">
      <c r="A432" t="s">
        <v>1092</v>
      </c>
      <c r="B432" s="1">
        <v>45171</v>
      </c>
      <c r="C432" t="s">
        <v>1093</v>
      </c>
      <c r="D432" t="s">
        <v>40</v>
      </c>
      <c r="E432" t="s">
        <v>56</v>
      </c>
      <c r="F432" t="s">
        <v>73</v>
      </c>
      <c r="G432" t="s">
        <v>1094</v>
      </c>
      <c r="H432" s="8">
        <v>2233.4299999999998</v>
      </c>
      <c r="I432" s="8">
        <v>-276.2</v>
      </c>
      <c r="J432" s="8">
        <v>0.3</v>
      </c>
      <c r="K432" t="str">
        <f>IF(SalesData[[#This Row],[Profit]]&gt;0,"Profit","Loss")</f>
        <v>Loss</v>
      </c>
      <c r="L432" s="8">
        <f>SalesData[[#This Row],[Profit]]/SalesData[[#This Row],[Sales]]</f>
        <v>-0.12366628907107007</v>
      </c>
      <c r="M432" t="str">
        <f>TEXT(SalesData[[#This Row],[Order_Date]],"mmm")</f>
        <v>Sep</v>
      </c>
      <c r="N432">
        <f>YEAR(SalesData[[#This Row],[Order_Date]])</f>
        <v>2023</v>
      </c>
    </row>
    <row r="433" spans="1:14" x14ac:dyDescent="0.3">
      <c r="A433" t="s">
        <v>1095</v>
      </c>
      <c r="B433" s="1">
        <v>44844</v>
      </c>
      <c r="C433" t="s">
        <v>1096</v>
      </c>
      <c r="D433" t="s">
        <v>28</v>
      </c>
      <c r="E433" t="s">
        <v>13</v>
      </c>
      <c r="F433" t="s">
        <v>14</v>
      </c>
      <c r="G433" t="s">
        <v>202</v>
      </c>
      <c r="H433" s="8">
        <v>526.42999999999995</v>
      </c>
      <c r="I433" s="8">
        <v>-20.41</v>
      </c>
      <c r="J433" s="8">
        <v>0.17</v>
      </c>
      <c r="K433" t="str">
        <f>IF(SalesData[[#This Row],[Profit]]&gt;0,"Profit","Loss")</f>
        <v>Loss</v>
      </c>
      <c r="L433" s="8">
        <f>SalesData[[#This Row],[Profit]]/SalesData[[#This Row],[Sales]]</f>
        <v>-3.8770586782668162E-2</v>
      </c>
      <c r="M433" t="str">
        <f>TEXT(SalesData[[#This Row],[Order_Date]],"mmm")</f>
        <v>Oct</v>
      </c>
      <c r="N433">
        <f>YEAR(SalesData[[#This Row],[Order_Date]])</f>
        <v>2022</v>
      </c>
    </row>
    <row r="434" spans="1:14" x14ac:dyDescent="0.3">
      <c r="A434" t="s">
        <v>1097</v>
      </c>
      <c r="B434" s="1">
        <v>44986</v>
      </c>
      <c r="C434" t="s">
        <v>1098</v>
      </c>
      <c r="D434" t="s">
        <v>18</v>
      </c>
      <c r="E434" t="s">
        <v>56</v>
      </c>
      <c r="F434" t="s">
        <v>73</v>
      </c>
      <c r="G434" t="s">
        <v>1099</v>
      </c>
      <c r="H434" s="8">
        <v>3152.98</v>
      </c>
      <c r="I434" s="8">
        <v>-341.29</v>
      </c>
      <c r="J434" s="8">
        <v>0.16</v>
      </c>
      <c r="K434" t="str">
        <f>IF(SalesData[[#This Row],[Profit]]&gt;0,"Profit","Loss")</f>
        <v>Loss</v>
      </c>
      <c r="L434" s="8">
        <f>SalesData[[#This Row],[Profit]]/SalesData[[#This Row],[Sales]]</f>
        <v>-0.10824362983590129</v>
      </c>
      <c r="M434" t="str">
        <f>TEXT(SalesData[[#This Row],[Order_Date]],"mmm")</f>
        <v>Mar</v>
      </c>
      <c r="N434">
        <f>YEAR(SalesData[[#This Row],[Order_Date]])</f>
        <v>2023</v>
      </c>
    </row>
    <row r="435" spans="1:14" x14ac:dyDescent="0.3">
      <c r="A435" t="s">
        <v>1100</v>
      </c>
      <c r="B435" s="1">
        <v>45138</v>
      </c>
      <c r="C435" t="s">
        <v>617</v>
      </c>
      <c r="D435" t="s">
        <v>12</v>
      </c>
      <c r="E435" t="s">
        <v>13</v>
      </c>
      <c r="F435" t="s">
        <v>24</v>
      </c>
      <c r="G435" t="s">
        <v>766</v>
      </c>
      <c r="H435" s="8">
        <v>3816.05</v>
      </c>
      <c r="I435" s="8">
        <v>286.04000000000002</v>
      </c>
      <c r="J435" s="8">
        <v>0.28000000000000003</v>
      </c>
      <c r="K435" t="str">
        <f>IF(SalesData[[#This Row],[Profit]]&gt;0,"Profit","Loss")</f>
        <v>Profit</v>
      </c>
      <c r="L435" s="8">
        <f>SalesData[[#This Row],[Profit]]/SalesData[[#This Row],[Sales]]</f>
        <v>7.4957089136672733E-2</v>
      </c>
      <c r="M435" t="str">
        <f>TEXT(SalesData[[#This Row],[Order_Date]],"mmm")</f>
        <v>Jul</v>
      </c>
      <c r="N435">
        <f>YEAR(SalesData[[#This Row],[Order_Date]])</f>
        <v>2023</v>
      </c>
    </row>
    <row r="436" spans="1:14" x14ac:dyDescent="0.3">
      <c r="A436" t="s">
        <v>1101</v>
      </c>
      <c r="B436" s="1">
        <v>45232</v>
      </c>
      <c r="C436" t="s">
        <v>1102</v>
      </c>
      <c r="D436" t="s">
        <v>28</v>
      </c>
      <c r="E436" t="s">
        <v>19</v>
      </c>
      <c r="F436" t="s">
        <v>141</v>
      </c>
      <c r="G436" t="s">
        <v>172</v>
      </c>
      <c r="H436" s="8">
        <v>4412.67</v>
      </c>
      <c r="I436" s="8">
        <v>-1330.5</v>
      </c>
      <c r="J436" s="8">
        <v>0.26</v>
      </c>
      <c r="K436" t="str">
        <f>IF(SalesData[[#This Row],[Profit]]&gt;0,"Profit","Loss")</f>
        <v>Loss</v>
      </c>
      <c r="L436" s="8">
        <f>SalesData[[#This Row],[Profit]]/SalesData[[#This Row],[Sales]]</f>
        <v>-0.3015181284800359</v>
      </c>
      <c r="M436" t="str">
        <f>TEXT(SalesData[[#This Row],[Order_Date]],"mmm")</f>
        <v>Nov</v>
      </c>
      <c r="N436">
        <f>YEAR(SalesData[[#This Row],[Order_Date]])</f>
        <v>2023</v>
      </c>
    </row>
    <row r="437" spans="1:14" x14ac:dyDescent="0.3">
      <c r="A437" t="s">
        <v>1103</v>
      </c>
      <c r="B437" s="1">
        <v>44973</v>
      </c>
      <c r="C437" t="s">
        <v>1104</v>
      </c>
      <c r="D437" t="s">
        <v>28</v>
      </c>
      <c r="E437" t="s">
        <v>56</v>
      </c>
      <c r="F437" t="s">
        <v>95</v>
      </c>
      <c r="G437" t="s">
        <v>706</v>
      </c>
      <c r="H437" s="8">
        <v>2074.5700000000002</v>
      </c>
      <c r="I437" s="8">
        <v>38.35</v>
      </c>
      <c r="J437" s="8">
        <v>0.19</v>
      </c>
      <c r="K437" t="str">
        <f>IF(SalesData[[#This Row],[Profit]]&gt;0,"Profit","Loss")</f>
        <v>Profit</v>
      </c>
      <c r="L437" s="8">
        <f>SalesData[[#This Row],[Profit]]/SalesData[[#This Row],[Sales]]</f>
        <v>1.8485758494531396E-2</v>
      </c>
      <c r="M437" t="str">
        <f>TEXT(SalesData[[#This Row],[Order_Date]],"mmm")</f>
        <v>Feb</v>
      </c>
      <c r="N437">
        <f>YEAR(SalesData[[#This Row],[Order_Date]])</f>
        <v>2023</v>
      </c>
    </row>
    <row r="438" spans="1:14" x14ac:dyDescent="0.3">
      <c r="A438" t="s">
        <v>1105</v>
      </c>
      <c r="B438" s="1">
        <v>44943</v>
      </c>
      <c r="C438" t="s">
        <v>218</v>
      </c>
      <c r="D438" t="s">
        <v>40</v>
      </c>
      <c r="E438" t="s">
        <v>19</v>
      </c>
      <c r="F438" t="s">
        <v>141</v>
      </c>
      <c r="G438" t="s">
        <v>542</v>
      </c>
      <c r="H438" s="8">
        <v>1264.1400000000001</v>
      </c>
      <c r="I438" s="8">
        <v>167.5</v>
      </c>
      <c r="J438" s="8">
        <v>0.22</v>
      </c>
      <c r="K438" t="str">
        <f>IF(SalesData[[#This Row],[Profit]]&gt;0,"Profit","Loss")</f>
        <v>Profit</v>
      </c>
      <c r="L438" s="8">
        <f>SalesData[[#This Row],[Profit]]/SalesData[[#This Row],[Sales]]</f>
        <v>0.13250114702485483</v>
      </c>
      <c r="M438" t="str">
        <f>TEXT(SalesData[[#This Row],[Order_Date]],"mmm")</f>
        <v>Jan</v>
      </c>
      <c r="N438">
        <f>YEAR(SalesData[[#This Row],[Order_Date]])</f>
        <v>2023</v>
      </c>
    </row>
    <row r="439" spans="1:14" x14ac:dyDescent="0.3">
      <c r="A439" t="s">
        <v>1106</v>
      </c>
      <c r="B439" s="1">
        <v>44662</v>
      </c>
      <c r="C439" t="s">
        <v>165</v>
      </c>
      <c r="D439" t="s">
        <v>18</v>
      </c>
      <c r="E439" t="s">
        <v>19</v>
      </c>
      <c r="F439" t="s">
        <v>29</v>
      </c>
      <c r="G439" t="s">
        <v>850</v>
      </c>
      <c r="H439" s="8">
        <v>1473.7</v>
      </c>
      <c r="I439" s="8">
        <v>99.78</v>
      </c>
      <c r="J439" s="8">
        <v>0.15</v>
      </c>
      <c r="K439" t="str">
        <f>IF(SalesData[[#This Row],[Profit]]&gt;0,"Profit","Loss")</f>
        <v>Profit</v>
      </c>
      <c r="L439" s="8">
        <f>SalesData[[#This Row],[Profit]]/SalesData[[#This Row],[Sales]]</f>
        <v>6.770713170930312E-2</v>
      </c>
      <c r="M439" t="str">
        <f>TEXT(SalesData[[#This Row],[Order_Date]],"mmm")</f>
        <v>Apr</v>
      </c>
      <c r="N439">
        <f>YEAR(SalesData[[#This Row],[Order_Date]])</f>
        <v>2022</v>
      </c>
    </row>
    <row r="440" spans="1:14" x14ac:dyDescent="0.3">
      <c r="A440" t="s">
        <v>1107</v>
      </c>
      <c r="B440" s="1">
        <v>45181</v>
      </c>
      <c r="C440" t="s">
        <v>1108</v>
      </c>
      <c r="D440" t="s">
        <v>12</v>
      </c>
      <c r="E440" t="s">
        <v>13</v>
      </c>
      <c r="F440" t="s">
        <v>36</v>
      </c>
      <c r="G440" t="s">
        <v>1109</v>
      </c>
      <c r="H440" s="8">
        <v>3892.75</v>
      </c>
      <c r="I440" s="8">
        <v>534.4</v>
      </c>
      <c r="J440" s="8">
        <v>0.1</v>
      </c>
      <c r="K440" t="str">
        <f>IF(SalesData[[#This Row],[Profit]]&gt;0,"Profit","Loss")</f>
        <v>Profit</v>
      </c>
      <c r="L440" s="8">
        <f>SalesData[[#This Row],[Profit]]/SalesData[[#This Row],[Sales]]</f>
        <v>0.13728084259199794</v>
      </c>
      <c r="M440" t="str">
        <f>TEXT(SalesData[[#This Row],[Order_Date]],"mmm")</f>
        <v>Sep</v>
      </c>
      <c r="N440">
        <f>YEAR(SalesData[[#This Row],[Order_Date]])</f>
        <v>2023</v>
      </c>
    </row>
    <row r="441" spans="1:14" x14ac:dyDescent="0.3">
      <c r="A441" t="s">
        <v>1110</v>
      </c>
      <c r="B441" s="1">
        <v>45090</v>
      </c>
      <c r="C441" t="s">
        <v>72</v>
      </c>
      <c r="D441" t="s">
        <v>12</v>
      </c>
      <c r="E441" t="s">
        <v>19</v>
      </c>
      <c r="F441" t="s">
        <v>20</v>
      </c>
      <c r="G441" t="s">
        <v>92</v>
      </c>
      <c r="H441" s="8">
        <v>4575.82</v>
      </c>
      <c r="I441" s="8">
        <v>-134.18</v>
      </c>
      <c r="J441" s="8">
        <v>0.12</v>
      </c>
      <c r="K441" t="str">
        <f>IF(SalesData[[#This Row],[Profit]]&gt;0,"Profit","Loss")</f>
        <v>Loss</v>
      </c>
      <c r="L441" s="8">
        <f>SalesData[[#This Row],[Profit]]/SalesData[[#This Row],[Sales]]</f>
        <v>-2.93237059150054E-2</v>
      </c>
      <c r="M441" t="str">
        <f>TEXT(SalesData[[#This Row],[Order_Date]],"mmm")</f>
        <v>Jun</v>
      </c>
      <c r="N441">
        <f>YEAR(SalesData[[#This Row],[Order_Date]])</f>
        <v>2023</v>
      </c>
    </row>
    <row r="442" spans="1:14" x14ac:dyDescent="0.3">
      <c r="A442" t="s">
        <v>1111</v>
      </c>
      <c r="B442" s="1">
        <v>45098</v>
      </c>
      <c r="C442" t="s">
        <v>1112</v>
      </c>
      <c r="D442" t="s">
        <v>12</v>
      </c>
      <c r="E442" t="s">
        <v>56</v>
      </c>
      <c r="F442" t="s">
        <v>57</v>
      </c>
      <c r="G442" t="s">
        <v>1113</v>
      </c>
      <c r="H442" s="8">
        <v>1624.5</v>
      </c>
      <c r="I442" s="8">
        <v>-436.36</v>
      </c>
      <c r="J442" s="8">
        <v>0.15</v>
      </c>
      <c r="K442" t="str">
        <f>IF(SalesData[[#This Row],[Profit]]&gt;0,"Profit","Loss")</f>
        <v>Loss</v>
      </c>
      <c r="L442" s="8">
        <f>SalesData[[#This Row],[Profit]]/SalesData[[#This Row],[Sales]]</f>
        <v>-0.26861188057863961</v>
      </c>
      <c r="M442" t="str">
        <f>TEXT(SalesData[[#This Row],[Order_Date]],"mmm")</f>
        <v>Jun</v>
      </c>
      <c r="N442">
        <f>YEAR(SalesData[[#This Row],[Order_Date]])</f>
        <v>2023</v>
      </c>
    </row>
    <row r="443" spans="1:14" x14ac:dyDescent="0.3">
      <c r="A443" t="s">
        <v>1114</v>
      </c>
      <c r="B443" s="1">
        <v>44931</v>
      </c>
      <c r="C443" t="s">
        <v>1115</v>
      </c>
      <c r="D443" t="s">
        <v>18</v>
      </c>
      <c r="E443" t="s">
        <v>56</v>
      </c>
      <c r="F443" t="s">
        <v>57</v>
      </c>
      <c r="G443" t="s">
        <v>211</v>
      </c>
      <c r="H443" s="8">
        <v>4201.1899999999996</v>
      </c>
      <c r="I443" s="8">
        <v>16.260000000000002</v>
      </c>
      <c r="J443" s="8">
        <v>7.0000000000000007E-2</v>
      </c>
      <c r="K443" t="str">
        <f>IF(SalesData[[#This Row],[Profit]]&gt;0,"Profit","Loss")</f>
        <v>Profit</v>
      </c>
      <c r="L443" s="8">
        <f>SalesData[[#This Row],[Profit]]/SalesData[[#This Row],[Sales]]</f>
        <v>3.8703319773683176E-3</v>
      </c>
      <c r="M443" t="str">
        <f>TEXT(SalesData[[#This Row],[Order_Date]],"mmm")</f>
        <v>Jan</v>
      </c>
      <c r="N443">
        <f>YEAR(SalesData[[#This Row],[Order_Date]])</f>
        <v>2023</v>
      </c>
    </row>
    <row r="444" spans="1:14" x14ac:dyDescent="0.3">
      <c r="A444" t="s">
        <v>1116</v>
      </c>
      <c r="B444" s="1">
        <v>44593</v>
      </c>
      <c r="C444" t="s">
        <v>639</v>
      </c>
      <c r="D444" t="s">
        <v>40</v>
      </c>
      <c r="E444" t="s">
        <v>19</v>
      </c>
      <c r="F444" t="s">
        <v>29</v>
      </c>
      <c r="G444" t="s">
        <v>897</v>
      </c>
      <c r="H444" s="8">
        <v>2575.12</v>
      </c>
      <c r="I444" s="8">
        <v>-812.9</v>
      </c>
      <c r="J444" s="8">
        <v>0.19</v>
      </c>
      <c r="K444" t="str">
        <f>IF(SalesData[[#This Row],[Profit]]&gt;0,"Profit","Loss")</f>
        <v>Loss</v>
      </c>
      <c r="L444" s="8">
        <f>SalesData[[#This Row],[Profit]]/SalesData[[#This Row],[Sales]]</f>
        <v>-0.31567460933859393</v>
      </c>
      <c r="M444" t="str">
        <f>TEXT(SalesData[[#This Row],[Order_Date]],"mmm")</f>
        <v>Feb</v>
      </c>
      <c r="N444">
        <f>YEAR(SalesData[[#This Row],[Order_Date]])</f>
        <v>2022</v>
      </c>
    </row>
    <row r="445" spans="1:14" x14ac:dyDescent="0.3">
      <c r="A445" t="s">
        <v>1117</v>
      </c>
      <c r="B445" s="1">
        <v>44920</v>
      </c>
      <c r="C445" t="s">
        <v>1118</v>
      </c>
      <c r="D445" t="s">
        <v>18</v>
      </c>
      <c r="E445" t="s">
        <v>13</v>
      </c>
      <c r="F445" t="s">
        <v>36</v>
      </c>
      <c r="G445" t="s">
        <v>342</v>
      </c>
      <c r="H445" s="8">
        <v>970.16</v>
      </c>
      <c r="I445" s="8">
        <v>-104.65</v>
      </c>
      <c r="J445" s="8">
        <v>0.26</v>
      </c>
      <c r="K445" t="str">
        <f>IF(SalesData[[#This Row],[Profit]]&gt;0,"Profit","Loss")</f>
        <v>Loss</v>
      </c>
      <c r="L445" s="8">
        <f>SalesData[[#This Row],[Profit]]/SalesData[[#This Row],[Sales]]</f>
        <v>-0.10786880514554301</v>
      </c>
      <c r="M445" t="str">
        <f>TEXT(SalesData[[#This Row],[Order_Date]],"mmm")</f>
        <v>Dec</v>
      </c>
      <c r="N445">
        <f>YEAR(SalesData[[#This Row],[Order_Date]])</f>
        <v>2022</v>
      </c>
    </row>
    <row r="446" spans="1:14" x14ac:dyDescent="0.3">
      <c r="A446" t="s">
        <v>1119</v>
      </c>
      <c r="B446" s="1">
        <v>44612</v>
      </c>
      <c r="C446" t="s">
        <v>1120</v>
      </c>
      <c r="D446" t="s">
        <v>18</v>
      </c>
      <c r="E446" t="s">
        <v>19</v>
      </c>
      <c r="F446" t="s">
        <v>141</v>
      </c>
      <c r="G446" t="s">
        <v>1121</v>
      </c>
      <c r="H446" s="8">
        <v>4171.26</v>
      </c>
      <c r="I446" s="8">
        <v>-890.69</v>
      </c>
      <c r="J446" s="8">
        <v>0.03</v>
      </c>
      <c r="K446" t="str">
        <f>IF(SalesData[[#This Row],[Profit]]&gt;0,"Profit","Loss")</f>
        <v>Loss</v>
      </c>
      <c r="L446" s="8">
        <f>SalesData[[#This Row],[Profit]]/SalesData[[#This Row],[Sales]]</f>
        <v>-0.21353020430277661</v>
      </c>
      <c r="M446" t="str">
        <f>TEXT(SalesData[[#This Row],[Order_Date]],"mmm")</f>
        <v>Feb</v>
      </c>
      <c r="N446">
        <f>YEAR(SalesData[[#This Row],[Order_Date]])</f>
        <v>2022</v>
      </c>
    </row>
    <row r="447" spans="1:14" x14ac:dyDescent="0.3">
      <c r="A447" t="s">
        <v>1122</v>
      </c>
      <c r="B447" s="1">
        <v>45087</v>
      </c>
      <c r="C447" t="s">
        <v>218</v>
      </c>
      <c r="D447" t="s">
        <v>12</v>
      </c>
      <c r="E447" t="s">
        <v>56</v>
      </c>
      <c r="F447" t="s">
        <v>73</v>
      </c>
      <c r="G447" t="s">
        <v>1123</v>
      </c>
      <c r="H447" s="8">
        <v>1203.05</v>
      </c>
      <c r="I447" s="8">
        <v>157.54</v>
      </c>
      <c r="J447" s="8">
        <v>0.06</v>
      </c>
      <c r="K447" t="str">
        <f>IF(SalesData[[#This Row],[Profit]]&gt;0,"Profit","Loss")</f>
        <v>Profit</v>
      </c>
      <c r="L447" s="8">
        <f>SalesData[[#This Row],[Profit]]/SalesData[[#This Row],[Sales]]</f>
        <v>0.13095050081044013</v>
      </c>
      <c r="M447" t="str">
        <f>TEXT(SalesData[[#This Row],[Order_Date]],"mmm")</f>
        <v>Jun</v>
      </c>
      <c r="N447">
        <f>YEAR(SalesData[[#This Row],[Order_Date]])</f>
        <v>2023</v>
      </c>
    </row>
    <row r="448" spans="1:14" x14ac:dyDescent="0.3">
      <c r="A448" t="s">
        <v>1124</v>
      </c>
      <c r="B448" s="1">
        <v>45184</v>
      </c>
      <c r="C448" t="s">
        <v>1125</v>
      </c>
      <c r="D448" t="s">
        <v>40</v>
      </c>
      <c r="E448" t="s">
        <v>56</v>
      </c>
      <c r="F448" t="s">
        <v>73</v>
      </c>
      <c r="G448" t="s">
        <v>1091</v>
      </c>
      <c r="H448" s="8">
        <v>948.68</v>
      </c>
      <c r="I448" s="8">
        <v>-290.05</v>
      </c>
      <c r="J448" s="8">
        <v>0.24</v>
      </c>
      <c r="K448" t="str">
        <f>IF(SalesData[[#This Row],[Profit]]&gt;0,"Profit","Loss")</f>
        <v>Loss</v>
      </c>
      <c r="L448" s="8">
        <f>SalesData[[#This Row],[Profit]]/SalesData[[#This Row],[Sales]]</f>
        <v>-0.30574060800269853</v>
      </c>
      <c r="M448" t="str">
        <f>TEXT(SalesData[[#This Row],[Order_Date]],"mmm")</f>
        <v>Sep</v>
      </c>
      <c r="N448">
        <f>YEAR(SalesData[[#This Row],[Order_Date]])</f>
        <v>2023</v>
      </c>
    </row>
    <row r="449" spans="1:14" x14ac:dyDescent="0.3">
      <c r="A449" t="s">
        <v>1126</v>
      </c>
      <c r="B449" s="1">
        <v>45095</v>
      </c>
      <c r="C449" t="s">
        <v>1127</v>
      </c>
      <c r="D449" t="s">
        <v>28</v>
      </c>
      <c r="E449" t="s">
        <v>19</v>
      </c>
      <c r="F449" t="s">
        <v>29</v>
      </c>
      <c r="G449" t="s">
        <v>1128</v>
      </c>
      <c r="H449" s="8">
        <v>2349.09</v>
      </c>
      <c r="I449" s="8">
        <v>-208.39</v>
      </c>
      <c r="J449" s="8">
        <v>7.0000000000000007E-2</v>
      </c>
      <c r="K449" t="str">
        <f>IF(SalesData[[#This Row],[Profit]]&gt;0,"Profit","Loss")</f>
        <v>Loss</v>
      </c>
      <c r="L449" s="8">
        <f>SalesData[[#This Row],[Profit]]/SalesData[[#This Row],[Sales]]</f>
        <v>-8.8710947643555582E-2</v>
      </c>
      <c r="M449" t="str">
        <f>TEXT(SalesData[[#This Row],[Order_Date]],"mmm")</f>
        <v>Jun</v>
      </c>
      <c r="N449">
        <f>YEAR(SalesData[[#This Row],[Order_Date]])</f>
        <v>2023</v>
      </c>
    </row>
    <row r="450" spans="1:14" x14ac:dyDescent="0.3">
      <c r="A450" t="s">
        <v>1129</v>
      </c>
      <c r="B450" s="1">
        <v>44945</v>
      </c>
      <c r="C450" t="s">
        <v>17</v>
      </c>
      <c r="D450" t="s">
        <v>40</v>
      </c>
      <c r="E450" t="s">
        <v>56</v>
      </c>
      <c r="F450" t="s">
        <v>57</v>
      </c>
      <c r="G450" t="s">
        <v>703</v>
      </c>
      <c r="H450" s="8">
        <v>2606.42</v>
      </c>
      <c r="I450" s="8">
        <v>276.2</v>
      </c>
      <c r="J450" s="8">
        <v>0.2</v>
      </c>
      <c r="K450" t="str">
        <f>IF(SalesData[[#This Row],[Profit]]&gt;0,"Profit","Loss")</f>
        <v>Profit</v>
      </c>
      <c r="L450" s="8">
        <f>SalesData[[#This Row],[Profit]]/SalesData[[#This Row],[Sales]]</f>
        <v>0.10596910705105086</v>
      </c>
      <c r="M450" t="str">
        <f>TEXT(SalesData[[#This Row],[Order_Date]],"mmm")</f>
        <v>Jan</v>
      </c>
      <c r="N450">
        <f>YEAR(SalesData[[#This Row],[Order_Date]])</f>
        <v>2023</v>
      </c>
    </row>
    <row r="451" spans="1:14" x14ac:dyDescent="0.3">
      <c r="A451" t="s">
        <v>1130</v>
      </c>
      <c r="B451" s="1">
        <v>44894</v>
      </c>
      <c r="C451" t="s">
        <v>1131</v>
      </c>
      <c r="D451" t="s">
        <v>40</v>
      </c>
      <c r="E451" t="s">
        <v>13</v>
      </c>
      <c r="F451" t="s">
        <v>14</v>
      </c>
      <c r="G451" t="s">
        <v>1132</v>
      </c>
      <c r="H451" s="8">
        <v>2460.52</v>
      </c>
      <c r="I451" s="8">
        <v>-329.98</v>
      </c>
      <c r="J451" s="8">
        <v>0.1</v>
      </c>
      <c r="K451" t="str">
        <f>IF(SalesData[[#This Row],[Profit]]&gt;0,"Profit","Loss")</f>
        <v>Loss</v>
      </c>
      <c r="L451" s="8">
        <f>SalesData[[#This Row],[Profit]]/SalesData[[#This Row],[Sales]]</f>
        <v>-0.13410986295579796</v>
      </c>
      <c r="M451" t="str">
        <f>TEXT(SalesData[[#This Row],[Order_Date]],"mmm")</f>
        <v>Nov</v>
      </c>
      <c r="N451">
        <f>YEAR(SalesData[[#This Row],[Order_Date]])</f>
        <v>2022</v>
      </c>
    </row>
    <row r="452" spans="1:14" x14ac:dyDescent="0.3">
      <c r="A452" t="s">
        <v>1133</v>
      </c>
      <c r="B452" s="1">
        <v>44620</v>
      </c>
      <c r="C452" t="s">
        <v>1134</v>
      </c>
      <c r="D452" t="s">
        <v>28</v>
      </c>
      <c r="E452" t="s">
        <v>13</v>
      </c>
      <c r="F452" t="s">
        <v>24</v>
      </c>
      <c r="G452" t="s">
        <v>248</v>
      </c>
      <c r="H452" s="8">
        <v>1564.08</v>
      </c>
      <c r="I452" s="8">
        <v>342.98</v>
      </c>
      <c r="J452" s="8">
        <v>0.04</v>
      </c>
      <c r="K452" t="str">
        <f>IF(SalesData[[#This Row],[Profit]]&gt;0,"Profit","Loss")</f>
        <v>Profit</v>
      </c>
      <c r="L452" s="8">
        <f>SalesData[[#This Row],[Profit]]/SalesData[[#This Row],[Sales]]</f>
        <v>0.21928545854431999</v>
      </c>
      <c r="M452" t="str">
        <f>TEXT(SalesData[[#This Row],[Order_Date]],"mmm")</f>
        <v>Feb</v>
      </c>
      <c r="N452">
        <f>YEAR(SalesData[[#This Row],[Order_Date]])</f>
        <v>2022</v>
      </c>
    </row>
    <row r="453" spans="1:14" x14ac:dyDescent="0.3">
      <c r="A453" t="s">
        <v>1135</v>
      </c>
      <c r="B453" s="1">
        <v>44864</v>
      </c>
      <c r="C453" t="s">
        <v>1018</v>
      </c>
      <c r="D453" t="s">
        <v>28</v>
      </c>
      <c r="E453" t="s">
        <v>19</v>
      </c>
      <c r="F453" t="s">
        <v>141</v>
      </c>
      <c r="G453" t="s">
        <v>488</v>
      </c>
      <c r="H453" s="8">
        <v>785.65</v>
      </c>
      <c r="I453" s="8">
        <v>69.47</v>
      </c>
      <c r="J453" s="8">
        <v>0.01</v>
      </c>
      <c r="K453" t="str">
        <f>IF(SalesData[[#This Row],[Profit]]&gt;0,"Profit","Loss")</f>
        <v>Profit</v>
      </c>
      <c r="L453" s="8">
        <f>SalesData[[#This Row],[Profit]]/SalesData[[#This Row],[Sales]]</f>
        <v>8.8423598294405908E-2</v>
      </c>
      <c r="M453" t="str">
        <f>TEXT(SalesData[[#This Row],[Order_Date]],"mmm")</f>
        <v>Oct</v>
      </c>
      <c r="N453">
        <f>YEAR(SalesData[[#This Row],[Order_Date]])</f>
        <v>2022</v>
      </c>
    </row>
    <row r="454" spans="1:14" x14ac:dyDescent="0.3">
      <c r="A454" t="s">
        <v>1136</v>
      </c>
      <c r="B454" s="1">
        <v>44756</v>
      </c>
      <c r="C454" t="s">
        <v>1137</v>
      </c>
      <c r="D454" t="s">
        <v>18</v>
      </c>
      <c r="E454" t="s">
        <v>19</v>
      </c>
      <c r="F454" t="s">
        <v>141</v>
      </c>
      <c r="G454" t="s">
        <v>420</v>
      </c>
      <c r="H454" s="8">
        <v>273.06</v>
      </c>
      <c r="I454" s="8">
        <v>-18.23</v>
      </c>
      <c r="J454" s="8">
        <v>0.21</v>
      </c>
      <c r="K454" t="str">
        <f>IF(SalesData[[#This Row],[Profit]]&gt;0,"Profit","Loss")</f>
        <v>Loss</v>
      </c>
      <c r="L454" s="8">
        <f>SalesData[[#This Row],[Profit]]/SalesData[[#This Row],[Sales]]</f>
        <v>-6.6761883835054561E-2</v>
      </c>
      <c r="M454" t="str">
        <f>TEXT(SalesData[[#This Row],[Order_Date]],"mmm")</f>
        <v>Jul</v>
      </c>
      <c r="N454">
        <f>YEAR(SalesData[[#This Row],[Order_Date]])</f>
        <v>2022</v>
      </c>
    </row>
    <row r="455" spans="1:14" x14ac:dyDescent="0.3">
      <c r="A455" t="s">
        <v>1138</v>
      </c>
      <c r="B455" s="1">
        <v>45081</v>
      </c>
      <c r="C455" t="s">
        <v>127</v>
      </c>
      <c r="D455" t="s">
        <v>18</v>
      </c>
      <c r="E455" t="s">
        <v>13</v>
      </c>
      <c r="F455" t="s">
        <v>24</v>
      </c>
      <c r="G455" t="s">
        <v>225</v>
      </c>
      <c r="H455" s="8">
        <v>3946</v>
      </c>
      <c r="I455" s="8">
        <v>-263.89999999999998</v>
      </c>
      <c r="J455" s="8">
        <v>0.27</v>
      </c>
      <c r="K455" t="str">
        <f>IF(SalesData[[#This Row],[Profit]]&gt;0,"Profit","Loss")</f>
        <v>Loss</v>
      </c>
      <c r="L455" s="8">
        <f>SalesData[[#This Row],[Profit]]/SalesData[[#This Row],[Sales]]</f>
        <v>-6.6877850988342619E-2</v>
      </c>
      <c r="M455" t="str">
        <f>TEXT(SalesData[[#This Row],[Order_Date]],"mmm")</f>
        <v>Jun</v>
      </c>
      <c r="N455">
        <f>YEAR(SalesData[[#This Row],[Order_Date]])</f>
        <v>2023</v>
      </c>
    </row>
    <row r="456" spans="1:14" x14ac:dyDescent="0.3">
      <c r="A456" t="s">
        <v>1139</v>
      </c>
      <c r="B456" s="1">
        <v>44826</v>
      </c>
      <c r="C456" t="s">
        <v>839</v>
      </c>
      <c r="D456" t="s">
        <v>18</v>
      </c>
      <c r="E456" t="s">
        <v>13</v>
      </c>
      <c r="F456" t="s">
        <v>24</v>
      </c>
      <c r="G456" t="s">
        <v>1140</v>
      </c>
      <c r="H456" s="8">
        <v>987.57</v>
      </c>
      <c r="I456" s="8">
        <v>-151.33000000000001</v>
      </c>
      <c r="J456" s="8">
        <v>0.03</v>
      </c>
      <c r="K456" t="str">
        <f>IF(SalesData[[#This Row],[Profit]]&gt;0,"Profit","Loss")</f>
        <v>Loss</v>
      </c>
      <c r="L456" s="8">
        <f>SalesData[[#This Row],[Profit]]/SalesData[[#This Row],[Sales]]</f>
        <v>-0.1532347074131454</v>
      </c>
      <c r="M456" t="str">
        <f>TEXT(SalesData[[#This Row],[Order_Date]],"mmm")</f>
        <v>Sep</v>
      </c>
      <c r="N456">
        <f>YEAR(SalesData[[#This Row],[Order_Date]])</f>
        <v>2022</v>
      </c>
    </row>
    <row r="457" spans="1:14" x14ac:dyDescent="0.3">
      <c r="A457" t="s">
        <v>1141</v>
      </c>
      <c r="B457" s="1">
        <v>44876</v>
      </c>
      <c r="C457" t="s">
        <v>1142</v>
      </c>
      <c r="D457" t="s">
        <v>40</v>
      </c>
      <c r="E457" t="s">
        <v>13</v>
      </c>
      <c r="F457" t="s">
        <v>36</v>
      </c>
      <c r="G457" t="s">
        <v>1143</v>
      </c>
      <c r="H457" s="8">
        <v>3306.73</v>
      </c>
      <c r="I457" s="8">
        <v>-449.73</v>
      </c>
      <c r="J457" s="8">
        <v>7.0000000000000007E-2</v>
      </c>
      <c r="K457" t="str">
        <f>IF(SalesData[[#This Row],[Profit]]&gt;0,"Profit","Loss")</f>
        <v>Loss</v>
      </c>
      <c r="L457" s="8">
        <f>SalesData[[#This Row],[Profit]]/SalesData[[#This Row],[Sales]]</f>
        <v>-0.13600445152764212</v>
      </c>
      <c r="M457" t="str">
        <f>TEXT(SalesData[[#This Row],[Order_Date]],"mmm")</f>
        <v>Nov</v>
      </c>
      <c r="N457">
        <f>YEAR(SalesData[[#This Row],[Order_Date]])</f>
        <v>2022</v>
      </c>
    </row>
    <row r="458" spans="1:14" x14ac:dyDescent="0.3">
      <c r="A458" t="s">
        <v>1144</v>
      </c>
      <c r="B458" s="1">
        <v>45211</v>
      </c>
      <c r="C458" t="s">
        <v>55</v>
      </c>
      <c r="D458" t="s">
        <v>12</v>
      </c>
      <c r="E458" t="s">
        <v>19</v>
      </c>
      <c r="F458" t="s">
        <v>141</v>
      </c>
      <c r="G458" t="s">
        <v>406</v>
      </c>
      <c r="H458" s="8">
        <v>1540.85</v>
      </c>
      <c r="I458" s="8">
        <v>-273.77999999999997</v>
      </c>
      <c r="J458" s="8">
        <v>0.26</v>
      </c>
      <c r="K458" t="str">
        <f>IF(SalesData[[#This Row],[Profit]]&gt;0,"Profit","Loss")</f>
        <v>Loss</v>
      </c>
      <c r="L458" s="8">
        <f>SalesData[[#This Row],[Profit]]/SalesData[[#This Row],[Sales]]</f>
        <v>-0.17768115001460233</v>
      </c>
      <c r="M458" t="str">
        <f>TEXT(SalesData[[#This Row],[Order_Date]],"mmm")</f>
        <v>Oct</v>
      </c>
      <c r="N458">
        <f>YEAR(SalesData[[#This Row],[Order_Date]])</f>
        <v>2023</v>
      </c>
    </row>
    <row r="459" spans="1:14" x14ac:dyDescent="0.3">
      <c r="A459" t="s">
        <v>1145</v>
      </c>
      <c r="B459" s="1">
        <v>44985</v>
      </c>
      <c r="C459" t="s">
        <v>1073</v>
      </c>
      <c r="D459" t="s">
        <v>18</v>
      </c>
      <c r="E459" t="s">
        <v>56</v>
      </c>
      <c r="F459" t="s">
        <v>73</v>
      </c>
      <c r="G459" t="s">
        <v>551</v>
      </c>
      <c r="H459" s="8">
        <v>687.1</v>
      </c>
      <c r="I459" s="8">
        <v>-56.41</v>
      </c>
      <c r="J459" s="8">
        <v>0.2</v>
      </c>
      <c r="K459" t="str">
        <f>IF(SalesData[[#This Row],[Profit]]&gt;0,"Profit","Loss")</f>
        <v>Loss</v>
      </c>
      <c r="L459" s="8">
        <f>SalesData[[#This Row],[Profit]]/SalesData[[#This Row],[Sales]]</f>
        <v>-8.2098675593072323E-2</v>
      </c>
      <c r="M459" t="str">
        <f>TEXT(SalesData[[#This Row],[Order_Date]],"mmm")</f>
        <v>Feb</v>
      </c>
      <c r="N459">
        <f>YEAR(SalesData[[#This Row],[Order_Date]])</f>
        <v>2023</v>
      </c>
    </row>
    <row r="460" spans="1:14" x14ac:dyDescent="0.3">
      <c r="A460" t="s">
        <v>1146</v>
      </c>
      <c r="B460" s="1">
        <v>45030</v>
      </c>
      <c r="C460" t="s">
        <v>1147</v>
      </c>
      <c r="D460" t="s">
        <v>40</v>
      </c>
      <c r="E460" t="s">
        <v>56</v>
      </c>
      <c r="F460" t="s">
        <v>95</v>
      </c>
      <c r="G460" t="s">
        <v>1148</v>
      </c>
      <c r="H460" s="8">
        <v>2105.04</v>
      </c>
      <c r="I460" s="8">
        <v>366.22</v>
      </c>
      <c r="J460" s="8">
        <v>0.17</v>
      </c>
      <c r="K460" t="str">
        <f>IF(SalesData[[#This Row],[Profit]]&gt;0,"Profit","Loss")</f>
        <v>Profit</v>
      </c>
      <c r="L460" s="8">
        <f>SalesData[[#This Row],[Profit]]/SalesData[[#This Row],[Sales]]</f>
        <v>0.17397294113175998</v>
      </c>
      <c r="M460" t="str">
        <f>TEXT(SalesData[[#This Row],[Order_Date]],"mmm")</f>
        <v>Apr</v>
      </c>
      <c r="N460">
        <f>YEAR(SalesData[[#This Row],[Order_Date]])</f>
        <v>2023</v>
      </c>
    </row>
    <row r="461" spans="1:14" x14ac:dyDescent="0.3">
      <c r="A461" t="s">
        <v>1149</v>
      </c>
      <c r="B461" s="1">
        <v>44743</v>
      </c>
      <c r="C461" t="s">
        <v>446</v>
      </c>
      <c r="D461" t="s">
        <v>12</v>
      </c>
      <c r="E461" t="s">
        <v>13</v>
      </c>
      <c r="F461" t="s">
        <v>14</v>
      </c>
      <c r="G461" t="s">
        <v>1150</v>
      </c>
      <c r="H461" s="8">
        <v>3916.81</v>
      </c>
      <c r="I461" s="8">
        <v>112.1</v>
      </c>
      <c r="J461" s="8">
        <v>0.15</v>
      </c>
      <c r="K461" t="str">
        <f>IF(SalesData[[#This Row],[Profit]]&gt;0,"Profit","Loss")</f>
        <v>Profit</v>
      </c>
      <c r="L461" s="8">
        <f>SalesData[[#This Row],[Profit]]/SalesData[[#This Row],[Sales]]</f>
        <v>2.8620229217143543E-2</v>
      </c>
      <c r="M461" t="str">
        <f>TEXT(SalesData[[#This Row],[Order_Date]],"mmm")</f>
        <v>Jul</v>
      </c>
      <c r="N461">
        <f>YEAR(SalesData[[#This Row],[Order_Date]])</f>
        <v>2022</v>
      </c>
    </row>
    <row r="462" spans="1:14" x14ac:dyDescent="0.3">
      <c r="A462" t="s">
        <v>1151</v>
      </c>
      <c r="B462" s="1">
        <v>44724</v>
      </c>
      <c r="C462" t="s">
        <v>888</v>
      </c>
      <c r="D462" t="s">
        <v>12</v>
      </c>
      <c r="E462" t="s">
        <v>19</v>
      </c>
      <c r="F462" t="s">
        <v>29</v>
      </c>
      <c r="G462" t="s">
        <v>525</v>
      </c>
      <c r="H462" s="8">
        <v>1125.97</v>
      </c>
      <c r="I462" s="8">
        <v>-94.84</v>
      </c>
      <c r="J462" s="8">
        <v>0.23</v>
      </c>
      <c r="K462" t="str">
        <f>IF(SalesData[[#This Row],[Profit]]&gt;0,"Profit","Loss")</f>
        <v>Loss</v>
      </c>
      <c r="L462" s="8">
        <f>SalesData[[#This Row],[Profit]]/SalesData[[#This Row],[Sales]]</f>
        <v>-8.4229597591410077E-2</v>
      </c>
      <c r="M462" t="str">
        <f>TEXT(SalesData[[#This Row],[Order_Date]],"mmm")</f>
        <v>Jun</v>
      </c>
      <c r="N462">
        <f>YEAR(SalesData[[#This Row],[Order_Date]])</f>
        <v>2022</v>
      </c>
    </row>
    <row r="463" spans="1:14" x14ac:dyDescent="0.3">
      <c r="A463" t="s">
        <v>1152</v>
      </c>
      <c r="B463" s="1">
        <v>44954</v>
      </c>
      <c r="C463" t="s">
        <v>1153</v>
      </c>
      <c r="D463" t="s">
        <v>12</v>
      </c>
      <c r="E463" t="s">
        <v>13</v>
      </c>
      <c r="F463" t="s">
        <v>36</v>
      </c>
      <c r="G463" t="s">
        <v>1035</v>
      </c>
      <c r="H463" s="8">
        <v>3204.09</v>
      </c>
      <c r="I463" s="8">
        <v>830.49</v>
      </c>
      <c r="J463" s="8">
        <v>0.12</v>
      </c>
      <c r="K463" t="str">
        <f>IF(SalesData[[#This Row],[Profit]]&gt;0,"Profit","Loss")</f>
        <v>Profit</v>
      </c>
      <c r="L463" s="8">
        <f>SalesData[[#This Row],[Profit]]/SalesData[[#This Row],[Sales]]</f>
        <v>0.25919683904010188</v>
      </c>
      <c r="M463" t="str">
        <f>TEXT(SalesData[[#This Row],[Order_Date]],"mmm")</f>
        <v>Jan</v>
      </c>
      <c r="N463">
        <f>YEAR(SalesData[[#This Row],[Order_Date]])</f>
        <v>2023</v>
      </c>
    </row>
    <row r="464" spans="1:14" x14ac:dyDescent="0.3">
      <c r="A464" t="s">
        <v>1154</v>
      </c>
      <c r="B464" s="1">
        <v>45105</v>
      </c>
      <c r="C464" t="s">
        <v>1155</v>
      </c>
      <c r="D464" t="s">
        <v>12</v>
      </c>
      <c r="E464" t="s">
        <v>56</v>
      </c>
      <c r="F464" t="s">
        <v>73</v>
      </c>
      <c r="G464" t="s">
        <v>1156</v>
      </c>
      <c r="H464" s="8">
        <v>1928.2</v>
      </c>
      <c r="I464" s="8">
        <v>-12.87</v>
      </c>
      <c r="J464" s="8">
        <v>0</v>
      </c>
      <c r="K464" t="str">
        <f>IF(SalesData[[#This Row],[Profit]]&gt;0,"Profit","Loss")</f>
        <v>Loss</v>
      </c>
      <c r="L464" s="8">
        <f>SalesData[[#This Row],[Profit]]/SalesData[[#This Row],[Sales]]</f>
        <v>-6.6746188154755727E-3</v>
      </c>
      <c r="M464" t="str">
        <f>TEXT(SalesData[[#This Row],[Order_Date]],"mmm")</f>
        <v>Jun</v>
      </c>
      <c r="N464">
        <f>YEAR(SalesData[[#This Row],[Order_Date]])</f>
        <v>2023</v>
      </c>
    </row>
    <row r="465" spans="1:14" x14ac:dyDescent="0.3">
      <c r="A465" t="s">
        <v>1157</v>
      </c>
      <c r="B465" s="1">
        <v>44881</v>
      </c>
      <c r="C465" t="s">
        <v>1158</v>
      </c>
      <c r="D465" t="s">
        <v>12</v>
      </c>
      <c r="E465" t="s">
        <v>56</v>
      </c>
      <c r="F465" t="s">
        <v>73</v>
      </c>
      <c r="G465" t="s">
        <v>380</v>
      </c>
      <c r="H465" s="8">
        <v>3694.66</v>
      </c>
      <c r="I465" s="8">
        <v>946.54</v>
      </c>
      <c r="J465" s="8">
        <v>7.0000000000000007E-2</v>
      </c>
      <c r="K465" t="str">
        <f>IF(SalesData[[#This Row],[Profit]]&gt;0,"Profit","Loss")</f>
        <v>Profit</v>
      </c>
      <c r="L465" s="8">
        <f>SalesData[[#This Row],[Profit]]/SalesData[[#This Row],[Sales]]</f>
        <v>0.25619136808258408</v>
      </c>
      <c r="M465" t="str">
        <f>TEXT(SalesData[[#This Row],[Order_Date]],"mmm")</f>
        <v>Nov</v>
      </c>
      <c r="N465">
        <f>YEAR(SalesData[[#This Row],[Order_Date]])</f>
        <v>2022</v>
      </c>
    </row>
    <row r="466" spans="1:14" x14ac:dyDescent="0.3">
      <c r="A466" t="s">
        <v>1159</v>
      </c>
      <c r="B466" s="1">
        <v>44859</v>
      </c>
      <c r="C466" t="s">
        <v>195</v>
      </c>
      <c r="D466" t="s">
        <v>40</v>
      </c>
      <c r="E466" t="s">
        <v>13</v>
      </c>
      <c r="F466" t="s">
        <v>24</v>
      </c>
      <c r="G466" t="s">
        <v>1001</v>
      </c>
      <c r="H466" s="8">
        <v>1599.96</v>
      </c>
      <c r="I466" s="8">
        <v>-308.10000000000002</v>
      </c>
      <c r="J466" s="8">
        <v>0.02</v>
      </c>
      <c r="K466" t="str">
        <f>IF(SalesData[[#This Row],[Profit]]&gt;0,"Profit","Loss")</f>
        <v>Loss</v>
      </c>
      <c r="L466" s="8">
        <f>SalesData[[#This Row],[Profit]]/SalesData[[#This Row],[Sales]]</f>
        <v>-0.19256731418285458</v>
      </c>
      <c r="M466" t="str">
        <f>TEXT(SalesData[[#This Row],[Order_Date]],"mmm")</f>
        <v>Oct</v>
      </c>
      <c r="N466">
        <f>YEAR(SalesData[[#This Row],[Order_Date]])</f>
        <v>2022</v>
      </c>
    </row>
    <row r="467" spans="1:14" x14ac:dyDescent="0.3">
      <c r="A467" t="s">
        <v>1160</v>
      </c>
      <c r="B467" s="1">
        <v>44754</v>
      </c>
      <c r="C467" t="s">
        <v>1161</v>
      </c>
      <c r="D467" t="s">
        <v>28</v>
      </c>
      <c r="E467" t="s">
        <v>13</v>
      </c>
      <c r="F467" t="s">
        <v>14</v>
      </c>
      <c r="G467" t="s">
        <v>1162</v>
      </c>
      <c r="H467" s="8">
        <v>1779.39</v>
      </c>
      <c r="I467" s="8">
        <v>-452.76</v>
      </c>
      <c r="J467" s="8">
        <v>0.27</v>
      </c>
      <c r="K467" t="str">
        <f>IF(SalesData[[#This Row],[Profit]]&gt;0,"Profit","Loss")</f>
        <v>Loss</v>
      </c>
      <c r="L467" s="8">
        <f>SalesData[[#This Row],[Profit]]/SalesData[[#This Row],[Sales]]</f>
        <v>-0.25444674860485894</v>
      </c>
      <c r="M467" t="str">
        <f>TEXT(SalesData[[#This Row],[Order_Date]],"mmm")</f>
        <v>Jul</v>
      </c>
      <c r="N467">
        <f>YEAR(SalesData[[#This Row],[Order_Date]])</f>
        <v>2022</v>
      </c>
    </row>
    <row r="468" spans="1:14" x14ac:dyDescent="0.3">
      <c r="A468" t="s">
        <v>1163</v>
      </c>
      <c r="B468" s="1">
        <v>45165</v>
      </c>
      <c r="C468" t="s">
        <v>653</v>
      </c>
      <c r="D468" t="s">
        <v>18</v>
      </c>
      <c r="E468" t="s">
        <v>56</v>
      </c>
      <c r="F468" t="s">
        <v>57</v>
      </c>
      <c r="G468" t="s">
        <v>933</v>
      </c>
      <c r="H468" s="8">
        <v>3663.13</v>
      </c>
      <c r="I468" s="8">
        <v>734.26</v>
      </c>
      <c r="J468" s="8">
        <v>0.04</v>
      </c>
      <c r="K468" t="str">
        <f>IF(SalesData[[#This Row],[Profit]]&gt;0,"Profit","Loss")</f>
        <v>Profit</v>
      </c>
      <c r="L468" s="8">
        <f>SalesData[[#This Row],[Profit]]/SalesData[[#This Row],[Sales]]</f>
        <v>0.20044606661516243</v>
      </c>
      <c r="M468" t="str">
        <f>TEXT(SalesData[[#This Row],[Order_Date]],"mmm")</f>
        <v>Aug</v>
      </c>
      <c r="N468">
        <f>YEAR(SalesData[[#This Row],[Order_Date]])</f>
        <v>2023</v>
      </c>
    </row>
    <row r="469" spans="1:14" x14ac:dyDescent="0.3">
      <c r="A469" t="s">
        <v>1164</v>
      </c>
      <c r="B469" s="1">
        <v>44823</v>
      </c>
      <c r="C469" t="s">
        <v>144</v>
      </c>
      <c r="D469" t="s">
        <v>12</v>
      </c>
      <c r="E469" t="s">
        <v>19</v>
      </c>
      <c r="F469" t="s">
        <v>141</v>
      </c>
      <c r="G469" t="s">
        <v>1165</v>
      </c>
      <c r="H469" s="8">
        <v>3287.65</v>
      </c>
      <c r="I469" s="8">
        <v>1038.6600000000001</v>
      </c>
      <c r="J469" s="8">
        <v>0.01</v>
      </c>
      <c r="K469" t="str">
        <f>IF(SalesData[[#This Row],[Profit]]&gt;0,"Profit","Loss")</f>
        <v>Profit</v>
      </c>
      <c r="L469" s="8">
        <f>SalesData[[#This Row],[Profit]]/SalesData[[#This Row],[Sales]]</f>
        <v>0.31592779036697949</v>
      </c>
      <c r="M469" t="str">
        <f>TEXT(SalesData[[#This Row],[Order_Date]],"mmm")</f>
        <v>Sep</v>
      </c>
      <c r="N469">
        <f>YEAR(SalesData[[#This Row],[Order_Date]])</f>
        <v>2022</v>
      </c>
    </row>
    <row r="470" spans="1:14" x14ac:dyDescent="0.3">
      <c r="A470" t="s">
        <v>1166</v>
      </c>
      <c r="B470" s="1">
        <v>44680</v>
      </c>
      <c r="C470" t="s">
        <v>1167</v>
      </c>
      <c r="D470" t="s">
        <v>28</v>
      </c>
      <c r="E470" t="s">
        <v>56</v>
      </c>
      <c r="F470" t="s">
        <v>73</v>
      </c>
      <c r="G470" t="s">
        <v>111</v>
      </c>
      <c r="H470" s="8">
        <v>629.76</v>
      </c>
      <c r="I470" s="8">
        <v>-265.17</v>
      </c>
      <c r="J470" s="8">
        <v>0.25</v>
      </c>
      <c r="K470" t="str">
        <f>IF(SalesData[[#This Row],[Profit]]&gt;0,"Profit","Loss")</f>
        <v>Loss</v>
      </c>
      <c r="L470" s="8">
        <f>SalesData[[#This Row],[Profit]]/SalesData[[#This Row],[Sales]]</f>
        <v>-0.42106516768292684</v>
      </c>
      <c r="M470" t="str">
        <f>TEXT(SalesData[[#This Row],[Order_Date]],"mmm")</f>
        <v>Apr</v>
      </c>
      <c r="N470">
        <f>YEAR(SalesData[[#This Row],[Order_Date]])</f>
        <v>2022</v>
      </c>
    </row>
    <row r="471" spans="1:14" x14ac:dyDescent="0.3">
      <c r="A471" t="s">
        <v>1168</v>
      </c>
      <c r="B471" s="1">
        <v>45264</v>
      </c>
      <c r="C471" t="s">
        <v>1169</v>
      </c>
      <c r="D471" t="s">
        <v>12</v>
      </c>
      <c r="E471" t="s">
        <v>56</v>
      </c>
      <c r="F471" t="s">
        <v>73</v>
      </c>
      <c r="G471" t="s">
        <v>1170</v>
      </c>
      <c r="H471" s="8">
        <v>1338.42</v>
      </c>
      <c r="I471" s="8">
        <v>-383.73</v>
      </c>
      <c r="J471" s="8">
        <v>0.21</v>
      </c>
      <c r="K471" t="str">
        <f>IF(SalesData[[#This Row],[Profit]]&gt;0,"Profit","Loss")</f>
        <v>Loss</v>
      </c>
      <c r="L471" s="8">
        <f>SalesData[[#This Row],[Profit]]/SalesData[[#This Row],[Sales]]</f>
        <v>-0.28670372528802618</v>
      </c>
      <c r="M471" t="str">
        <f>TEXT(SalesData[[#This Row],[Order_Date]],"mmm")</f>
        <v>Dec</v>
      </c>
      <c r="N471">
        <f>YEAR(SalesData[[#This Row],[Order_Date]])</f>
        <v>2023</v>
      </c>
    </row>
    <row r="472" spans="1:14" x14ac:dyDescent="0.3">
      <c r="A472" t="s">
        <v>1171</v>
      </c>
      <c r="B472" s="1">
        <v>45279</v>
      </c>
      <c r="C472" t="s">
        <v>1172</v>
      </c>
      <c r="D472" t="s">
        <v>28</v>
      </c>
      <c r="E472" t="s">
        <v>19</v>
      </c>
      <c r="F472" t="s">
        <v>141</v>
      </c>
      <c r="G472" t="s">
        <v>395</v>
      </c>
      <c r="H472" s="8">
        <v>594.79999999999995</v>
      </c>
      <c r="I472" s="8">
        <v>8.14</v>
      </c>
      <c r="J472" s="8">
        <v>0.16</v>
      </c>
      <c r="K472" t="str">
        <f>IF(SalesData[[#This Row],[Profit]]&gt;0,"Profit","Loss")</f>
        <v>Profit</v>
      </c>
      <c r="L472" s="8">
        <f>SalesData[[#This Row],[Profit]]/SalesData[[#This Row],[Sales]]</f>
        <v>1.3685272360457298E-2</v>
      </c>
      <c r="M472" t="str">
        <f>TEXT(SalesData[[#This Row],[Order_Date]],"mmm")</f>
        <v>Dec</v>
      </c>
      <c r="N472">
        <f>YEAR(SalesData[[#This Row],[Order_Date]])</f>
        <v>2023</v>
      </c>
    </row>
    <row r="473" spans="1:14" x14ac:dyDescent="0.3">
      <c r="A473" t="s">
        <v>1173</v>
      </c>
      <c r="B473" s="1">
        <v>44670</v>
      </c>
      <c r="C473" t="s">
        <v>1174</v>
      </c>
      <c r="D473" t="s">
        <v>18</v>
      </c>
      <c r="E473" t="s">
        <v>56</v>
      </c>
      <c r="F473" t="s">
        <v>73</v>
      </c>
      <c r="G473" t="s">
        <v>44</v>
      </c>
      <c r="H473" s="8">
        <v>3621.95</v>
      </c>
      <c r="I473" s="8">
        <v>-621.5</v>
      </c>
      <c r="J473" s="8">
        <v>0.04</v>
      </c>
      <c r="K473" t="str">
        <f>IF(SalesData[[#This Row],[Profit]]&gt;0,"Profit","Loss")</f>
        <v>Loss</v>
      </c>
      <c r="L473" s="8">
        <f>SalesData[[#This Row],[Profit]]/SalesData[[#This Row],[Sales]]</f>
        <v>-0.17159265036789575</v>
      </c>
      <c r="M473" t="str">
        <f>TEXT(SalesData[[#This Row],[Order_Date]],"mmm")</f>
        <v>Apr</v>
      </c>
      <c r="N473">
        <f>YEAR(SalesData[[#This Row],[Order_Date]])</f>
        <v>2022</v>
      </c>
    </row>
    <row r="474" spans="1:14" x14ac:dyDescent="0.3">
      <c r="A474" t="s">
        <v>1175</v>
      </c>
      <c r="B474" s="1">
        <v>44981</v>
      </c>
      <c r="C474" t="s">
        <v>382</v>
      </c>
      <c r="D474" t="s">
        <v>18</v>
      </c>
      <c r="E474" t="s">
        <v>56</v>
      </c>
      <c r="F474" t="s">
        <v>95</v>
      </c>
      <c r="G474" t="s">
        <v>1176</v>
      </c>
      <c r="H474" s="8">
        <v>4174.34</v>
      </c>
      <c r="I474" s="8">
        <v>-1148.97</v>
      </c>
      <c r="J474" s="8">
        <v>0.28999999999999998</v>
      </c>
      <c r="K474" t="str">
        <f>IF(SalesData[[#This Row],[Profit]]&gt;0,"Profit","Loss")</f>
        <v>Loss</v>
      </c>
      <c r="L474" s="8">
        <f>SalesData[[#This Row],[Profit]]/SalesData[[#This Row],[Sales]]</f>
        <v>-0.27524590713741576</v>
      </c>
      <c r="M474" t="str">
        <f>TEXT(SalesData[[#This Row],[Order_Date]],"mmm")</f>
        <v>Feb</v>
      </c>
      <c r="N474">
        <f>YEAR(SalesData[[#This Row],[Order_Date]])</f>
        <v>2023</v>
      </c>
    </row>
    <row r="475" spans="1:14" x14ac:dyDescent="0.3">
      <c r="A475" t="s">
        <v>1177</v>
      </c>
      <c r="B475" s="1">
        <v>44802</v>
      </c>
      <c r="C475" t="s">
        <v>1178</v>
      </c>
      <c r="D475" t="s">
        <v>12</v>
      </c>
      <c r="E475" t="s">
        <v>13</v>
      </c>
      <c r="F475" t="s">
        <v>36</v>
      </c>
      <c r="G475" t="s">
        <v>453</v>
      </c>
      <c r="H475" s="8">
        <v>4560.75</v>
      </c>
      <c r="I475" s="8">
        <v>-554.59</v>
      </c>
      <c r="J475" s="8">
        <v>0.21</v>
      </c>
      <c r="K475" t="str">
        <f>IF(SalesData[[#This Row],[Profit]]&gt;0,"Profit","Loss")</f>
        <v>Loss</v>
      </c>
      <c r="L475" s="8">
        <f>SalesData[[#This Row],[Profit]]/SalesData[[#This Row],[Sales]]</f>
        <v>-0.12160061393411171</v>
      </c>
      <c r="M475" t="str">
        <f>TEXT(SalesData[[#This Row],[Order_Date]],"mmm")</f>
        <v>Aug</v>
      </c>
      <c r="N475">
        <f>YEAR(SalesData[[#This Row],[Order_Date]])</f>
        <v>2022</v>
      </c>
    </row>
    <row r="476" spans="1:14" x14ac:dyDescent="0.3">
      <c r="A476" t="s">
        <v>1179</v>
      </c>
      <c r="B476" s="1">
        <v>44654</v>
      </c>
      <c r="C476" t="s">
        <v>617</v>
      </c>
      <c r="D476" t="s">
        <v>12</v>
      </c>
      <c r="E476" t="s">
        <v>56</v>
      </c>
      <c r="F476" t="s">
        <v>57</v>
      </c>
      <c r="G476" t="s">
        <v>737</v>
      </c>
      <c r="H476" s="8">
        <v>4192.6400000000003</v>
      </c>
      <c r="I476" s="8">
        <v>-1301.8699999999999</v>
      </c>
      <c r="J476" s="8">
        <v>0.2</v>
      </c>
      <c r="K476" t="str">
        <f>IF(SalesData[[#This Row],[Profit]]&gt;0,"Profit","Loss")</f>
        <v>Loss</v>
      </c>
      <c r="L476" s="8">
        <f>SalesData[[#This Row],[Profit]]/SalesData[[#This Row],[Sales]]</f>
        <v>-0.31051318500992209</v>
      </c>
      <c r="M476" t="str">
        <f>TEXT(SalesData[[#This Row],[Order_Date]],"mmm")</f>
        <v>Apr</v>
      </c>
      <c r="N476">
        <f>YEAR(SalesData[[#This Row],[Order_Date]])</f>
        <v>2022</v>
      </c>
    </row>
    <row r="477" spans="1:14" x14ac:dyDescent="0.3">
      <c r="A477" t="s">
        <v>1180</v>
      </c>
      <c r="B477" s="1">
        <v>44865</v>
      </c>
      <c r="C477" t="s">
        <v>1181</v>
      </c>
      <c r="D477" t="s">
        <v>28</v>
      </c>
      <c r="E477" t="s">
        <v>13</v>
      </c>
      <c r="F477" t="s">
        <v>14</v>
      </c>
      <c r="G477" t="s">
        <v>1182</v>
      </c>
      <c r="H477" s="8">
        <v>4533.42</v>
      </c>
      <c r="I477" s="8">
        <v>-525.65</v>
      </c>
      <c r="J477" s="8">
        <v>0.19</v>
      </c>
      <c r="K477" t="str">
        <f>IF(SalesData[[#This Row],[Profit]]&gt;0,"Profit","Loss")</f>
        <v>Loss</v>
      </c>
      <c r="L477" s="8">
        <f>SalesData[[#This Row],[Profit]]/SalesData[[#This Row],[Sales]]</f>
        <v>-0.11594998919138309</v>
      </c>
      <c r="M477" t="str">
        <f>TEXT(SalesData[[#This Row],[Order_Date]],"mmm")</f>
        <v>Oct</v>
      </c>
      <c r="N477">
        <f>YEAR(SalesData[[#This Row],[Order_Date]])</f>
        <v>2022</v>
      </c>
    </row>
    <row r="478" spans="1:14" x14ac:dyDescent="0.3">
      <c r="A478" t="s">
        <v>1183</v>
      </c>
      <c r="B478" s="1">
        <v>45255</v>
      </c>
      <c r="C478" t="s">
        <v>446</v>
      </c>
      <c r="D478" t="s">
        <v>28</v>
      </c>
      <c r="E478" t="s">
        <v>56</v>
      </c>
      <c r="F478" t="s">
        <v>57</v>
      </c>
      <c r="G478" t="s">
        <v>1184</v>
      </c>
      <c r="H478" s="8">
        <v>4383.29</v>
      </c>
      <c r="I478" s="8">
        <v>-1068.96</v>
      </c>
      <c r="J478" s="8">
        <v>0.26</v>
      </c>
      <c r="K478" t="str">
        <f>IF(SalesData[[#This Row],[Profit]]&gt;0,"Profit","Loss")</f>
        <v>Loss</v>
      </c>
      <c r="L478" s="8">
        <f>SalesData[[#This Row],[Profit]]/SalesData[[#This Row],[Sales]]</f>
        <v>-0.24387161241898209</v>
      </c>
      <c r="M478" t="str">
        <f>TEXT(SalesData[[#This Row],[Order_Date]],"mmm")</f>
        <v>Nov</v>
      </c>
      <c r="N478">
        <f>YEAR(SalesData[[#This Row],[Order_Date]])</f>
        <v>2023</v>
      </c>
    </row>
    <row r="479" spans="1:14" x14ac:dyDescent="0.3">
      <c r="A479" t="s">
        <v>1185</v>
      </c>
      <c r="B479" s="1">
        <v>44703</v>
      </c>
      <c r="C479" t="s">
        <v>1186</v>
      </c>
      <c r="D479" t="s">
        <v>18</v>
      </c>
      <c r="E479" t="s">
        <v>56</v>
      </c>
      <c r="F479" t="s">
        <v>57</v>
      </c>
      <c r="G479" t="s">
        <v>426</v>
      </c>
      <c r="H479" s="8">
        <v>4271.1000000000004</v>
      </c>
      <c r="I479" s="8">
        <v>-1982.63</v>
      </c>
      <c r="J479" s="8">
        <v>0.27</v>
      </c>
      <c r="K479" t="str">
        <f>IF(SalesData[[#This Row],[Profit]]&gt;0,"Profit","Loss")</f>
        <v>Loss</v>
      </c>
      <c r="L479" s="8">
        <f>SalesData[[#This Row],[Profit]]/SalesData[[#This Row],[Sales]]</f>
        <v>-0.46419657699421696</v>
      </c>
      <c r="M479" t="str">
        <f>TEXT(SalesData[[#This Row],[Order_Date]],"mmm")</f>
        <v>May</v>
      </c>
      <c r="N479">
        <f>YEAR(SalesData[[#This Row],[Order_Date]])</f>
        <v>2022</v>
      </c>
    </row>
    <row r="480" spans="1:14" x14ac:dyDescent="0.3">
      <c r="A480" t="s">
        <v>1187</v>
      </c>
      <c r="B480" s="1">
        <v>44943</v>
      </c>
      <c r="C480" t="s">
        <v>1066</v>
      </c>
      <c r="D480" t="s">
        <v>18</v>
      </c>
      <c r="E480" t="s">
        <v>19</v>
      </c>
      <c r="F480" t="s">
        <v>29</v>
      </c>
      <c r="G480" t="s">
        <v>457</v>
      </c>
      <c r="H480" s="8">
        <v>4779.9399999999996</v>
      </c>
      <c r="I480" s="8">
        <v>764.03</v>
      </c>
      <c r="J480" s="8">
        <v>0.08</v>
      </c>
      <c r="K480" t="str">
        <f>IF(SalesData[[#This Row],[Profit]]&gt;0,"Profit","Loss")</f>
        <v>Profit</v>
      </c>
      <c r="L480" s="8">
        <f>SalesData[[#This Row],[Profit]]/SalesData[[#This Row],[Sales]]</f>
        <v>0.1598409185052532</v>
      </c>
      <c r="M480" t="str">
        <f>TEXT(SalesData[[#This Row],[Order_Date]],"mmm")</f>
        <v>Jan</v>
      </c>
      <c r="N480">
        <f>YEAR(SalesData[[#This Row],[Order_Date]])</f>
        <v>2023</v>
      </c>
    </row>
    <row r="481" spans="1:14" x14ac:dyDescent="0.3">
      <c r="A481" t="s">
        <v>1188</v>
      </c>
      <c r="B481" s="1">
        <v>45051</v>
      </c>
      <c r="C481" t="s">
        <v>1189</v>
      </c>
      <c r="D481" t="s">
        <v>18</v>
      </c>
      <c r="E481" t="s">
        <v>19</v>
      </c>
      <c r="F481" t="s">
        <v>29</v>
      </c>
      <c r="G481" t="s">
        <v>67</v>
      </c>
      <c r="H481" s="8">
        <v>4815.32</v>
      </c>
      <c r="I481" s="8">
        <v>-233.88</v>
      </c>
      <c r="J481" s="8">
        <v>0.08</v>
      </c>
      <c r="K481" t="str">
        <f>IF(SalesData[[#This Row],[Profit]]&gt;0,"Profit","Loss")</f>
        <v>Loss</v>
      </c>
      <c r="L481" s="8">
        <f>SalesData[[#This Row],[Profit]]/SalesData[[#This Row],[Sales]]</f>
        <v>-4.8569980811244112E-2</v>
      </c>
      <c r="M481" t="str">
        <f>TEXT(SalesData[[#This Row],[Order_Date]],"mmm")</f>
        <v>May</v>
      </c>
      <c r="N481">
        <f>YEAR(SalesData[[#This Row],[Order_Date]])</f>
        <v>2023</v>
      </c>
    </row>
    <row r="482" spans="1:14" x14ac:dyDescent="0.3">
      <c r="A482" t="s">
        <v>1190</v>
      </c>
      <c r="B482" s="1">
        <v>44668</v>
      </c>
      <c r="C482" t="s">
        <v>1167</v>
      </c>
      <c r="D482" t="s">
        <v>28</v>
      </c>
      <c r="E482" t="s">
        <v>56</v>
      </c>
      <c r="F482" t="s">
        <v>73</v>
      </c>
      <c r="G482" t="s">
        <v>1191</v>
      </c>
      <c r="H482" s="8">
        <v>3659.41</v>
      </c>
      <c r="I482" s="8">
        <v>60.78</v>
      </c>
      <c r="J482" s="8">
        <v>0.28999999999999998</v>
      </c>
      <c r="K482" t="str">
        <f>IF(SalesData[[#This Row],[Profit]]&gt;0,"Profit","Loss")</f>
        <v>Profit</v>
      </c>
      <c r="L482" s="8">
        <f>SalesData[[#This Row],[Profit]]/SalesData[[#This Row],[Sales]]</f>
        <v>1.6609234822006828E-2</v>
      </c>
      <c r="M482" t="str">
        <f>TEXT(SalesData[[#This Row],[Order_Date]],"mmm")</f>
        <v>Apr</v>
      </c>
      <c r="N482">
        <f>YEAR(SalesData[[#This Row],[Order_Date]])</f>
        <v>2022</v>
      </c>
    </row>
    <row r="483" spans="1:14" x14ac:dyDescent="0.3">
      <c r="A483" t="s">
        <v>1192</v>
      </c>
      <c r="B483" s="1">
        <v>45188</v>
      </c>
      <c r="C483" t="s">
        <v>259</v>
      </c>
      <c r="D483" t="s">
        <v>18</v>
      </c>
      <c r="E483" t="s">
        <v>13</v>
      </c>
      <c r="F483" t="s">
        <v>24</v>
      </c>
      <c r="G483" t="s">
        <v>875</v>
      </c>
      <c r="H483" s="8">
        <v>2247</v>
      </c>
      <c r="I483" s="8">
        <v>196.61</v>
      </c>
      <c r="J483" s="8">
        <v>0.18</v>
      </c>
      <c r="K483" t="str">
        <f>IF(SalesData[[#This Row],[Profit]]&gt;0,"Profit","Loss")</f>
        <v>Profit</v>
      </c>
      <c r="L483" s="8">
        <f>SalesData[[#This Row],[Profit]]/SalesData[[#This Row],[Sales]]</f>
        <v>8.7498887405429465E-2</v>
      </c>
      <c r="M483" t="str">
        <f>TEXT(SalesData[[#This Row],[Order_Date]],"mmm")</f>
        <v>Sep</v>
      </c>
      <c r="N483">
        <f>YEAR(SalesData[[#This Row],[Order_Date]])</f>
        <v>2023</v>
      </c>
    </row>
    <row r="484" spans="1:14" x14ac:dyDescent="0.3">
      <c r="A484" t="s">
        <v>1193</v>
      </c>
      <c r="B484" s="1">
        <v>45232</v>
      </c>
      <c r="C484" t="s">
        <v>1194</v>
      </c>
      <c r="D484" t="s">
        <v>12</v>
      </c>
      <c r="E484" t="s">
        <v>19</v>
      </c>
      <c r="F484" t="s">
        <v>20</v>
      </c>
      <c r="G484" t="s">
        <v>682</v>
      </c>
      <c r="H484" s="8">
        <v>4449.21</v>
      </c>
      <c r="I484" s="8">
        <v>-1299.1600000000001</v>
      </c>
      <c r="J484" s="8">
        <v>0.13</v>
      </c>
      <c r="K484" t="str">
        <f>IF(SalesData[[#This Row],[Profit]]&gt;0,"Profit","Loss")</f>
        <v>Loss</v>
      </c>
      <c r="L484" s="8">
        <f>SalesData[[#This Row],[Profit]]/SalesData[[#This Row],[Sales]]</f>
        <v>-0.29199790524609986</v>
      </c>
      <c r="M484" t="str">
        <f>TEXT(SalesData[[#This Row],[Order_Date]],"mmm")</f>
        <v>Nov</v>
      </c>
      <c r="N484">
        <f>YEAR(SalesData[[#This Row],[Order_Date]])</f>
        <v>2023</v>
      </c>
    </row>
    <row r="485" spans="1:14" x14ac:dyDescent="0.3">
      <c r="A485" t="s">
        <v>1195</v>
      </c>
      <c r="B485" s="1">
        <v>45247</v>
      </c>
      <c r="C485" t="s">
        <v>1069</v>
      </c>
      <c r="D485" t="s">
        <v>12</v>
      </c>
      <c r="E485" t="s">
        <v>13</v>
      </c>
      <c r="F485" t="s">
        <v>24</v>
      </c>
      <c r="G485" t="s">
        <v>1196</v>
      </c>
      <c r="H485" s="8">
        <v>3860.89</v>
      </c>
      <c r="I485" s="8">
        <v>-119.66</v>
      </c>
      <c r="J485" s="8">
        <v>0.17</v>
      </c>
      <c r="K485" t="str">
        <f>IF(SalesData[[#This Row],[Profit]]&gt;0,"Profit","Loss")</f>
        <v>Loss</v>
      </c>
      <c r="L485" s="8">
        <f>SalesData[[#This Row],[Profit]]/SalesData[[#This Row],[Sales]]</f>
        <v>-3.0992853979263848E-2</v>
      </c>
      <c r="M485" t="str">
        <f>TEXT(SalesData[[#This Row],[Order_Date]],"mmm")</f>
        <v>Nov</v>
      </c>
      <c r="N485">
        <f>YEAR(SalesData[[#This Row],[Order_Date]])</f>
        <v>2023</v>
      </c>
    </row>
    <row r="486" spans="1:14" x14ac:dyDescent="0.3">
      <c r="A486" t="s">
        <v>1197</v>
      </c>
      <c r="B486" s="1">
        <v>44956</v>
      </c>
      <c r="C486" t="s">
        <v>284</v>
      </c>
      <c r="D486" t="s">
        <v>12</v>
      </c>
      <c r="E486" t="s">
        <v>13</v>
      </c>
      <c r="F486" t="s">
        <v>24</v>
      </c>
      <c r="G486" t="s">
        <v>1198</v>
      </c>
      <c r="H486" s="8">
        <v>1318.03</v>
      </c>
      <c r="I486" s="8">
        <v>139.41999999999999</v>
      </c>
      <c r="J486" s="8">
        <v>0.1</v>
      </c>
      <c r="K486" t="str">
        <f>IF(SalesData[[#This Row],[Profit]]&gt;0,"Profit","Loss")</f>
        <v>Profit</v>
      </c>
      <c r="L486" s="8">
        <f>SalesData[[#This Row],[Profit]]/SalesData[[#This Row],[Sales]]</f>
        <v>0.10577907938362556</v>
      </c>
      <c r="M486" t="str">
        <f>TEXT(SalesData[[#This Row],[Order_Date]],"mmm")</f>
        <v>Jan</v>
      </c>
      <c r="N486">
        <f>YEAR(SalesData[[#This Row],[Order_Date]])</f>
        <v>2023</v>
      </c>
    </row>
    <row r="487" spans="1:14" x14ac:dyDescent="0.3">
      <c r="A487" t="s">
        <v>1199</v>
      </c>
      <c r="B487" s="1">
        <v>44731</v>
      </c>
      <c r="C487" t="s">
        <v>1000</v>
      </c>
      <c r="D487" t="s">
        <v>28</v>
      </c>
      <c r="E487" t="s">
        <v>13</v>
      </c>
      <c r="F487" t="s">
        <v>14</v>
      </c>
      <c r="G487" t="s">
        <v>512</v>
      </c>
      <c r="H487" s="8">
        <v>2577.2800000000002</v>
      </c>
      <c r="I487" s="8">
        <v>-109.53</v>
      </c>
      <c r="J487" s="8">
        <v>0.14000000000000001</v>
      </c>
      <c r="K487" t="str">
        <f>IF(SalesData[[#This Row],[Profit]]&gt;0,"Profit","Loss")</f>
        <v>Loss</v>
      </c>
      <c r="L487" s="8">
        <f>SalesData[[#This Row],[Profit]]/SalesData[[#This Row],[Sales]]</f>
        <v>-4.2498292773777001E-2</v>
      </c>
      <c r="M487" t="str">
        <f>TEXT(SalesData[[#This Row],[Order_Date]],"mmm")</f>
        <v>Jun</v>
      </c>
      <c r="N487">
        <f>YEAR(SalesData[[#This Row],[Order_Date]])</f>
        <v>2022</v>
      </c>
    </row>
    <row r="488" spans="1:14" x14ac:dyDescent="0.3">
      <c r="A488" t="s">
        <v>1200</v>
      </c>
      <c r="B488" s="1">
        <v>45220</v>
      </c>
      <c r="C488" t="s">
        <v>1061</v>
      </c>
      <c r="D488" t="s">
        <v>28</v>
      </c>
      <c r="E488" t="s">
        <v>56</v>
      </c>
      <c r="F488" t="s">
        <v>95</v>
      </c>
      <c r="G488" t="s">
        <v>542</v>
      </c>
      <c r="H488" s="8">
        <v>4853.71</v>
      </c>
      <c r="I488" s="8">
        <v>-419.24</v>
      </c>
      <c r="J488" s="8">
        <v>0.02</v>
      </c>
      <c r="K488" t="str">
        <f>IF(SalesData[[#This Row],[Profit]]&gt;0,"Profit","Loss")</f>
        <v>Loss</v>
      </c>
      <c r="L488" s="8">
        <f>SalesData[[#This Row],[Profit]]/SalesData[[#This Row],[Sales]]</f>
        <v>-8.6375164564838028E-2</v>
      </c>
      <c r="M488" t="str">
        <f>TEXT(SalesData[[#This Row],[Order_Date]],"mmm")</f>
        <v>Oct</v>
      </c>
      <c r="N488">
        <f>YEAR(SalesData[[#This Row],[Order_Date]])</f>
        <v>2023</v>
      </c>
    </row>
    <row r="489" spans="1:14" x14ac:dyDescent="0.3">
      <c r="A489" t="s">
        <v>1201</v>
      </c>
      <c r="B489" s="1">
        <v>45072</v>
      </c>
      <c r="C489" t="s">
        <v>716</v>
      </c>
      <c r="D489" t="s">
        <v>40</v>
      </c>
      <c r="E489" t="s">
        <v>56</v>
      </c>
      <c r="F489" t="s">
        <v>57</v>
      </c>
      <c r="G489" t="s">
        <v>747</v>
      </c>
      <c r="H489" s="8">
        <v>2349.56</v>
      </c>
      <c r="I489" s="8">
        <v>-402.11</v>
      </c>
      <c r="J489" s="8">
        <v>0.24</v>
      </c>
      <c r="K489" t="str">
        <f>IF(SalesData[[#This Row],[Profit]]&gt;0,"Profit","Loss")</f>
        <v>Loss</v>
      </c>
      <c r="L489" s="8">
        <f>SalesData[[#This Row],[Profit]]/SalesData[[#This Row],[Sales]]</f>
        <v>-0.17114268203408298</v>
      </c>
      <c r="M489" t="str">
        <f>TEXT(SalesData[[#This Row],[Order_Date]],"mmm")</f>
        <v>May</v>
      </c>
      <c r="N489">
        <f>YEAR(SalesData[[#This Row],[Order_Date]])</f>
        <v>2023</v>
      </c>
    </row>
    <row r="490" spans="1:14" x14ac:dyDescent="0.3">
      <c r="A490" t="s">
        <v>1202</v>
      </c>
      <c r="B490" s="1">
        <v>45132</v>
      </c>
      <c r="C490" t="s">
        <v>906</v>
      </c>
      <c r="D490" t="s">
        <v>12</v>
      </c>
      <c r="E490" t="s">
        <v>19</v>
      </c>
      <c r="F490" t="s">
        <v>141</v>
      </c>
      <c r="G490" t="s">
        <v>1203</v>
      </c>
      <c r="H490" s="8">
        <v>3301.53</v>
      </c>
      <c r="I490" s="8">
        <v>57.46</v>
      </c>
      <c r="J490" s="8">
        <v>0.03</v>
      </c>
      <c r="K490" t="str">
        <f>IF(SalesData[[#This Row],[Profit]]&gt;0,"Profit","Loss")</f>
        <v>Profit</v>
      </c>
      <c r="L490" s="8">
        <f>SalesData[[#This Row],[Profit]]/SalesData[[#This Row],[Sales]]</f>
        <v>1.7404052060711245E-2</v>
      </c>
      <c r="M490" t="str">
        <f>TEXT(SalesData[[#This Row],[Order_Date]],"mmm")</f>
        <v>Jul</v>
      </c>
      <c r="N490">
        <f>YEAR(SalesData[[#This Row],[Order_Date]])</f>
        <v>2023</v>
      </c>
    </row>
    <row r="491" spans="1:14" x14ac:dyDescent="0.3">
      <c r="A491" t="s">
        <v>1204</v>
      </c>
      <c r="B491" s="1">
        <v>45137</v>
      </c>
      <c r="C491" t="s">
        <v>916</v>
      </c>
      <c r="D491" t="s">
        <v>28</v>
      </c>
      <c r="E491" t="s">
        <v>56</v>
      </c>
      <c r="F491" t="s">
        <v>73</v>
      </c>
      <c r="G491" t="s">
        <v>205</v>
      </c>
      <c r="H491" s="8">
        <v>4819.54</v>
      </c>
      <c r="I491" s="8">
        <v>694.33</v>
      </c>
      <c r="J491" s="8">
        <v>0.19</v>
      </c>
      <c r="K491" t="str">
        <f>IF(SalesData[[#This Row],[Profit]]&gt;0,"Profit","Loss")</f>
        <v>Profit</v>
      </c>
      <c r="L491" s="8">
        <f>SalesData[[#This Row],[Profit]]/SalesData[[#This Row],[Sales]]</f>
        <v>0.14406561622063518</v>
      </c>
      <c r="M491" t="str">
        <f>TEXT(SalesData[[#This Row],[Order_Date]],"mmm")</f>
        <v>Jul</v>
      </c>
      <c r="N491">
        <f>YEAR(SalesData[[#This Row],[Order_Date]])</f>
        <v>2023</v>
      </c>
    </row>
    <row r="492" spans="1:14" x14ac:dyDescent="0.3">
      <c r="A492" t="s">
        <v>1205</v>
      </c>
      <c r="B492" s="1">
        <v>44901</v>
      </c>
      <c r="C492" t="s">
        <v>1206</v>
      </c>
      <c r="D492" t="s">
        <v>28</v>
      </c>
      <c r="E492" t="s">
        <v>19</v>
      </c>
      <c r="F492" t="s">
        <v>29</v>
      </c>
      <c r="G492" t="s">
        <v>21</v>
      </c>
      <c r="H492" s="8">
        <v>4144.0200000000004</v>
      </c>
      <c r="I492" s="8">
        <v>275.95</v>
      </c>
      <c r="J492" s="8">
        <v>0.24</v>
      </c>
      <c r="K492" t="str">
        <f>IF(SalesData[[#This Row],[Profit]]&gt;0,"Profit","Loss")</f>
        <v>Profit</v>
      </c>
      <c r="L492" s="8">
        <f>SalesData[[#This Row],[Profit]]/SalesData[[#This Row],[Sales]]</f>
        <v>6.6589929585281912E-2</v>
      </c>
      <c r="M492" t="str">
        <f>TEXT(SalesData[[#This Row],[Order_Date]],"mmm")</f>
        <v>Dec</v>
      </c>
      <c r="N492">
        <f>YEAR(SalesData[[#This Row],[Order_Date]])</f>
        <v>2022</v>
      </c>
    </row>
    <row r="493" spans="1:14" x14ac:dyDescent="0.3">
      <c r="A493" t="s">
        <v>1207</v>
      </c>
      <c r="B493" s="1">
        <v>44789</v>
      </c>
      <c r="C493" t="s">
        <v>1178</v>
      </c>
      <c r="D493" t="s">
        <v>40</v>
      </c>
      <c r="E493" t="s">
        <v>13</v>
      </c>
      <c r="F493" t="s">
        <v>36</v>
      </c>
      <c r="G493" t="s">
        <v>1208</v>
      </c>
      <c r="H493" s="8">
        <v>3607.98</v>
      </c>
      <c r="I493" s="8">
        <v>813.93</v>
      </c>
      <c r="J493" s="8">
        <v>0.03</v>
      </c>
      <c r="K493" t="str">
        <f>IF(SalesData[[#This Row],[Profit]]&gt;0,"Profit","Loss")</f>
        <v>Profit</v>
      </c>
      <c r="L493" s="8">
        <f>SalesData[[#This Row],[Profit]]/SalesData[[#This Row],[Sales]]</f>
        <v>0.22559160527497379</v>
      </c>
      <c r="M493" t="str">
        <f>TEXT(SalesData[[#This Row],[Order_Date]],"mmm")</f>
        <v>Aug</v>
      </c>
      <c r="N493">
        <f>YEAR(SalesData[[#This Row],[Order_Date]])</f>
        <v>2022</v>
      </c>
    </row>
    <row r="494" spans="1:14" x14ac:dyDescent="0.3">
      <c r="A494" t="s">
        <v>1209</v>
      </c>
      <c r="B494" s="1">
        <v>44730</v>
      </c>
      <c r="C494" t="s">
        <v>842</v>
      </c>
      <c r="D494" t="s">
        <v>18</v>
      </c>
      <c r="E494" t="s">
        <v>13</v>
      </c>
      <c r="F494" t="s">
        <v>36</v>
      </c>
      <c r="G494" t="s">
        <v>282</v>
      </c>
      <c r="H494" s="8">
        <v>2783.68</v>
      </c>
      <c r="I494" s="8">
        <v>-685.36</v>
      </c>
      <c r="J494" s="8">
        <v>0.11</v>
      </c>
      <c r="K494" t="str">
        <f>IF(SalesData[[#This Row],[Profit]]&gt;0,"Profit","Loss")</f>
        <v>Loss</v>
      </c>
      <c r="L494" s="8">
        <f>SalesData[[#This Row],[Profit]]/SalesData[[#This Row],[Sales]]</f>
        <v>-0.24620646051270262</v>
      </c>
      <c r="M494" t="str">
        <f>TEXT(SalesData[[#This Row],[Order_Date]],"mmm")</f>
        <v>Jun</v>
      </c>
      <c r="N494">
        <f>YEAR(SalesData[[#This Row],[Order_Date]])</f>
        <v>2022</v>
      </c>
    </row>
    <row r="495" spans="1:14" x14ac:dyDescent="0.3">
      <c r="A495" t="s">
        <v>1210</v>
      </c>
      <c r="B495" s="1">
        <v>44754</v>
      </c>
      <c r="C495" t="s">
        <v>1211</v>
      </c>
      <c r="D495" t="s">
        <v>28</v>
      </c>
      <c r="E495" t="s">
        <v>13</v>
      </c>
      <c r="F495" t="s">
        <v>24</v>
      </c>
      <c r="G495" t="s">
        <v>1009</v>
      </c>
      <c r="H495" s="8">
        <v>3635.64</v>
      </c>
      <c r="I495" s="8">
        <v>496.31</v>
      </c>
      <c r="J495" s="8">
        <v>0.03</v>
      </c>
      <c r="K495" t="str">
        <f>IF(SalesData[[#This Row],[Profit]]&gt;0,"Profit","Loss")</f>
        <v>Profit</v>
      </c>
      <c r="L495" s="8">
        <f>SalesData[[#This Row],[Profit]]/SalesData[[#This Row],[Sales]]</f>
        <v>0.13651241597077818</v>
      </c>
      <c r="M495" t="str">
        <f>TEXT(SalesData[[#This Row],[Order_Date]],"mmm")</f>
        <v>Jul</v>
      </c>
      <c r="N495">
        <f>YEAR(SalesData[[#This Row],[Order_Date]])</f>
        <v>2022</v>
      </c>
    </row>
    <row r="496" spans="1:14" x14ac:dyDescent="0.3">
      <c r="A496" t="s">
        <v>1212</v>
      </c>
      <c r="B496" s="1">
        <v>45210</v>
      </c>
      <c r="C496" t="s">
        <v>192</v>
      </c>
      <c r="D496" t="s">
        <v>12</v>
      </c>
      <c r="E496" t="s">
        <v>19</v>
      </c>
      <c r="F496" t="s">
        <v>20</v>
      </c>
      <c r="G496" t="s">
        <v>339</v>
      </c>
      <c r="H496" s="8">
        <v>3612.26</v>
      </c>
      <c r="I496" s="8">
        <v>67.48</v>
      </c>
      <c r="J496" s="8">
        <v>0.03</v>
      </c>
      <c r="K496" t="str">
        <f>IF(SalesData[[#This Row],[Profit]]&gt;0,"Profit","Loss")</f>
        <v>Profit</v>
      </c>
      <c r="L496" s="8">
        <f>SalesData[[#This Row],[Profit]]/SalesData[[#This Row],[Sales]]</f>
        <v>1.8680825854174396E-2</v>
      </c>
      <c r="M496" t="str">
        <f>TEXT(SalesData[[#This Row],[Order_Date]],"mmm")</f>
        <v>Oct</v>
      </c>
      <c r="N496">
        <f>YEAR(SalesData[[#This Row],[Order_Date]])</f>
        <v>2023</v>
      </c>
    </row>
    <row r="497" spans="1:14" x14ac:dyDescent="0.3">
      <c r="A497" t="s">
        <v>1213</v>
      </c>
      <c r="B497" s="1">
        <v>45072</v>
      </c>
      <c r="C497" t="s">
        <v>1153</v>
      </c>
      <c r="D497" t="s">
        <v>12</v>
      </c>
      <c r="E497" t="s">
        <v>19</v>
      </c>
      <c r="F497" t="s">
        <v>29</v>
      </c>
      <c r="G497" t="s">
        <v>1084</v>
      </c>
      <c r="H497" s="8">
        <v>3326.44</v>
      </c>
      <c r="I497" s="8">
        <v>-1361.24</v>
      </c>
      <c r="J497" s="8">
        <v>0.28999999999999998</v>
      </c>
      <c r="K497" t="str">
        <f>IF(SalesData[[#This Row],[Profit]]&gt;0,"Profit","Loss")</f>
        <v>Loss</v>
      </c>
      <c r="L497" s="8">
        <f>SalesData[[#This Row],[Profit]]/SalesData[[#This Row],[Sales]]</f>
        <v>-0.40921826336864636</v>
      </c>
      <c r="M497" t="str">
        <f>TEXT(SalesData[[#This Row],[Order_Date]],"mmm")</f>
        <v>May</v>
      </c>
      <c r="N497">
        <f>YEAR(SalesData[[#This Row],[Order_Date]])</f>
        <v>2023</v>
      </c>
    </row>
    <row r="498" spans="1:14" x14ac:dyDescent="0.3">
      <c r="A498" t="s">
        <v>1214</v>
      </c>
      <c r="B498" s="1">
        <v>44743</v>
      </c>
      <c r="C498" t="s">
        <v>1215</v>
      </c>
      <c r="D498" t="s">
        <v>18</v>
      </c>
      <c r="E498" t="s">
        <v>19</v>
      </c>
      <c r="F498" t="s">
        <v>141</v>
      </c>
      <c r="G498" t="s">
        <v>1216</v>
      </c>
      <c r="H498" s="8">
        <v>2466.37</v>
      </c>
      <c r="I498" s="8">
        <v>499.93</v>
      </c>
      <c r="J498" s="8">
        <v>0.15</v>
      </c>
      <c r="K498" t="str">
        <f>IF(SalesData[[#This Row],[Profit]]&gt;0,"Profit","Loss")</f>
        <v>Profit</v>
      </c>
      <c r="L498" s="8">
        <f>SalesData[[#This Row],[Profit]]/SalesData[[#This Row],[Sales]]</f>
        <v>0.20269870295211181</v>
      </c>
      <c r="M498" t="str">
        <f>TEXT(SalesData[[#This Row],[Order_Date]],"mmm")</f>
        <v>Jul</v>
      </c>
      <c r="N498">
        <f>YEAR(SalesData[[#This Row],[Order_Date]])</f>
        <v>2022</v>
      </c>
    </row>
    <row r="499" spans="1:14" x14ac:dyDescent="0.3">
      <c r="A499" t="s">
        <v>1217</v>
      </c>
      <c r="B499" s="1">
        <v>45078</v>
      </c>
      <c r="C499" t="s">
        <v>1218</v>
      </c>
      <c r="D499" t="s">
        <v>28</v>
      </c>
      <c r="E499" t="s">
        <v>56</v>
      </c>
      <c r="F499" t="s">
        <v>57</v>
      </c>
      <c r="G499" t="s">
        <v>44</v>
      </c>
      <c r="H499" s="8">
        <v>1998.29</v>
      </c>
      <c r="I499" s="8">
        <v>298.98</v>
      </c>
      <c r="J499" s="8">
        <v>0.18</v>
      </c>
      <c r="K499" t="str">
        <f>IF(SalesData[[#This Row],[Profit]]&gt;0,"Profit","Loss")</f>
        <v>Profit</v>
      </c>
      <c r="L499" s="8">
        <f>SalesData[[#This Row],[Profit]]/SalesData[[#This Row],[Sales]]</f>
        <v>0.1496179233244424</v>
      </c>
      <c r="M499" t="str">
        <f>TEXT(SalesData[[#This Row],[Order_Date]],"mmm")</f>
        <v>Jun</v>
      </c>
      <c r="N499">
        <f>YEAR(SalesData[[#This Row],[Order_Date]])</f>
        <v>2023</v>
      </c>
    </row>
    <row r="500" spans="1:14" x14ac:dyDescent="0.3">
      <c r="A500" t="s">
        <v>1219</v>
      </c>
      <c r="B500" s="1">
        <v>45025</v>
      </c>
      <c r="C500" t="s">
        <v>724</v>
      </c>
      <c r="D500" t="s">
        <v>18</v>
      </c>
      <c r="E500" t="s">
        <v>13</v>
      </c>
      <c r="F500" t="s">
        <v>14</v>
      </c>
      <c r="G500" t="s">
        <v>1220</v>
      </c>
      <c r="H500" s="8">
        <v>1440.62</v>
      </c>
      <c r="I500" s="8">
        <v>132.96</v>
      </c>
      <c r="J500" s="8">
        <v>0.28999999999999998</v>
      </c>
      <c r="K500" t="str">
        <f>IF(SalesData[[#This Row],[Profit]]&gt;0,"Profit","Loss")</f>
        <v>Profit</v>
      </c>
      <c r="L500" s="8">
        <f>SalesData[[#This Row],[Profit]]/SalesData[[#This Row],[Sales]]</f>
        <v>9.2293595812913895E-2</v>
      </c>
      <c r="M500" t="str">
        <f>TEXT(SalesData[[#This Row],[Order_Date]],"mmm")</f>
        <v>Apr</v>
      </c>
      <c r="N500">
        <f>YEAR(SalesData[[#This Row],[Order_Date]])</f>
        <v>2023</v>
      </c>
    </row>
    <row r="501" spans="1:14" x14ac:dyDescent="0.3">
      <c r="A501" t="s">
        <v>1221</v>
      </c>
      <c r="B501" s="1">
        <v>45122</v>
      </c>
      <c r="C501" t="s">
        <v>1194</v>
      </c>
      <c r="D501" t="s">
        <v>18</v>
      </c>
      <c r="E501" t="s">
        <v>13</v>
      </c>
      <c r="F501" t="s">
        <v>24</v>
      </c>
      <c r="G501" t="s">
        <v>991</v>
      </c>
      <c r="H501" s="8">
        <v>4443.54</v>
      </c>
      <c r="I501" s="8">
        <v>692.5</v>
      </c>
      <c r="J501" s="8">
        <v>0.15</v>
      </c>
      <c r="K501" t="str">
        <f>IF(SalesData[[#This Row],[Profit]]&gt;0,"Profit","Loss")</f>
        <v>Profit</v>
      </c>
      <c r="L501" s="8">
        <f>SalesData[[#This Row],[Profit]]/SalesData[[#This Row],[Sales]]</f>
        <v>0.15584421429760956</v>
      </c>
      <c r="M501" t="str">
        <f>TEXT(SalesData[[#This Row],[Order_Date]],"mmm")</f>
        <v>Jul</v>
      </c>
      <c r="N501">
        <f>YEAR(SalesData[[#This Row],[Order_Date]])</f>
        <v>2023</v>
      </c>
    </row>
    <row r="502" spans="1:14" x14ac:dyDescent="0.3">
      <c r="A502" t="s">
        <v>1222</v>
      </c>
      <c r="B502" s="1">
        <v>44697</v>
      </c>
      <c r="C502" t="s">
        <v>1223</v>
      </c>
      <c r="D502" t="s">
        <v>18</v>
      </c>
      <c r="E502" t="s">
        <v>56</v>
      </c>
      <c r="F502" t="s">
        <v>73</v>
      </c>
      <c r="G502" t="s">
        <v>624</v>
      </c>
      <c r="H502" s="8">
        <v>3600.48</v>
      </c>
      <c r="I502" s="8">
        <v>513.84</v>
      </c>
      <c r="J502" s="8">
        <v>0.21</v>
      </c>
      <c r="K502" t="str">
        <f>IF(SalesData[[#This Row],[Profit]]&gt;0,"Profit","Loss")</f>
        <v>Profit</v>
      </c>
      <c r="L502" s="8">
        <f>SalesData[[#This Row],[Profit]]/SalesData[[#This Row],[Sales]]</f>
        <v>0.14271430475936542</v>
      </c>
      <c r="M502" t="str">
        <f>TEXT(SalesData[[#This Row],[Order_Date]],"mmm")</f>
        <v>May</v>
      </c>
      <c r="N502">
        <f>YEAR(SalesData[[#This Row],[Order_Date]])</f>
        <v>2022</v>
      </c>
    </row>
    <row r="503" spans="1:14" x14ac:dyDescent="0.3">
      <c r="A503" t="s">
        <v>1224</v>
      </c>
      <c r="B503" s="1">
        <v>45137</v>
      </c>
      <c r="C503" t="s">
        <v>1225</v>
      </c>
      <c r="D503" t="s">
        <v>28</v>
      </c>
      <c r="E503" t="s">
        <v>13</v>
      </c>
      <c r="F503" t="s">
        <v>24</v>
      </c>
      <c r="G503" t="s">
        <v>187</v>
      </c>
      <c r="H503" s="8">
        <v>3220.7</v>
      </c>
      <c r="I503" s="8">
        <v>149.65</v>
      </c>
      <c r="J503" s="8">
        <v>0.21</v>
      </c>
      <c r="K503" t="str">
        <f>IF(SalesData[[#This Row],[Profit]]&gt;0,"Profit","Loss")</f>
        <v>Profit</v>
      </c>
      <c r="L503" s="8">
        <f>SalesData[[#This Row],[Profit]]/SalesData[[#This Row],[Sales]]</f>
        <v>4.6465054180768163E-2</v>
      </c>
      <c r="M503" t="str">
        <f>TEXT(SalesData[[#This Row],[Order_Date]],"mmm")</f>
        <v>Jul</v>
      </c>
      <c r="N503">
        <f>YEAR(SalesData[[#This Row],[Order_Date]])</f>
        <v>2023</v>
      </c>
    </row>
    <row r="504" spans="1:14" x14ac:dyDescent="0.3">
      <c r="A504" t="s">
        <v>1226</v>
      </c>
      <c r="B504" s="1">
        <v>45097</v>
      </c>
      <c r="C504" t="s">
        <v>808</v>
      </c>
      <c r="D504" t="s">
        <v>12</v>
      </c>
      <c r="E504" t="s">
        <v>13</v>
      </c>
      <c r="F504" t="s">
        <v>24</v>
      </c>
      <c r="G504" t="s">
        <v>441</v>
      </c>
      <c r="H504" s="8">
        <v>1501.05</v>
      </c>
      <c r="I504" s="8">
        <v>52.51</v>
      </c>
      <c r="J504" s="8">
        <v>0.25</v>
      </c>
      <c r="K504" t="str">
        <f>IF(SalesData[[#This Row],[Profit]]&gt;0,"Profit","Loss")</f>
        <v>Profit</v>
      </c>
      <c r="L504" s="8">
        <f>SalesData[[#This Row],[Profit]]/SalesData[[#This Row],[Sales]]</f>
        <v>3.4982179141267777E-2</v>
      </c>
      <c r="M504" t="str">
        <f>TEXT(SalesData[[#This Row],[Order_Date]],"mmm")</f>
        <v>Jun</v>
      </c>
      <c r="N504">
        <f>YEAR(SalesData[[#This Row],[Order_Date]])</f>
        <v>2023</v>
      </c>
    </row>
    <row r="505" spans="1:14" x14ac:dyDescent="0.3">
      <c r="A505" t="s">
        <v>1227</v>
      </c>
      <c r="B505" s="1">
        <v>44726</v>
      </c>
      <c r="C505" t="s">
        <v>1228</v>
      </c>
      <c r="D505" t="s">
        <v>40</v>
      </c>
      <c r="E505" t="s">
        <v>56</v>
      </c>
      <c r="F505" t="s">
        <v>57</v>
      </c>
      <c r="G505" t="s">
        <v>1229</v>
      </c>
      <c r="H505" s="8">
        <v>3384.25</v>
      </c>
      <c r="I505" s="8">
        <v>643.38</v>
      </c>
      <c r="J505" s="8">
        <v>0.06</v>
      </c>
      <c r="K505" t="str">
        <f>IF(SalesData[[#This Row],[Profit]]&gt;0,"Profit","Loss")</f>
        <v>Profit</v>
      </c>
      <c r="L505" s="8">
        <f>SalesData[[#This Row],[Profit]]/SalesData[[#This Row],[Sales]]</f>
        <v>0.19011006870059835</v>
      </c>
      <c r="M505" t="str">
        <f>TEXT(SalesData[[#This Row],[Order_Date]],"mmm")</f>
        <v>Jun</v>
      </c>
      <c r="N505">
        <f>YEAR(SalesData[[#This Row],[Order_Date]])</f>
        <v>2022</v>
      </c>
    </row>
    <row r="506" spans="1:14" x14ac:dyDescent="0.3">
      <c r="A506" t="s">
        <v>1230</v>
      </c>
      <c r="B506" s="1">
        <v>44929</v>
      </c>
      <c r="C506" t="s">
        <v>880</v>
      </c>
      <c r="D506" t="s">
        <v>12</v>
      </c>
      <c r="E506" t="s">
        <v>56</v>
      </c>
      <c r="F506" t="s">
        <v>73</v>
      </c>
      <c r="G506" t="s">
        <v>254</v>
      </c>
      <c r="H506" s="8">
        <v>3943.35</v>
      </c>
      <c r="I506" s="8">
        <v>255.15</v>
      </c>
      <c r="J506" s="8">
        <v>0.06</v>
      </c>
      <c r="K506" t="str">
        <f>IF(SalesData[[#This Row],[Profit]]&gt;0,"Profit","Loss")</f>
        <v>Profit</v>
      </c>
      <c r="L506" s="8">
        <f>SalesData[[#This Row],[Profit]]/SalesData[[#This Row],[Sales]]</f>
        <v>6.4703868538171866E-2</v>
      </c>
      <c r="M506" t="str">
        <f>TEXT(SalesData[[#This Row],[Order_Date]],"mmm")</f>
        <v>Jan</v>
      </c>
      <c r="N506">
        <f>YEAR(SalesData[[#This Row],[Order_Date]])</f>
        <v>2023</v>
      </c>
    </row>
    <row r="507" spans="1:14" x14ac:dyDescent="0.3">
      <c r="A507" t="s">
        <v>1231</v>
      </c>
      <c r="B507" s="1">
        <v>44960</v>
      </c>
      <c r="C507" t="s">
        <v>1232</v>
      </c>
      <c r="D507" t="s">
        <v>40</v>
      </c>
      <c r="E507" t="s">
        <v>13</v>
      </c>
      <c r="F507" t="s">
        <v>24</v>
      </c>
      <c r="G507" t="s">
        <v>268</v>
      </c>
      <c r="H507" s="8">
        <v>2853.24</v>
      </c>
      <c r="I507" s="8">
        <v>337.46</v>
      </c>
      <c r="J507" s="8">
        <v>7.0000000000000007E-2</v>
      </c>
      <c r="K507" t="str">
        <f>IF(SalesData[[#This Row],[Profit]]&gt;0,"Profit","Loss")</f>
        <v>Profit</v>
      </c>
      <c r="L507" s="8">
        <f>SalesData[[#This Row],[Profit]]/SalesData[[#This Row],[Sales]]</f>
        <v>0.11827256031739355</v>
      </c>
      <c r="M507" t="str">
        <f>TEXT(SalesData[[#This Row],[Order_Date]],"mmm")</f>
        <v>Feb</v>
      </c>
      <c r="N507">
        <f>YEAR(SalesData[[#This Row],[Order_Date]])</f>
        <v>2023</v>
      </c>
    </row>
    <row r="508" spans="1:14" x14ac:dyDescent="0.3">
      <c r="A508" t="s">
        <v>1233</v>
      </c>
      <c r="B508" s="1">
        <v>45263</v>
      </c>
      <c r="C508" t="s">
        <v>446</v>
      </c>
      <c r="D508" t="s">
        <v>12</v>
      </c>
      <c r="E508" t="s">
        <v>13</v>
      </c>
      <c r="F508" t="s">
        <v>14</v>
      </c>
      <c r="G508" t="s">
        <v>1234</v>
      </c>
      <c r="H508" s="8">
        <v>4639.78</v>
      </c>
      <c r="I508" s="8">
        <v>1178.5999999999999</v>
      </c>
      <c r="J508" s="8">
        <v>0.12</v>
      </c>
      <c r="K508" t="str">
        <f>IF(SalesData[[#This Row],[Profit]]&gt;0,"Profit","Loss")</f>
        <v>Profit</v>
      </c>
      <c r="L508" s="8">
        <f>SalesData[[#This Row],[Profit]]/SalesData[[#This Row],[Sales]]</f>
        <v>0.2540206647728987</v>
      </c>
      <c r="M508" t="str">
        <f>TEXT(SalesData[[#This Row],[Order_Date]],"mmm")</f>
        <v>Dec</v>
      </c>
      <c r="N508">
        <f>YEAR(SalesData[[#This Row],[Order_Date]])</f>
        <v>2023</v>
      </c>
    </row>
    <row r="509" spans="1:14" x14ac:dyDescent="0.3">
      <c r="A509" t="s">
        <v>1235</v>
      </c>
      <c r="B509" s="1">
        <v>45015</v>
      </c>
      <c r="C509" t="s">
        <v>1063</v>
      </c>
      <c r="D509" t="s">
        <v>40</v>
      </c>
      <c r="E509" t="s">
        <v>13</v>
      </c>
      <c r="F509" t="s">
        <v>36</v>
      </c>
      <c r="G509" t="s">
        <v>236</v>
      </c>
      <c r="H509" s="8">
        <v>1095.1300000000001</v>
      </c>
      <c r="I509" s="8">
        <v>61.62</v>
      </c>
      <c r="J509" s="8">
        <v>0.26</v>
      </c>
      <c r="K509" t="str">
        <f>IF(SalesData[[#This Row],[Profit]]&gt;0,"Profit","Loss")</f>
        <v>Profit</v>
      </c>
      <c r="L509" s="8">
        <f>SalesData[[#This Row],[Profit]]/SalesData[[#This Row],[Sales]]</f>
        <v>5.6267292467560924E-2</v>
      </c>
      <c r="M509" t="str">
        <f>TEXT(SalesData[[#This Row],[Order_Date]],"mmm")</f>
        <v>Mar</v>
      </c>
      <c r="N509">
        <f>YEAR(SalesData[[#This Row],[Order_Date]])</f>
        <v>2023</v>
      </c>
    </row>
    <row r="510" spans="1:14" x14ac:dyDescent="0.3">
      <c r="A510" t="s">
        <v>1236</v>
      </c>
      <c r="B510" s="1">
        <v>44760</v>
      </c>
      <c r="C510" t="s">
        <v>1237</v>
      </c>
      <c r="D510" t="s">
        <v>28</v>
      </c>
      <c r="E510" t="s">
        <v>13</v>
      </c>
      <c r="F510" t="s">
        <v>24</v>
      </c>
      <c r="G510" t="s">
        <v>1038</v>
      </c>
      <c r="H510" s="8">
        <v>3718.41</v>
      </c>
      <c r="I510" s="8">
        <v>650.53</v>
      </c>
      <c r="J510" s="8">
        <v>0.06</v>
      </c>
      <c r="K510" t="str">
        <f>IF(SalesData[[#This Row],[Profit]]&gt;0,"Profit","Loss")</f>
        <v>Profit</v>
      </c>
      <c r="L510" s="8">
        <f>SalesData[[#This Row],[Profit]]/SalesData[[#This Row],[Sales]]</f>
        <v>0.17494843226002513</v>
      </c>
      <c r="M510" t="str">
        <f>TEXT(SalesData[[#This Row],[Order_Date]],"mmm")</f>
        <v>Jul</v>
      </c>
      <c r="N510">
        <f>YEAR(SalesData[[#This Row],[Order_Date]])</f>
        <v>2022</v>
      </c>
    </row>
    <row r="511" spans="1:14" x14ac:dyDescent="0.3">
      <c r="A511" t="s">
        <v>1238</v>
      </c>
      <c r="B511" s="1">
        <v>44948</v>
      </c>
      <c r="C511" t="s">
        <v>1239</v>
      </c>
      <c r="D511" t="s">
        <v>28</v>
      </c>
      <c r="E511" t="s">
        <v>13</v>
      </c>
      <c r="F511" t="s">
        <v>14</v>
      </c>
      <c r="G511" t="s">
        <v>257</v>
      </c>
      <c r="H511" s="8">
        <v>1016.19</v>
      </c>
      <c r="I511" s="8">
        <v>59.25</v>
      </c>
      <c r="J511" s="8">
        <v>0.05</v>
      </c>
      <c r="K511" t="str">
        <f>IF(SalesData[[#This Row],[Profit]]&gt;0,"Profit","Loss")</f>
        <v>Profit</v>
      </c>
      <c r="L511" s="8">
        <f>SalesData[[#This Row],[Profit]]/SalesData[[#This Row],[Sales]]</f>
        <v>5.8306025447996929E-2</v>
      </c>
      <c r="M511" t="str">
        <f>TEXT(SalesData[[#This Row],[Order_Date]],"mmm")</f>
        <v>Jan</v>
      </c>
      <c r="N511">
        <f>YEAR(SalesData[[#This Row],[Order_Date]])</f>
        <v>2023</v>
      </c>
    </row>
    <row r="512" spans="1:14" x14ac:dyDescent="0.3">
      <c r="A512" t="s">
        <v>1240</v>
      </c>
      <c r="B512" s="1">
        <v>44900</v>
      </c>
      <c r="C512" t="s">
        <v>786</v>
      </c>
      <c r="D512" t="s">
        <v>18</v>
      </c>
      <c r="E512" t="s">
        <v>13</v>
      </c>
      <c r="F512" t="s">
        <v>36</v>
      </c>
      <c r="G512" t="s">
        <v>1176</v>
      </c>
      <c r="H512" s="8">
        <v>737.33</v>
      </c>
      <c r="I512" s="8">
        <v>-167.37</v>
      </c>
      <c r="J512" s="8">
        <v>0.18</v>
      </c>
      <c r="K512" t="str">
        <f>IF(SalesData[[#This Row],[Profit]]&gt;0,"Profit","Loss")</f>
        <v>Loss</v>
      </c>
      <c r="L512" s="8">
        <f>SalesData[[#This Row],[Profit]]/SalesData[[#This Row],[Sales]]</f>
        <v>-0.22699469708271736</v>
      </c>
      <c r="M512" t="str">
        <f>TEXT(SalesData[[#This Row],[Order_Date]],"mmm")</f>
        <v>Dec</v>
      </c>
      <c r="N512">
        <f>YEAR(SalesData[[#This Row],[Order_Date]])</f>
        <v>2022</v>
      </c>
    </row>
    <row r="513" spans="1:14" x14ac:dyDescent="0.3">
      <c r="A513" t="s">
        <v>1241</v>
      </c>
      <c r="B513" s="1">
        <v>45239</v>
      </c>
      <c r="C513" t="s">
        <v>1242</v>
      </c>
      <c r="D513" t="s">
        <v>28</v>
      </c>
      <c r="E513" t="s">
        <v>56</v>
      </c>
      <c r="F513" t="s">
        <v>95</v>
      </c>
      <c r="G513" t="s">
        <v>864</v>
      </c>
      <c r="H513" s="8">
        <v>3024.71</v>
      </c>
      <c r="I513" s="8">
        <v>-165.69</v>
      </c>
      <c r="J513" s="8">
        <v>0.23</v>
      </c>
      <c r="K513" t="str">
        <f>IF(SalesData[[#This Row],[Profit]]&gt;0,"Profit","Loss")</f>
        <v>Loss</v>
      </c>
      <c r="L513" s="8">
        <f>SalesData[[#This Row],[Profit]]/SalesData[[#This Row],[Sales]]</f>
        <v>-5.4778805240833006E-2</v>
      </c>
      <c r="M513" t="str">
        <f>TEXT(SalesData[[#This Row],[Order_Date]],"mmm")</f>
        <v>Nov</v>
      </c>
      <c r="N513">
        <f>YEAR(SalesData[[#This Row],[Order_Date]])</f>
        <v>2023</v>
      </c>
    </row>
    <row r="514" spans="1:14" x14ac:dyDescent="0.3">
      <c r="A514" t="s">
        <v>1243</v>
      </c>
      <c r="B514" s="1">
        <v>44787</v>
      </c>
      <c r="C514" t="s">
        <v>1244</v>
      </c>
      <c r="D514" t="s">
        <v>12</v>
      </c>
      <c r="E514" t="s">
        <v>13</v>
      </c>
      <c r="F514" t="s">
        <v>24</v>
      </c>
      <c r="G514" t="s">
        <v>766</v>
      </c>
      <c r="H514" s="8">
        <v>1854.62</v>
      </c>
      <c r="I514" s="8">
        <v>-462.33</v>
      </c>
      <c r="J514" s="8">
        <v>0.24</v>
      </c>
      <c r="K514" t="str">
        <f>IF(SalesData[[#This Row],[Profit]]&gt;0,"Profit","Loss")</f>
        <v>Loss</v>
      </c>
      <c r="L514" s="8">
        <f>SalesData[[#This Row],[Profit]]/SalesData[[#This Row],[Sales]]</f>
        <v>-0.24928556793305368</v>
      </c>
      <c r="M514" t="str">
        <f>TEXT(SalesData[[#This Row],[Order_Date]],"mmm")</f>
        <v>Aug</v>
      </c>
      <c r="N514">
        <f>YEAR(SalesData[[#This Row],[Order_Date]])</f>
        <v>2022</v>
      </c>
    </row>
    <row r="515" spans="1:14" x14ac:dyDescent="0.3">
      <c r="A515" t="s">
        <v>1245</v>
      </c>
      <c r="B515" s="1">
        <v>44788</v>
      </c>
      <c r="C515" t="s">
        <v>1246</v>
      </c>
      <c r="D515" t="s">
        <v>40</v>
      </c>
      <c r="E515" t="s">
        <v>13</v>
      </c>
      <c r="F515" t="s">
        <v>14</v>
      </c>
      <c r="G515" t="s">
        <v>1044</v>
      </c>
      <c r="H515" s="8">
        <v>2138.06</v>
      </c>
      <c r="I515" s="8">
        <v>-651.75</v>
      </c>
      <c r="J515" s="8">
        <v>0.16</v>
      </c>
      <c r="K515" t="str">
        <f>IF(SalesData[[#This Row],[Profit]]&gt;0,"Profit","Loss")</f>
        <v>Loss</v>
      </c>
      <c r="L515" s="8">
        <f>SalesData[[#This Row],[Profit]]/SalesData[[#This Row],[Sales]]</f>
        <v>-0.30483241817348439</v>
      </c>
      <c r="M515" t="str">
        <f>TEXT(SalesData[[#This Row],[Order_Date]],"mmm")</f>
        <v>Aug</v>
      </c>
      <c r="N515">
        <f>YEAR(SalesData[[#This Row],[Order_Date]])</f>
        <v>2022</v>
      </c>
    </row>
    <row r="516" spans="1:14" x14ac:dyDescent="0.3">
      <c r="A516" t="s">
        <v>1247</v>
      </c>
      <c r="B516" s="1">
        <v>45136</v>
      </c>
      <c r="C516" t="s">
        <v>1248</v>
      </c>
      <c r="D516" t="s">
        <v>12</v>
      </c>
      <c r="E516" t="s">
        <v>19</v>
      </c>
      <c r="F516" t="s">
        <v>29</v>
      </c>
      <c r="G516" t="s">
        <v>457</v>
      </c>
      <c r="H516" s="8">
        <v>1170.3800000000001</v>
      </c>
      <c r="I516" s="8">
        <v>-130.72999999999999</v>
      </c>
      <c r="J516" s="8">
        <v>0.23</v>
      </c>
      <c r="K516" t="str">
        <f>IF(SalesData[[#This Row],[Profit]]&gt;0,"Profit","Loss")</f>
        <v>Loss</v>
      </c>
      <c r="L516" s="8">
        <f>SalesData[[#This Row],[Profit]]/SalesData[[#This Row],[Sales]]</f>
        <v>-0.11169876450383634</v>
      </c>
      <c r="M516" t="str">
        <f>TEXT(SalesData[[#This Row],[Order_Date]],"mmm")</f>
        <v>Jul</v>
      </c>
      <c r="N516">
        <f>YEAR(SalesData[[#This Row],[Order_Date]])</f>
        <v>2023</v>
      </c>
    </row>
    <row r="517" spans="1:14" x14ac:dyDescent="0.3">
      <c r="A517" t="s">
        <v>1249</v>
      </c>
      <c r="B517" s="1">
        <v>45198</v>
      </c>
      <c r="C517" t="s">
        <v>1250</v>
      </c>
      <c r="D517" t="s">
        <v>12</v>
      </c>
      <c r="E517" t="s">
        <v>13</v>
      </c>
      <c r="F517" t="s">
        <v>36</v>
      </c>
      <c r="G517" t="s">
        <v>1251</v>
      </c>
      <c r="H517" s="8">
        <v>2283.77</v>
      </c>
      <c r="I517" s="8">
        <v>-232.44</v>
      </c>
      <c r="J517" s="8">
        <v>0.27</v>
      </c>
      <c r="K517" t="str">
        <f>IF(SalesData[[#This Row],[Profit]]&gt;0,"Profit","Loss")</f>
        <v>Loss</v>
      </c>
      <c r="L517" s="8">
        <f>SalesData[[#This Row],[Profit]]/SalesData[[#This Row],[Sales]]</f>
        <v>-0.10177907582637481</v>
      </c>
      <c r="M517" t="str">
        <f>TEXT(SalesData[[#This Row],[Order_Date]],"mmm")</f>
        <v>Sep</v>
      </c>
      <c r="N517">
        <f>YEAR(SalesData[[#This Row],[Order_Date]])</f>
        <v>2023</v>
      </c>
    </row>
    <row r="518" spans="1:14" x14ac:dyDescent="0.3">
      <c r="A518" t="s">
        <v>1252</v>
      </c>
      <c r="B518" s="1">
        <v>45115</v>
      </c>
      <c r="C518" t="s">
        <v>400</v>
      </c>
      <c r="D518" t="s">
        <v>40</v>
      </c>
      <c r="E518" t="s">
        <v>19</v>
      </c>
      <c r="F518" t="s">
        <v>29</v>
      </c>
      <c r="G518" t="s">
        <v>166</v>
      </c>
      <c r="H518" s="8">
        <v>4588.07</v>
      </c>
      <c r="I518" s="8">
        <v>-1140.02</v>
      </c>
      <c r="J518" s="8">
        <v>0.28000000000000003</v>
      </c>
      <c r="K518" t="str">
        <f>IF(SalesData[[#This Row],[Profit]]&gt;0,"Profit","Loss")</f>
        <v>Loss</v>
      </c>
      <c r="L518" s="8">
        <f>SalesData[[#This Row],[Profit]]/SalesData[[#This Row],[Sales]]</f>
        <v>-0.24847484890160787</v>
      </c>
      <c r="M518" t="str">
        <f>TEXT(SalesData[[#This Row],[Order_Date]],"mmm")</f>
        <v>Jul</v>
      </c>
      <c r="N518">
        <f>YEAR(SalesData[[#This Row],[Order_Date]])</f>
        <v>2023</v>
      </c>
    </row>
    <row r="519" spans="1:14" x14ac:dyDescent="0.3">
      <c r="A519" t="s">
        <v>1253</v>
      </c>
      <c r="B519" s="1">
        <v>44865</v>
      </c>
      <c r="C519" t="s">
        <v>314</v>
      </c>
      <c r="D519" t="s">
        <v>18</v>
      </c>
      <c r="E519" t="s">
        <v>13</v>
      </c>
      <c r="F519" t="s">
        <v>36</v>
      </c>
      <c r="G519" t="s">
        <v>512</v>
      </c>
      <c r="H519" s="8">
        <v>2620.11</v>
      </c>
      <c r="I519" s="8">
        <v>-151.75</v>
      </c>
      <c r="J519" s="8">
        <v>0.15</v>
      </c>
      <c r="K519" t="str">
        <f>IF(SalesData[[#This Row],[Profit]]&gt;0,"Profit","Loss")</f>
        <v>Loss</v>
      </c>
      <c r="L519" s="8">
        <f>SalesData[[#This Row],[Profit]]/SalesData[[#This Row],[Sales]]</f>
        <v>-5.7917415681021024E-2</v>
      </c>
      <c r="M519" t="str">
        <f>TEXT(SalesData[[#This Row],[Order_Date]],"mmm")</f>
        <v>Oct</v>
      </c>
      <c r="N519">
        <f>YEAR(SalesData[[#This Row],[Order_Date]])</f>
        <v>2022</v>
      </c>
    </row>
    <row r="520" spans="1:14" x14ac:dyDescent="0.3">
      <c r="A520" t="s">
        <v>1254</v>
      </c>
      <c r="B520" s="1">
        <v>45112</v>
      </c>
      <c r="C520" t="s">
        <v>623</v>
      </c>
      <c r="D520" t="s">
        <v>12</v>
      </c>
      <c r="E520" t="s">
        <v>13</v>
      </c>
      <c r="F520" t="s">
        <v>14</v>
      </c>
      <c r="G520" t="s">
        <v>359</v>
      </c>
      <c r="H520" s="8">
        <v>4746.24</v>
      </c>
      <c r="I520" s="8">
        <v>1536.67</v>
      </c>
      <c r="J520" s="8">
        <v>0.05</v>
      </c>
      <c r="K520" t="str">
        <f>IF(SalesData[[#This Row],[Profit]]&gt;0,"Profit","Loss")</f>
        <v>Profit</v>
      </c>
      <c r="L520" s="8">
        <f>SalesData[[#This Row],[Profit]]/SalesData[[#This Row],[Sales]]</f>
        <v>0.32376575984358147</v>
      </c>
      <c r="M520" t="str">
        <f>TEXT(SalesData[[#This Row],[Order_Date]],"mmm")</f>
        <v>Jul</v>
      </c>
      <c r="N520">
        <f>YEAR(SalesData[[#This Row],[Order_Date]])</f>
        <v>2023</v>
      </c>
    </row>
    <row r="521" spans="1:14" x14ac:dyDescent="0.3">
      <c r="A521" t="s">
        <v>1255</v>
      </c>
      <c r="B521" s="1">
        <v>44996</v>
      </c>
      <c r="C521" t="s">
        <v>1256</v>
      </c>
      <c r="D521" t="s">
        <v>18</v>
      </c>
      <c r="E521" t="s">
        <v>56</v>
      </c>
      <c r="F521" t="s">
        <v>57</v>
      </c>
      <c r="G521" t="s">
        <v>1257</v>
      </c>
      <c r="H521" s="8">
        <v>3384.64</v>
      </c>
      <c r="I521" s="8">
        <v>301.13</v>
      </c>
      <c r="J521" s="8">
        <v>0.23</v>
      </c>
      <c r="K521" t="str">
        <f>IF(SalesData[[#This Row],[Profit]]&gt;0,"Profit","Loss")</f>
        <v>Profit</v>
      </c>
      <c r="L521" s="8">
        <f>SalesData[[#This Row],[Profit]]/SalesData[[#This Row],[Sales]]</f>
        <v>8.8969580221234759E-2</v>
      </c>
      <c r="M521" t="str">
        <f>TEXT(SalesData[[#This Row],[Order_Date]],"mmm")</f>
        <v>Mar</v>
      </c>
      <c r="N521">
        <f>YEAR(SalesData[[#This Row],[Order_Date]])</f>
        <v>2023</v>
      </c>
    </row>
    <row r="522" spans="1:14" x14ac:dyDescent="0.3">
      <c r="A522" t="s">
        <v>1258</v>
      </c>
      <c r="B522" s="1">
        <v>45264</v>
      </c>
      <c r="C522" t="s">
        <v>1259</v>
      </c>
      <c r="D522" t="s">
        <v>12</v>
      </c>
      <c r="E522" t="s">
        <v>13</v>
      </c>
      <c r="F522" t="s">
        <v>24</v>
      </c>
      <c r="G522" t="s">
        <v>485</v>
      </c>
      <c r="H522" s="8">
        <v>3898.51</v>
      </c>
      <c r="I522" s="8">
        <v>677.76</v>
      </c>
      <c r="J522" s="8">
        <v>0.19</v>
      </c>
      <c r="K522" t="str">
        <f>IF(SalesData[[#This Row],[Profit]]&gt;0,"Profit","Loss")</f>
        <v>Profit</v>
      </c>
      <c r="L522" s="8">
        <f>SalesData[[#This Row],[Profit]]/SalesData[[#This Row],[Sales]]</f>
        <v>0.1738510353955742</v>
      </c>
      <c r="M522" t="str">
        <f>TEXT(SalesData[[#This Row],[Order_Date]],"mmm")</f>
        <v>Dec</v>
      </c>
      <c r="N522">
        <f>YEAR(SalesData[[#This Row],[Order_Date]])</f>
        <v>2023</v>
      </c>
    </row>
    <row r="523" spans="1:14" x14ac:dyDescent="0.3">
      <c r="A523" t="s">
        <v>1260</v>
      </c>
      <c r="B523" s="1">
        <v>44819</v>
      </c>
      <c r="C523" t="s">
        <v>871</v>
      </c>
      <c r="D523" t="s">
        <v>12</v>
      </c>
      <c r="E523" t="s">
        <v>13</v>
      </c>
      <c r="F523" t="s">
        <v>36</v>
      </c>
      <c r="G523" t="s">
        <v>895</v>
      </c>
      <c r="H523" s="8">
        <v>285.64</v>
      </c>
      <c r="I523" s="8">
        <v>-32.340000000000003</v>
      </c>
      <c r="J523" s="8">
        <v>0.02</v>
      </c>
      <c r="K523" t="str">
        <f>IF(SalesData[[#This Row],[Profit]]&gt;0,"Profit","Loss")</f>
        <v>Loss</v>
      </c>
      <c r="L523" s="8">
        <f>SalesData[[#This Row],[Profit]]/SalesData[[#This Row],[Sales]]</f>
        <v>-0.11321943705363396</v>
      </c>
      <c r="M523" t="str">
        <f>TEXT(SalesData[[#This Row],[Order_Date]],"mmm")</f>
        <v>Sep</v>
      </c>
      <c r="N523">
        <f>YEAR(SalesData[[#This Row],[Order_Date]])</f>
        <v>2022</v>
      </c>
    </row>
    <row r="524" spans="1:14" x14ac:dyDescent="0.3">
      <c r="A524" t="s">
        <v>1261</v>
      </c>
      <c r="B524" s="1">
        <v>44885</v>
      </c>
      <c r="C524" t="s">
        <v>1262</v>
      </c>
      <c r="D524" t="s">
        <v>28</v>
      </c>
      <c r="E524" t="s">
        <v>56</v>
      </c>
      <c r="F524" t="s">
        <v>95</v>
      </c>
      <c r="G524" t="s">
        <v>404</v>
      </c>
      <c r="H524" s="8">
        <v>2097.4</v>
      </c>
      <c r="I524" s="8">
        <v>-204.14</v>
      </c>
      <c r="J524" s="8">
        <v>0.14000000000000001</v>
      </c>
      <c r="K524" t="str">
        <f>IF(SalesData[[#This Row],[Profit]]&gt;0,"Profit","Loss")</f>
        <v>Loss</v>
      </c>
      <c r="L524" s="8">
        <f>SalesData[[#This Row],[Profit]]/SalesData[[#This Row],[Sales]]</f>
        <v>-9.7330027653285009E-2</v>
      </c>
      <c r="M524" t="str">
        <f>TEXT(SalesData[[#This Row],[Order_Date]],"mmm")</f>
        <v>Nov</v>
      </c>
      <c r="N524">
        <f>YEAR(SalesData[[#This Row],[Order_Date]])</f>
        <v>2022</v>
      </c>
    </row>
    <row r="525" spans="1:14" x14ac:dyDescent="0.3">
      <c r="A525" t="s">
        <v>1263</v>
      </c>
      <c r="B525" s="1">
        <v>45161</v>
      </c>
      <c r="C525" t="s">
        <v>739</v>
      </c>
      <c r="D525" t="s">
        <v>12</v>
      </c>
      <c r="E525" t="s">
        <v>56</v>
      </c>
      <c r="F525" t="s">
        <v>73</v>
      </c>
      <c r="G525" t="s">
        <v>1264</v>
      </c>
      <c r="H525" s="8">
        <v>128.9</v>
      </c>
      <c r="I525" s="8">
        <v>-49.25</v>
      </c>
      <c r="J525" s="8">
        <v>0.22</v>
      </c>
      <c r="K525" t="str">
        <f>IF(SalesData[[#This Row],[Profit]]&gt;0,"Profit","Loss")</f>
        <v>Loss</v>
      </c>
      <c r="L525" s="8">
        <f>SalesData[[#This Row],[Profit]]/SalesData[[#This Row],[Sales]]</f>
        <v>-0.38207913110938713</v>
      </c>
      <c r="M525" t="str">
        <f>TEXT(SalesData[[#This Row],[Order_Date]],"mmm")</f>
        <v>Aug</v>
      </c>
      <c r="N525">
        <f>YEAR(SalesData[[#This Row],[Order_Date]])</f>
        <v>2023</v>
      </c>
    </row>
    <row r="526" spans="1:14" x14ac:dyDescent="0.3">
      <c r="A526" t="s">
        <v>1265</v>
      </c>
      <c r="B526" s="1">
        <v>44850</v>
      </c>
      <c r="C526" t="s">
        <v>1266</v>
      </c>
      <c r="D526" t="s">
        <v>28</v>
      </c>
      <c r="E526" t="s">
        <v>13</v>
      </c>
      <c r="F526" t="s">
        <v>14</v>
      </c>
      <c r="G526" t="s">
        <v>441</v>
      </c>
      <c r="H526" s="8">
        <v>1520.2</v>
      </c>
      <c r="I526" s="8">
        <v>-70.02</v>
      </c>
      <c r="J526" s="8">
        <v>0.21</v>
      </c>
      <c r="K526" t="str">
        <f>IF(SalesData[[#This Row],[Profit]]&gt;0,"Profit","Loss")</f>
        <v>Loss</v>
      </c>
      <c r="L526" s="8">
        <f>SalesData[[#This Row],[Profit]]/SalesData[[#This Row],[Sales]]</f>
        <v>-4.6059728983028542E-2</v>
      </c>
      <c r="M526" t="str">
        <f>TEXT(SalesData[[#This Row],[Order_Date]],"mmm")</f>
        <v>Oct</v>
      </c>
      <c r="N526">
        <f>YEAR(SalesData[[#This Row],[Order_Date]])</f>
        <v>2022</v>
      </c>
    </row>
    <row r="527" spans="1:14" x14ac:dyDescent="0.3">
      <c r="A527" t="s">
        <v>1267</v>
      </c>
      <c r="B527" s="1">
        <v>44962</v>
      </c>
      <c r="C527" t="s">
        <v>631</v>
      </c>
      <c r="D527" t="s">
        <v>40</v>
      </c>
      <c r="E527" t="s">
        <v>19</v>
      </c>
      <c r="F527" t="s">
        <v>141</v>
      </c>
      <c r="G527" t="s">
        <v>251</v>
      </c>
      <c r="H527" s="8">
        <v>251.01</v>
      </c>
      <c r="I527" s="8">
        <v>-29.64</v>
      </c>
      <c r="J527" s="8">
        <v>0.05</v>
      </c>
      <c r="K527" t="str">
        <f>IF(SalesData[[#This Row],[Profit]]&gt;0,"Profit","Loss")</f>
        <v>Loss</v>
      </c>
      <c r="L527" s="8">
        <f>SalesData[[#This Row],[Profit]]/SalesData[[#This Row],[Sales]]</f>
        <v>-0.11808294490259352</v>
      </c>
      <c r="M527" t="str">
        <f>TEXT(SalesData[[#This Row],[Order_Date]],"mmm")</f>
        <v>Feb</v>
      </c>
      <c r="N527">
        <f>YEAR(SalesData[[#This Row],[Order_Date]])</f>
        <v>2023</v>
      </c>
    </row>
    <row r="528" spans="1:14" x14ac:dyDescent="0.3">
      <c r="A528" t="s">
        <v>1268</v>
      </c>
      <c r="B528" s="1">
        <v>45225</v>
      </c>
      <c r="C528" t="s">
        <v>72</v>
      </c>
      <c r="D528" t="s">
        <v>12</v>
      </c>
      <c r="E528" t="s">
        <v>13</v>
      </c>
      <c r="F528" t="s">
        <v>14</v>
      </c>
      <c r="G528" t="s">
        <v>1084</v>
      </c>
      <c r="H528" s="8">
        <v>1560.48</v>
      </c>
      <c r="I528" s="8">
        <v>170.43</v>
      </c>
      <c r="J528" s="8">
        <v>0.27</v>
      </c>
      <c r="K528" t="str">
        <f>IF(SalesData[[#This Row],[Profit]]&gt;0,"Profit","Loss")</f>
        <v>Profit</v>
      </c>
      <c r="L528" s="8">
        <f>SalesData[[#This Row],[Profit]]/SalesData[[#This Row],[Sales]]</f>
        <v>0.10921639495539834</v>
      </c>
      <c r="M528" t="str">
        <f>TEXT(SalesData[[#This Row],[Order_Date]],"mmm")</f>
        <v>Oct</v>
      </c>
      <c r="N528">
        <f>YEAR(SalesData[[#This Row],[Order_Date]])</f>
        <v>2023</v>
      </c>
    </row>
    <row r="529" spans="1:14" x14ac:dyDescent="0.3">
      <c r="A529" t="s">
        <v>1269</v>
      </c>
      <c r="B529" s="1">
        <v>45112</v>
      </c>
      <c r="C529" t="s">
        <v>1270</v>
      </c>
      <c r="D529" t="s">
        <v>12</v>
      </c>
      <c r="E529" t="s">
        <v>13</v>
      </c>
      <c r="F529" t="s">
        <v>14</v>
      </c>
      <c r="G529" t="s">
        <v>1271</v>
      </c>
      <c r="H529" s="8">
        <v>703.85</v>
      </c>
      <c r="I529" s="8">
        <v>111.2</v>
      </c>
      <c r="J529" s="8">
        <v>0</v>
      </c>
      <c r="K529" t="str">
        <f>IF(SalesData[[#This Row],[Profit]]&gt;0,"Profit","Loss")</f>
        <v>Profit</v>
      </c>
      <c r="L529" s="8">
        <f>SalesData[[#This Row],[Profit]]/SalesData[[#This Row],[Sales]]</f>
        <v>0.15798820771471195</v>
      </c>
      <c r="M529" t="str">
        <f>TEXT(SalesData[[#This Row],[Order_Date]],"mmm")</f>
        <v>Jul</v>
      </c>
      <c r="N529">
        <f>YEAR(SalesData[[#This Row],[Order_Date]])</f>
        <v>2023</v>
      </c>
    </row>
    <row r="530" spans="1:14" x14ac:dyDescent="0.3">
      <c r="A530" t="s">
        <v>1272</v>
      </c>
      <c r="B530" s="1">
        <v>45223</v>
      </c>
      <c r="C530" t="s">
        <v>1273</v>
      </c>
      <c r="D530" t="s">
        <v>18</v>
      </c>
      <c r="E530" t="s">
        <v>56</v>
      </c>
      <c r="F530" t="s">
        <v>73</v>
      </c>
      <c r="G530" t="s">
        <v>1274</v>
      </c>
      <c r="H530" s="8">
        <v>3733.01</v>
      </c>
      <c r="I530" s="8">
        <v>-1093.6099999999999</v>
      </c>
      <c r="J530" s="8">
        <v>0.22</v>
      </c>
      <c r="K530" t="str">
        <f>IF(SalesData[[#This Row],[Profit]]&gt;0,"Profit","Loss")</f>
        <v>Loss</v>
      </c>
      <c r="L530" s="8">
        <f>SalesData[[#This Row],[Profit]]/SalesData[[#This Row],[Sales]]</f>
        <v>-0.29295662213602425</v>
      </c>
      <c r="M530" t="str">
        <f>TEXT(SalesData[[#This Row],[Order_Date]],"mmm")</f>
        <v>Oct</v>
      </c>
      <c r="N530">
        <f>YEAR(SalesData[[#This Row],[Order_Date]])</f>
        <v>2023</v>
      </c>
    </row>
    <row r="531" spans="1:14" x14ac:dyDescent="0.3">
      <c r="A531" t="s">
        <v>1275</v>
      </c>
      <c r="B531" s="1">
        <v>45249</v>
      </c>
      <c r="C531" t="s">
        <v>1276</v>
      </c>
      <c r="D531" t="s">
        <v>12</v>
      </c>
      <c r="E531" t="s">
        <v>56</v>
      </c>
      <c r="F531" t="s">
        <v>57</v>
      </c>
      <c r="G531" t="s">
        <v>119</v>
      </c>
      <c r="H531" s="8">
        <v>3122.74</v>
      </c>
      <c r="I531" s="8">
        <v>-659.61</v>
      </c>
      <c r="J531" s="8">
        <v>0.08</v>
      </c>
      <c r="K531" t="str">
        <f>IF(SalesData[[#This Row],[Profit]]&gt;0,"Profit","Loss")</f>
        <v>Loss</v>
      </c>
      <c r="L531" s="8">
        <f>SalesData[[#This Row],[Profit]]/SalesData[[#This Row],[Sales]]</f>
        <v>-0.21122796006071592</v>
      </c>
      <c r="M531" t="str">
        <f>TEXT(SalesData[[#This Row],[Order_Date]],"mmm")</f>
        <v>Nov</v>
      </c>
      <c r="N531">
        <f>YEAR(SalesData[[#This Row],[Order_Date]])</f>
        <v>2023</v>
      </c>
    </row>
    <row r="532" spans="1:14" x14ac:dyDescent="0.3">
      <c r="A532" t="s">
        <v>1277</v>
      </c>
      <c r="B532" s="1">
        <v>44818</v>
      </c>
      <c r="C532" t="s">
        <v>1278</v>
      </c>
      <c r="D532" t="s">
        <v>18</v>
      </c>
      <c r="E532" t="s">
        <v>13</v>
      </c>
      <c r="F532" t="s">
        <v>36</v>
      </c>
      <c r="G532" t="s">
        <v>1279</v>
      </c>
      <c r="H532" s="8">
        <v>3258.91</v>
      </c>
      <c r="I532" s="8">
        <v>596.41999999999996</v>
      </c>
      <c r="J532" s="8">
        <v>0.02</v>
      </c>
      <c r="K532" t="str">
        <f>IF(SalesData[[#This Row],[Profit]]&gt;0,"Profit","Loss")</f>
        <v>Profit</v>
      </c>
      <c r="L532" s="8">
        <f>SalesData[[#This Row],[Profit]]/SalesData[[#This Row],[Sales]]</f>
        <v>0.18301211141148421</v>
      </c>
      <c r="M532" t="str">
        <f>TEXT(SalesData[[#This Row],[Order_Date]],"mmm")</f>
        <v>Sep</v>
      </c>
      <c r="N532">
        <f>YEAR(SalesData[[#This Row],[Order_Date]])</f>
        <v>2022</v>
      </c>
    </row>
    <row r="533" spans="1:14" x14ac:dyDescent="0.3">
      <c r="A533" t="s">
        <v>1280</v>
      </c>
      <c r="B533" s="1">
        <v>44802</v>
      </c>
      <c r="C533" t="s">
        <v>353</v>
      </c>
      <c r="D533" t="s">
        <v>40</v>
      </c>
      <c r="E533" t="s">
        <v>13</v>
      </c>
      <c r="F533" t="s">
        <v>36</v>
      </c>
      <c r="G533" t="s">
        <v>371</v>
      </c>
      <c r="H533" s="8">
        <v>4762.55</v>
      </c>
      <c r="I533" s="8">
        <v>441.86</v>
      </c>
      <c r="J533" s="8">
        <v>0.11</v>
      </c>
      <c r="K533" t="str">
        <f>IF(SalesData[[#This Row],[Profit]]&gt;0,"Profit","Loss")</f>
        <v>Profit</v>
      </c>
      <c r="L533" s="8">
        <f>SalesData[[#This Row],[Profit]]/SalesData[[#This Row],[Sales]]</f>
        <v>9.2778028577127802E-2</v>
      </c>
      <c r="M533" t="str">
        <f>TEXT(SalesData[[#This Row],[Order_Date]],"mmm")</f>
        <v>Aug</v>
      </c>
      <c r="N533">
        <f>YEAR(SalesData[[#This Row],[Order_Date]])</f>
        <v>2022</v>
      </c>
    </row>
    <row r="534" spans="1:14" x14ac:dyDescent="0.3">
      <c r="A534" t="s">
        <v>1281</v>
      </c>
      <c r="B534" s="1">
        <v>44875</v>
      </c>
      <c r="C534" t="s">
        <v>1282</v>
      </c>
      <c r="D534" t="s">
        <v>18</v>
      </c>
      <c r="E534" t="s">
        <v>56</v>
      </c>
      <c r="F534" t="s">
        <v>57</v>
      </c>
      <c r="G534" t="s">
        <v>930</v>
      </c>
      <c r="H534" s="8">
        <v>1657.15</v>
      </c>
      <c r="I534" s="8">
        <v>49.39</v>
      </c>
      <c r="J534" s="8">
        <v>0.14000000000000001</v>
      </c>
      <c r="K534" t="str">
        <f>IF(SalesData[[#This Row],[Profit]]&gt;0,"Profit","Loss")</f>
        <v>Profit</v>
      </c>
      <c r="L534" s="8">
        <f>SalesData[[#This Row],[Profit]]/SalesData[[#This Row],[Sales]]</f>
        <v>2.9804181878526386E-2</v>
      </c>
      <c r="M534" t="str">
        <f>TEXT(SalesData[[#This Row],[Order_Date]],"mmm")</f>
        <v>Nov</v>
      </c>
      <c r="N534">
        <f>YEAR(SalesData[[#This Row],[Order_Date]])</f>
        <v>2022</v>
      </c>
    </row>
    <row r="535" spans="1:14" x14ac:dyDescent="0.3">
      <c r="A535" t="s">
        <v>1283</v>
      </c>
      <c r="B535" s="1">
        <v>44882</v>
      </c>
      <c r="C535" t="s">
        <v>1284</v>
      </c>
      <c r="D535" t="s">
        <v>18</v>
      </c>
      <c r="E535" t="s">
        <v>13</v>
      </c>
      <c r="F535" t="s">
        <v>36</v>
      </c>
      <c r="G535" t="s">
        <v>438</v>
      </c>
      <c r="H535" s="8">
        <v>4057.73</v>
      </c>
      <c r="I535" s="8">
        <v>-1577.71</v>
      </c>
      <c r="J535" s="8">
        <v>0.28999999999999998</v>
      </c>
      <c r="K535" t="str">
        <f>IF(SalesData[[#This Row],[Profit]]&gt;0,"Profit","Loss")</f>
        <v>Loss</v>
      </c>
      <c r="L535" s="8">
        <f>SalesData[[#This Row],[Profit]]/SalesData[[#This Row],[Sales]]</f>
        <v>-0.38881591431662532</v>
      </c>
      <c r="M535" t="str">
        <f>TEXT(SalesData[[#This Row],[Order_Date]],"mmm")</f>
        <v>Nov</v>
      </c>
      <c r="N535">
        <f>YEAR(SalesData[[#This Row],[Order_Date]])</f>
        <v>2022</v>
      </c>
    </row>
    <row r="536" spans="1:14" x14ac:dyDescent="0.3">
      <c r="A536" t="s">
        <v>1285</v>
      </c>
      <c r="B536" s="1">
        <v>44901</v>
      </c>
      <c r="C536" t="s">
        <v>1225</v>
      </c>
      <c r="D536" t="s">
        <v>28</v>
      </c>
      <c r="E536" t="s">
        <v>13</v>
      </c>
      <c r="F536" t="s">
        <v>24</v>
      </c>
      <c r="G536" t="s">
        <v>872</v>
      </c>
      <c r="H536" s="8">
        <v>2237.0100000000002</v>
      </c>
      <c r="I536" s="8">
        <v>-826.39</v>
      </c>
      <c r="J536" s="8">
        <v>0.25</v>
      </c>
      <c r="K536" t="str">
        <f>IF(SalesData[[#This Row],[Profit]]&gt;0,"Profit","Loss")</f>
        <v>Loss</v>
      </c>
      <c r="L536" s="8">
        <f>SalesData[[#This Row],[Profit]]/SalesData[[#This Row],[Sales]]</f>
        <v>-0.3694172131550596</v>
      </c>
      <c r="M536" t="str">
        <f>TEXT(SalesData[[#This Row],[Order_Date]],"mmm")</f>
        <v>Dec</v>
      </c>
      <c r="N536">
        <f>YEAR(SalesData[[#This Row],[Order_Date]])</f>
        <v>2022</v>
      </c>
    </row>
    <row r="537" spans="1:14" x14ac:dyDescent="0.3">
      <c r="A537" t="s">
        <v>1286</v>
      </c>
      <c r="B537" s="1">
        <v>44645</v>
      </c>
      <c r="C537" t="s">
        <v>855</v>
      </c>
      <c r="D537" t="s">
        <v>18</v>
      </c>
      <c r="E537" t="s">
        <v>19</v>
      </c>
      <c r="F537" t="s">
        <v>29</v>
      </c>
      <c r="G537" t="s">
        <v>1287</v>
      </c>
      <c r="H537" s="8">
        <v>2486.16</v>
      </c>
      <c r="I537" s="8">
        <v>391.15</v>
      </c>
      <c r="J537" s="8">
        <v>0.03</v>
      </c>
      <c r="K537" t="str">
        <f>IF(SalesData[[#This Row],[Profit]]&gt;0,"Profit","Loss")</f>
        <v>Profit</v>
      </c>
      <c r="L537" s="8">
        <f>SalesData[[#This Row],[Profit]]/SalesData[[#This Row],[Sales]]</f>
        <v>0.15733098432924672</v>
      </c>
      <c r="M537" t="str">
        <f>TEXT(SalesData[[#This Row],[Order_Date]],"mmm")</f>
        <v>Mar</v>
      </c>
      <c r="N537">
        <f>YEAR(SalesData[[#This Row],[Order_Date]])</f>
        <v>2022</v>
      </c>
    </row>
    <row r="538" spans="1:14" x14ac:dyDescent="0.3">
      <c r="A538" t="s">
        <v>1288</v>
      </c>
      <c r="B538" s="1">
        <v>44639</v>
      </c>
      <c r="C538" t="s">
        <v>1289</v>
      </c>
      <c r="D538" t="s">
        <v>12</v>
      </c>
      <c r="E538" t="s">
        <v>13</v>
      </c>
      <c r="F538" t="s">
        <v>14</v>
      </c>
      <c r="G538" t="s">
        <v>891</v>
      </c>
      <c r="H538" s="8">
        <v>1389.85</v>
      </c>
      <c r="I538" s="8">
        <v>-589.47</v>
      </c>
      <c r="J538" s="8">
        <v>0.27</v>
      </c>
      <c r="K538" t="str">
        <f>IF(SalesData[[#This Row],[Profit]]&gt;0,"Profit","Loss")</f>
        <v>Loss</v>
      </c>
      <c r="L538" s="8">
        <f>SalesData[[#This Row],[Profit]]/SalesData[[#This Row],[Sales]]</f>
        <v>-0.42412490556534882</v>
      </c>
      <c r="M538" t="str">
        <f>TEXT(SalesData[[#This Row],[Order_Date]],"mmm")</f>
        <v>Mar</v>
      </c>
      <c r="N538">
        <f>YEAR(SalesData[[#This Row],[Order_Date]])</f>
        <v>2022</v>
      </c>
    </row>
    <row r="539" spans="1:14" x14ac:dyDescent="0.3">
      <c r="A539" t="s">
        <v>1290</v>
      </c>
      <c r="B539" s="1">
        <v>45126</v>
      </c>
      <c r="C539" t="s">
        <v>1291</v>
      </c>
      <c r="D539" t="s">
        <v>28</v>
      </c>
      <c r="E539" t="s">
        <v>13</v>
      </c>
      <c r="F539" t="s">
        <v>24</v>
      </c>
      <c r="G539" t="s">
        <v>1292</v>
      </c>
      <c r="H539" s="8">
        <v>2085.16</v>
      </c>
      <c r="I539" s="8">
        <v>341.51</v>
      </c>
      <c r="J539" s="8">
        <v>0.18</v>
      </c>
      <c r="K539" t="str">
        <f>IF(SalesData[[#This Row],[Profit]]&gt;0,"Profit","Loss")</f>
        <v>Profit</v>
      </c>
      <c r="L539" s="8">
        <f>SalesData[[#This Row],[Profit]]/SalesData[[#This Row],[Sales]]</f>
        <v>0.16378119664678012</v>
      </c>
      <c r="M539" t="str">
        <f>TEXT(SalesData[[#This Row],[Order_Date]],"mmm")</f>
        <v>Jul</v>
      </c>
      <c r="N539">
        <f>YEAR(SalesData[[#This Row],[Order_Date]])</f>
        <v>2023</v>
      </c>
    </row>
    <row r="540" spans="1:14" x14ac:dyDescent="0.3">
      <c r="A540" t="s">
        <v>1293</v>
      </c>
      <c r="B540" s="1">
        <v>44859</v>
      </c>
      <c r="C540" t="s">
        <v>893</v>
      </c>
      <c r="D540" t="s">
        <v>28</v>
      </c>
      <c r="E540" t="s">
        <v>56</v>
      </c>
      <c r="F540" t="s">
        <v>95</v>
      </c>
      <c r="G540" t="s">
        <v>482</v>
      </c>
      <c r="H540" s="8">
        <v>2023.24</v>
      </c>
      <c r="I540" s="8">
        <v>-235.18</v>
      </c>
      <c r="J540" s="8">
        <v>0.27</v>
      </c>
      <c r="K540" t="str">
        <f>IF(SalesData[[#This Row],[Profit]]&gt;0,"Profit","Loss")</f>
        <v>Loss</v>
      </c>
      <c r="L540" s="8">
        <f>SalesData[[#This Row],[Profit]]/SalesData[[#This Row],[Sales]]</f>
        <v>-0.11623929934165003</v>
      </c>
      <c r="M540" t="str">
        <f>TEXT(SalesData[[#This Row],[Order_Date]],"mmm")</f>
        <v>Oct</v>
      </c>
      <c r="N540">
        <f>YEAR(SalesData[[#This Row],[Order_Date]])</f>
        <v>2022</v>
      </c>
    </row>
    <row r="541" spans="1:14" x14ac:dyDescent="0.3">
      <c r="A541" t="s">
        <v>1294</v>
      </c>
      <c r="B541" s="1">
        <v>45190</v>
      </c>
      <c r="C541" t="s">
        <v>361</v>
      </c>
      <c r="D541" t="s">
        <v>18</v>
      </c>
      <c r="E541" t="s">
        <v>13</v>
      </c>
      <c r="F541" t="s">
        <v>14</v>
      </c>
      <c r="G541" t="s">
        <v>1295</v>
      </c>
      <c r="H541" s="8">
        <v>2044.25</v>
      </c>
      <c r="I541" s="8">
        <v>97.32</v>
      </c>
      <c r="J541" s="8">
        <v>0.15</v>
      </c>
      <c r="K541" t="str">
        <f>IF(SalesData[[#This Row],[Profit]]&gt;0,"Profit","Loss")</f>
        <v>Profit</v>
      </c>
      <c r="L541" s="8">
        <f>SalesData[[#This Row],[Profit]]/SalesData[[#This Row],[Sales]]</f>
        <v>4.7606701724348777E-2</v>
      </c>
      <c r="M541" t="str">
        <f>TEXT(SalesData[[#This Row],[Order_Date]],"mmm")</f>
        <v>Sep</v>
      </c>
      <c r="N541">
        <f>YEAR(SalesData[[#This Row],[Order_Date]])</f>
        <v>2023</v>
      </c>
    </row>
    <row r="542" spans="1:14" x14ac:dyDescent="0.3">
      <c r="A542" t="s">
        <v>1296</v>
      </c>
      <c r="B542" s="1">
        <v>45237</v>
      </c>
      <c r="C542" t="s">
        <v>1297</v>
      </c>
      <c r="D542" t="s">
        <v>28</v>
      </c>
      <c r="E542" t="s">
        <v>13</v>
      </c>
      <c r="F542" t="s">
        <v>14</v>
      </c>
      <c r="G542" t="s">
        <v>417</v>
      </c>
      <c r="H542" s="8">
        <v>2286.48</v>
      </c>
      <c r="I542" s="8">
        <v>729.91</v>
      </c>
      <c r="J542" s="8">
        <v>0.05</v>
      </c>
      <c r="K542" t="str">
        <f>IF(SalesData[[#This Row],[Profit]]&gt;0,"Profit","Loss")</f>
        <v>Profit</v>
      </c>
      <c r="L542" s="8">
        <f>SalesData[[#This Row],[Profit]]/SalesData[[#This Row],[Sales]]</f>
        <v>0.31922868339106397</v>
      </c>
      <c r="M542" t="str">
        <f>TEXT(SalesData[[#This Row],[Order_Date]],"mmm")</f>
        <v>Nov</v>
      </c>
      <c r="N542">
        <f>YEAR(SalesData[[#This Row],[Order_Date]])</f>
        <v>2023</v>
      </c>
    </row>
    <row r="543" spans="1:14" x14ac:dyDescent="0.3">
      <c r="A543" t="s">
        <v>1298</v>
      </c>
      <c r="B543" s="1">
        <v>44940</v>
      </c>
      <c r="C543" t="s">
        <v>1299</v>
      </c>
      <c r="D543" t="s">
        <v>12</v>
      </c>
      <c r="E543" t="s">
        <v>19</v>
      </c>
      <c r="F543" t="s">
        <v>20</v>
      </c>
      <c r="G543" t="s">
        <v>1300</v>
      </c>
      <c r="H543" s="8">
        <v>1172.21</v>
      </c>
      <c r="I543" s="8">
        <v>-366.06</v>
      </c>
      <c r="J543" s="8">
        <v>0.15</v>
      </c>
      <c r="K543" t="str">
        <f>IF(SalesData[[#This Row],[Profit]]&gt;0,"Profit","Loss")</f>
        <v>Loss</v>
      </c>
      <c r="L543" s="8">
        <f>SalesData[[#This Row],[Profit]]/SalesData[[#This Row],[Sales]]</f>
        <v>-0.31228192900589485</v>
      </c>
      <c r="M543" t="str">
        <f>TEXT(SalesData[[#This Row],[Order_Date]],"mmm")</f>
        <v>Jan</v>
      </c>
      <c r="N543">
        <f>YEAR(SalesData[[#This Row],[Order_Date]])</f>
        <v>2023</v>
      </c>
    </row>
    <row r="544" spans="1:14" x14ac:dyDescent="0.3">
      <c r="A544" t="s">
        <v>1301</v>
      </c>
      <c r="B544" s="1">
        <v>45027</v>
      </c>
      <c r="C544" t="s">
        <v>1302</v>
      </c>
      <c r="D544" t="s">
        <v>12</v>
      </c>
      <c r="E544" t="s">
        <v>56</v>
      </c>
      <c r="F544" t="s">
        <v>73</v>
      </c>
      <c r="G544" t="s">
        <v>1303</v>
      </c>
      <c r="H544" s="8">
        <v>4547.8599999999997</v>
      </c>
      <c r="I544" s="8">
        <v>-128.22999999999999</v>
      </c>
      <c r="J544" s="8">
        <v>0.11</v>
      </c>
      <c r="K544" t="str">
        <f>IF(SalesData[[#This Row],[Profit]]&gt;0,"Profit","Loss")</f>
        <v>Loss</v>
      </c>
      <c r="L544" s="8">
        <f>SalesData[[#This Row],[Profit]]/SalesData[[#This Row],[Sales]]</f>
        <v>-2.8195678846754297E-2</v>
      </c>
      <c r="M544" t="str">
        <f>TEXT(SalesData[[#This Row],[Order_Date]],"mmm")</f>
        <v>Apr</v>
      </c>
      <c r="N544">
        <f>YEAR(SalesData[[#This Row],[Order_Date]])</f>
        <v>2023</v>
      </c>
    </row>
    <row r="545" spans="1:14" x14ac:dyDescent="0.3">
      <c r="A545" t="s">
        <v>1304</v>
      </c>
      <c r="B545" s="1">
        <v>44831</v>
      </c>
      <c r="C545" t="s">
        <v>1305</v>
      </c>
      <c r="D545" t="s">
        <v>18</v>
      </c>
      <c r="E545" t="s">
        <v>19</v>
      </c>
      <c r="F545" t="s">
        <v>20</v>
      </c>
      <c r="G545" t="s">
        <v>1306</v>
      </c>
      <c r="H545" s="8">
        <v>3548.31</v>
      </c>
      <c r="I545" s="8">
        <v>488.92</v>
      </c>
      <c r="J545" s="8">
        <v>0.16</v>
      </c>
      <c r="K545" t="str">
        <f>IF(SalesData[[#This Row],[Profit]]&gt;0,"Profit","Loss")</f>
        <v>Profit</v>
      </c>
      <c r="L545" s="8">
        <f>SalesData[[#This Row],[Profit]]/SalesData[[#This Row],[Sales]]</f>
        <v>0.1377895392454436</v>
      </c>
      <c r="M545" t="str">
        <f>TEXT(SalesData[[#This Row],[Order_Date]],"mmm")</f>
        <v>Sep</v>
      </c>
      <c r="N545">
        <f>YEAR(SalesData[[#This Row],[Order_Date]])</f>
        <v>2022</v>
      </c>
    </row>
    <row r="546" spans="1:14" x14ac:dyDescent="0.3">
      <c r="A546" t="s">
        <v>1307</v>
      </c>
      <c r="B546" s="1">
        <v>45091</v>
      </c>
      <c r="C546" t="s">
        <v>845</v>
      </c>
      <c r="D546" t="s">
        <v>28</v>
      </c>
      <c r="E546" t="s">
        <v>13</v>
      </c>
      <c r="F546" t="s">
        <v>36</v>
      </c>
      <c r="G546" t="s">
        <v>1308</v>
      </c>
      <c r="H546" s="8">
        <v>1889.95</v>
      </c>
      <c r="I546" s="8">
        <v>191.42</v>
      </c>
      <c r="J546" s="8">
        <v>0.2</v>
      </c>
      <c r="K546" t="str">
        <f>IF(SalesData[[#This Row],[Profit]]&gt;0,"Profit","Loss")</f>
        <v>Profit</v>
      </c>
      <c r="L546" s="8">
        <f>SalesData[[#This Row],[Profit]]/SalesData[[#This Row],[Sales]]</f>
        <v>0.10128310272758538</v>
      </c>
      <c r="M546" t="str">
        <f>TEXT(SalesData[[#This Row],[Order_Date]],"mmm")</f>
        <v>Jun</v>
      </c>
      <c r="N546">
        <f>YEAR(SalesData[[#This Row],[Order_Date]])</f>
        <v>2023</v>
      </c>
    </row>
    <row r="547" spans="1:14" x14ac:dyDescent="0.3">
      <c r="A547" t="s">
        <v>1309</v>
      </c>
      <c r="B547" s="1">
        <v>45055</v>
      </c>
      <c r="C547" t="s">
        <v>1310</v>
      </c>
      <c r="D547" t="s">
        <v>12</v>
      </c>
      <c r="E547" t="s">
        <v>56</v>
      </c>
      <c r="F547" t="s">
        <v>73</v>
      </c>
      <c r="G547" t="s">
        <v>482</v>
      </c>
      <c r="H547" s="8">
        <v>2088.63</v>
      </c>
      <c r="I547" s="8">
        <v>-507.5</v>
      </c>
      <c r="J547" s="8">
        <v>0.25</v>
      </c>
      <c r="K547" t="str">
        <f>IF(SalesData[[#This Row],[Profit]]&gt;0,"Profit","Loss")</f>
        <v>Loss</v>
      </c>
      <c r="L547" s="8">
        <f>SalesData[[#This Row],[Profit]]/SalesData[[#This Row],[Sales]]</f>
        <v>-0.24298224194807122</v>
      </c>
      <c r="M547" t="str">
        <f>TEXT(SalesData[[#This Row],[Order_Date]],"mmm")</f>
        <v>May</v>
      </c>
      <c r="N547">
        <f>YEAR(SalesData[[#This Row],[Order_Date]])</f>
        <v>2023</v>
      </c>
    </row>
    <row r="548" spans="1:14" x14ac:dyDescent="0.3">
      <c r="A548" t="s">
        <v>1311</v>
      </c>
      <c r="B548" s="1">
        <v>44778</v>
      </c>
      <c r="C548" t="s">
        <v>1098</v>
      </c>
      <c r="D548" t="s">
        <v>18</v>
      </c>
      <c r="E548" t="s">
        <v>56</v>
      </c>
      <c r="F548" t="s">
        <v>95</v>
      </c>
      <c r="G548" t="s">
        <v>294</v>
      </c>
      <c r="H548" s="8">
        <v>911.47</v>
      </c>
      <c r="I548" s="8">
        <v>151.38</v>
      </c>
      <c r="J548" s="8">
        <v>0.02</v>
      </c>
      <c r="K548" t="str">
        <f>IF(SalesData[[#This Row],[Profit]]&gt;0,"Profit","Loss")</f>
        <v>Profit</v>
      </c>
      <c r="L548" s="8">
        <f>SalesData[[#This Row],[Profit]]/SalesData[[#This Row],[Sales]]</f>
        <v>0.16608335984727965</v>
      </c>
      <c r="M548" t="str">
        <f>TEXT(SalesData[[#This Row],[Order_Date]],"mmm")</f>
        <v>Aug</v>
      </c>
      <c r="N548">
        <f>YEAR(SalesData[[#This Row],[Order_Date]])</f>
        <v>2022</v>
      </c>
    </row>
    <row r="549" spans="1:14" x14ac:dyDescent="0.3">
      <c r="A549" t="s">
        <v>1312</v>
      </c>
      <c r="B549" s="1">
        <v>44900</v>
      </c>
      <c r="C549" t="s">
        <v>626</v>
      </c>
      <c r="D549" t="s">
        <v>12</v>
      </c>
      <c r="E549" t="s">
        <v>19</v>
      </c>
      <c r="F549" t="s">
        <v>141</v>
      </c>
      <c r="G549" t="s">
        <v>1313</v>
      </c>
      <c r="H549" s="8">
        <v>3614.78</v>
      </c>
      <c r="I549" s="8">
        <v>-367.96</v>
      </c>
      <c r="J549" s="8">
        <v>0.04</v>
      </c>
      <c r="K549" t="str">
        <f>IF(SalesData[[#This Row],[Profit]]&gt;0,"Profit","Loss")</f>
        <v>Loss</v>
      </c>
      <c r="L549" s="8">
        <f>SalesData[[#This Row],[Profit]]/SalesData[[#This Row],[Sales]]</f>
        <v>-0.10179319350001935</v>
      </c>
      <c r="M549" t="str">
        <f>TEXT(SalesData[[#This Row],[Order_Date]],"mmm")</f>
        <v>Dec</v>
      </c>
      <c r="N549">
        <f>YEAR(SalesData[[#This Row],[Order_Date]])</f>
        <v>2022</v>
      </c>
    </row>
    <row r="550" spans="1:14" x14ac:dyDescent="0.3">
      <c r="A550" t="s">
        <v>1314</v>
      </c>
      <c r="B550" s="1">
        <v>44982</v>
      </c>
      <c r="C550" t="s">
        <v>1315</v>
      </c>
      <c r="D550" t="s">
        <v>18</v>
      </c>
      <c r="E550" t="s">
        <v>13</v>
      </c>
      <c r="F550" t="s">
        <v>36</v>
      </c>
      <c r="G550" t="s">
        <v>981</v>
      </c>
      <c r="H550" s="8">
        <v>2447.1999999999998</v>
      </c>
      <c r="I550" s="8">
        <v>20.45</v>
      </c>
      <c r="J550" s="8">
        <v>0.18</v>
      </c>
      <c r="K550" t="str">
        <f>IF(SalesData[[#This Row],[Profit]]&gt;0,"Profit","Loss")</f>
        <v>Profit</v>
      </c>
      <c r="L550" s="8">
        <f>SalesData[[#This Row],[Profit]]/SalesData[[#This Row],[Sales]]</f>
        <v>8.356489048708728E-3</v>
      </c>
      <c r="M550" t="str">
        <f>TEXT(SalesData[[#This Row],[Order_Date]],"mmm")</f>
        <v>Feb</v>
      </c>
      <c r="N550">
        <f>YEAR(SalesData[[#This Row],[Order_Date]])</f>
        <v>2023</v>
      </c>
    </row>
    <row r="551" spans="1:14" x14ac:dyDescent="0.3">
      <c r="A551" t="s">
        <v>1316</v>
      </c>
      <c r="B551" s="1">
        <v>45148</v>
      </c>
      <c r="C551" t="s">
        <v>545</v>
      </c>
      <c r="D551" t="s">
        <v>12</v>
      </c>
      <c r="E551" t="s">
        <v>56</v>
      </c>
      <c r="F551" t="s">
        <v>73</v>
      </c>
      <c r="G551" t="s">
        <v>1317</v>
      </c>
      <c r="H551" s="8">
        <v>3002.5</v>
      </c>
      <c r="I551" s="8">
        <v>202.93</v>
      </c>
      <c r="J551" s="8">
        <v>0.04</v>
      </c>
      <c r="K551" t="str">
        <f>IF(SalesData[[#This Row],[Profit]]&gt;0,"Profit","Loss")</f>
        <v>Profit</v>
      </c>
      <c r="L551" s="8">
        <f>SalesData[[#This Row],[Profit]]/SalesData[[#This Row],[Sales]]</f>
        <v>6.7587010824313079E-2</v>
      </c>
      <c r="M551" t="str">
        <f>TEXT(SalesData[[#This Row],[Order_Date]],"mmm")</f>
        <v>Aug</v>
      </c>
      <c r="N551">
        <f>YEAR(SalesData[[#This Row],[Order_Date]])</f>
        <v>2023</v>
      </c>
    </row>
    <row r="552" spans="1:14" x14ac:dyDescent="0.3">
      <c r="A552" t="s">
        <v>1318</v>
      </c>
      <c r="B552" s="1">
        <v>45214</v>
      </c>
      <c r="C552" t="s">
        <v>1289</v>
      </c>
      <c r="D552" t="s">
        <v>40</v>
      </c>
      <c r="E552" t="s">
        <v>19</v>
      </c>
      <c r="F552" t="s">
        <v>20</v>
      </c>
      <c r="G552" t="s">
        <v>1140</v>
      </c>
      <c r="H552" s="8">
        <v>2631.54</v>
      </c>
      <c r="I552" s="8">
        <v>688.27</v>
      </c>
      <c r="J552" s="8">
        <v>0.12</v>
      </c>
      <c r="K552" t="str">
        <f>IF(SalesData[[#This Row],[Profit]]&gt;0,"Profit","Loss")</f>
        <v>Profit</v>
      </c>
      <c r="L552" s="8">
        <f>SalesData[[#This Row],[Profit]]/SalesData[[#This Row],[Sales]]</f>
        <v>0.26154647088776911</v>
      </c>
      <c r="M552" t="str">
        <f>TEXT(SalesData[[#This Row],[Order_Date]],"mmm")</f>
        <v>Oct</v>
      </c>
      <c r="N552">
        <f>YEAR(SalesData[[#This Row],[Order_Date]])</f>
        <v>2023</v>
      </c>
    </row>
    <row r="553" spans="1:14" x14ac:dyDescent="0.3">
      <c r="A553" t="s">
        <v>1319</v>
      </c>
      <c r="B553" s="1">
        <v>44736</v>
      </c>
      <c r="C553" t="s">
        <v>1320</v>
      </c>
      <c r="D553" t="s">
        <v>28</v>
      </c>
      <c r="E553" t="s">
        <v>56</v>
      </c>
      <c r="F553" t="s">
        <v>57</v>
      </c>
      <c r="G553" t="s">
        <v>1321</v>
      </c>
      <c r="H553" s="8">
        <v>2301.1</v>
      </c>
      <c r="I553" s="8">
        <v>46.9</v>
      </c>
      <c r="J553" s="8">
        <v>0.3</v>
      </c>
      <c r="K553" t="str">
        <f>IF(SalesData[[#This Row],[Profit]]&gt;0,"Profit","Loss")</f>
        <v>Profit</v>
      </c>
      <c r="L553" s="8">
        <f>SalesData[[#This Row],[Profit]]/SalesData[[#This Row],[Sales]]</f>
        <v>2.0381556646821085E-2</v>
      </c>
      <c r="M553" t="str">
        <f>TEXT(SalesData[[#This Row],[Order_Date]],"mmm")</f>
        <v>Jun</v>
      </c>
      <c r="N553">
        <f>YEAR(SalesData[[#This Row],[Order_Date]])</f>
        <v>2022</v>
      </c>
    </row>
    <row r="554" spans="1:14" x14ac:dyDescent="0.3">
      <c r="A554" t="s">
        <v>1322</v>
      </c>
      <c r="B554" s="1">
        <v>44832</v>
      </c>
      <c r="C554" t="s">
        <v>1323</v>
      </c>
      <c r="D554" t="s">
        <v>40</v>
      </c>
      <c r="E554" t="s">
        <v>56</v>
      </c>
      <c r="F554" t="s">
        <v>73</v>
      </c>
      <c r="G554" t="s">
        <v>774</v>
      </c>
      <c r="H554" s="8">
        <v>4120.22</v>
      </c>
      <c r="I554" s="8">
        <v>600.67999999999995</v>
      </c>
      <c r="J554" s="8">
        <v>0.05</v>
      </c>
      <c r="K554" t="str">
        <f>IF(SalesData[[#This Row],[Profit]]&gt;0,"Profit","Loss")</f>
        <v>Profit</v>
      </c>
      <c r="L554" s="8">
        <f>SalesData[[#This Row],[Profit]]/SalesData[[#This Row],[Sales]]</f>
        <v>0.14578833169102617</v>
      </c>
      <c r="M554" t="str">
        <f>TEXT(SalesData[[#This Row],[Order_Date]],"mmm")</f>
        <v>Sep</v>
      </c>
      <c r="N554">
        <f>YEAR(SalesData[[#This Row],[Order_Date]])</f>
        <v>2022</v>
      </c>
    </row>
    <row r="555" spans="1:14" x14ac:dyDescent="0.3">
      <c r="A555" t="s">
        <v>1324</v>
      </c>
      <c r="B555" s="1">
        <v>44673</v>
      </c>
      <c r="C555" t="s">
        <v>1325</v>
      </c>
      <c r="D555" t="s">
        <v>18</v>
      </c>
      <c r="E555" t="s">
        <v>19</v>
      </c>
      <c r="F555" t="s">
        <v>141</v>
      </c>
      <c r="G555" t="s">
        <v>1326</v>
      </c>
      <c r="H555" s="8">
        <v>2993.92</v>
      </c>
      <c r="I555" s="8">
        <v>-115.93</v>
      </c>
      <c r="J555" s="8">
        <v>7.0000000000000007E-2</v>
      </c>
      <c r="K555" t="str">
        <f>IF(SalesData[[#This Row],[Profit]]&gt;0,"Profit","Loss")</f>
        <v>Loss</v>
      </c>
      <c r="L555" s="8">
        <f>SalesData[[#This Row],[Profit]]/SalesData[[#This Row],[Sales]]</f>
        <v>-3.8721809533988884E-2</v>
      </c>
      <c r="M555" t="str">
        <f>TEXT(SalesData[[#This Row],[Order_Date]],"mmm")</f>
        <v>Apr</v>
      </c>
      <c r="N555">
        <f>YEAR(SalesData[[#This Row],[Order_Date]])</f>
        <v>2022</v>
      </c>
    </row>
    <row r="556" spans="1:14" x14ac:dyDescent="0.3">
      <c r="A556" t="s">
        <v>1327</v>
      </c>
      <c r="B556" s="1">
        <v>45049</v>
      </c>
      <c r="C556" t="s">
        <v>1328</v>
      </c>
      <c r="D556" t="s">
        <v>12</v>
      </c>
      <c r="E556" t="s">
        <v>13</v>
      </c>
      <c r="F556" t="s">
        <v>24</v>
      </c>
      <c r="G556" t="s">
        <v>989</v>
      </c>
      <c r="H556" s="8">
        <v>2157</v>
      </c>
      <c r="I556" s="8">
        <v>-393.05</v>
      </c>
      <c r="J556" s="8">
        <v>0.04</v>
      </c>
      <c r="K556" t="str">
        <f>IF(SalesData[[#This Row],[Profit]]&gt;0,"Profit","Loss")</f>
        <v>Loss</v>
      </c>
      <c r="L556" s="8">
        <f>SalesData[[#This Row],[Profit]]/SalesData[[#This Row],[Sales]]</f>
        <v>-0.18222067686601762</v>
      </c>
      <c r="M556" t="str">
        <f>TEXT(SalesData[[#This Row],[Order_Date]],"mmm")</f>
        <v>May</v>
      </c>
      <c r="N556">
        <f>YEAR(SalesData[[#This Row],[Order_Date]])</f>
        <v>2023</v>
      </c>
    </row>
    <row r="557" spans="1:14" x14ac:dyDescent="0.3">
      <c r="A557" t="s">
        <v>1329</v>
      </c>
      <c r="B557" s="1">
        <v>45179</v>
      </c>
      <c r="C557" t="s">
        <v>1330</v>
      </c>
      <c r="D557" t="s">
        <v>12</v>
      </c>
      <c r="E557" t="s">
        <v>13</v>
      </c>
      <c r="F557" t="s">
        <v>24</v>
      </c>
      <c r="G557" t="s">
        <v>951</v>
      </c>
      <c r="H557" s="8">
        <v>3786.68</v>
      </c>
      <c r="I557" s="8">
        <v>627.21</v>
      </c>
      <c r="J557" s="8">
        <v>0.03</v>
      </c>
      <c r="K557" t="str">
        <f>IF(SalesData[[#This Row],[Profit]]&gt;0,"Profit","Loss")</f>
        <v>Profit</v>
      </c>
      <c r="L557" s="8">
        <f>SalesData[[#This Row],[Profit]]/SalesData[[#This Row],[Sales]]</f>
        <v>0.16563586043711115</v>
      </c>
      <c r="M557" t="str">
        <f>TEXT(SalesData[[#This Row],[Order_Date]],"mmm")</f>
        <v>Sep</v>
      </c>
      <c r="N557">
        <f>YEAR(SalesData[[#This Row],[Order_Date]])</f>
        <v>2023</v>
      </c>
    </row>
    <row r="558" spans="1:14" x14ac:dyDescent="0.3">
      <c r="A558" t="s">
        <v>1331</v>
      </c>
      <c r="B558" s="1">
        <v>45276</v>
      </c>
      <c r="C558" t="s">
        <v>1332</v>
      </c>
      <c r="D558" t="s">
        <v>28</v>
      </c>
      <c r="E558" t="s">
        <v>13</v>
      </c>
      <c r="F558" t="s">
        <v>24</v>
      </c>
      <c r="G558" t="s">
        <v>816</v>
      </c>
      <c r="H558" s="8">
        <v>2214.33</v>
      </c>
      <c r="I558" s="8">
        <v>431.56</v>
      </c>
      <c r="J558" s="8">
        <v>0.13</v>
      </c>
      <c r="K558" t="str">
        <f>IF(SalesData[[#This Row],[Profit]]&gt;0,"Profit","Loss")</f>
        <v>Profit</v>
      </c>
      <c r="L558" s="8">
        <f>SalesData[[#This Row],[Profit]]/SalesData[[#This Row],[Sales]]</f>
        <v>0.19489416663279638</v>
      </c>
      <c r="M558" t="str">
        <f>TEXT(SalesData[[#This Row],[Order_Date]],"mmm")</f>
        <v>Dec</v>
      </c>
      <c r="N558">
        <f>YEAR(SalesData[[#This Row],[Order_Date]])</f>
        <v>2023</v>
      </c>
    </row>
    <row r="559" spans="1:14" x14ac:dyDescent="0.3">
      <c r="A559" t="s">
        <v>1333</v>
      </c>
      <c r="B559" s="1">
        <v>45275</v>
      </c>
      <c r="C559" t="s">
        <v>1334</v>
      </c>
      <c r="D559" t="s">
        <v>12</v>
      </c>
      <c r="E559" t="s">
        <v>19</v>
      </c>
      <c r="F559" t="s">
        <v>29</v>
      </c>
      <c r="G559" t="s">
        <v>300</v>
      </c>
      <c r="H559" s="8">
        <v>1817.54</v>
      </c>
      <c r="I559" s="8">
        <v>190.32</v>
      </c>
      <c r="J559" s="8">
        <v>0.24</v>
      </c>
      <c r="K559" t="str">
        <f>IF(SalesData[[#This Row],[Profit]]&gt;0,"Profit","Loss")</f>
        <v>Profit</v>
      </c>
      <c r="L559" s="8">
        <f>SalesData[[#This Row],[Profit]]/SalesData[[#This Row],[Sales]]</f>
        <v>0.10471296367617769</v>
      </c>
      <c r="M559" t="str">
        <f>TEXT(SalesData[[#This Row],[Order_Date]],"mmm")</f>
        <v>Dec</v>
      </c>
      <c r="N559">
        <f>YEAR(SalesData[[#This Row],[Order_Date]])</f>
        <v>2023</v>
      </c>
    </row>
    <row r="560" spans="1:14" x14ac:dyDescent="0.3">
      <c r="A560" t="s">
        <v>1335</v>
      </c>
      <c r="B560" s="1">
        <v>44852</v>
      </c>
      <c r="C560" t="s">
        <v>1336</v>
      </c>
      <c r="D560" t="s">
        <v>28</v>
      </c>
      <c r="E560" t="s">
        <v>56</v>
      </c>
      <c r="F560" t="s">
        <v>95</v>
      </c>
      <c r="G560" t="s">
        <v>792</v>
      </c>
      <c r="H560" s="8">
        <v>2437.9899999999998</v>
      </c>
      <c r="I560" s="8">
        <v>598.36</v>
      </c>
      <c r="J560" s="8">
        <v>7.0000000000000007E-2</v>
      </c>
      <c r="K560" t="str">
        <f>IF(SalesData[[#This Row],[Profit]]&gt;0,"Profit","Loss")</f>
        <v>Profit</v>
      </c>
      <c r="L560" s="8">
        <f>SalesData[[#This Row],[Profit]]/SalesData[[#This Row],[Sales]]</f>
        <v>0.24543168757870215</v>
      </c>
      <c r="M560" t="str">
        <f>TEXT(SalesData[[#This Row],[Order_Date]],"mmm")</f>
        <v>Oct</v>
      </c>
      <c r="N560">
        <f>YEAR(SalesData[[#This Row],[Order_Date]])</f>
        <v>2022</v>
      </c>
    </row>
    <row r="561" spans="1:14" x14ac:dyDescent="0.3">
      <c r="A561" t="s">
        <v>1337</v>
      </c>
      <c r="B561" s="1">
        <v>44682</v>
      </c>
      <c r="C561" t="s">
        <v>1096</v>
      </c>
      <c r="D561" t="s">
        <v>12</v>
      </c>
      <c r="E561" t="s">
        <v>56</v>
      </c>
      <c r="F561" t="s">
        <v>57</v>
      </c>
      <c r="G561" t="s">
        <v>1306</v>
      </c>
      <c r="H561" s="8">
        <v>3574.83</v>
      </c>
      <c r="I561" s="8">
        <v>-333.2</v>
      </c>
      <c r="J561" s="8">
        <v>0.24</v>
      </c>
      <c r="K561" t="str">
        <f>IF(SalesData[[#This Row],[Profit]]&gt;0,"Profit","Loss")</f>
        <v>Loss</v>
      </c>
      <c r="L561" s="8">
        <f>SalesData[[#This Row],[Profit]]/SalesData[[#This Row],[Sales]]</f>
        <v>-9.3207229434686401E-2</v>
      </c>
      <c r="M561" t="str">
        <f>TEXT(SalesData[[#This Row],[Order_Date]],"mmm")</f>
        <v>May</v>
      </c>
      <c r="N561">
        <f>YEAR(SalesData[[#This Row],[Order_Date]])</f>
        <v>2022</v>
      </c>
    </row>
    <row r="562" spans="1:14" x14ac:dyDescent="0.3">
      <c r="A562" t="s">
        <v>1338</v>
      </c>
      <c r="B562" s="1">
        <v>44720</v>
      </c>
      <c r="C562" t="s">
        <v>1339</v>
      </c>
      <c r="D562" t="s">
        <v>40</v>
      </c>
      <c r="E562" t="s">
        <v>13</v>
      </c>
      <c r="F562" t="s">
        <v>14</v>
      </c>
      <c r="G562" t="s">
        <v>1011</v>
      </c>
      <c r="H562" s="8">
        <v>3470.06</v>
      </c>
      <c r="I562" s="8">
        <v>-252.06</v>
      </c>
      <c r="J562" s="8">
        <v>0.09</v>
      </c>
      <c r="K562" t="str">
        <f>IF(SalesData[[#This Row],[Profit]]&gt;0,"Profit","Loss")</f>
        <v>Loss</v>
      </c>
      <c r="L562" s="8">
        <f>SalesData[[#This Row],[Profit]]/SalesData[[#This Row],[Sales]]</f>
        <v>-7.2638513455098766E-2</v>
      </c>
      <c r="M562" t="str">
        <f>TEXT(SalesData[[#This Row],[Order_Date]],"mmm")</f>
        <v>Jun</v>
      </c>
      <c r="N562">
        <f>YEAR(SalesData[[#This Row],[Order_Date]])</f>
        <v>2022</v>
      </c>
    </row>
    <row r="563" spans="1:14" x14ac:dyDescent="0.3">
      <c r="A563" t="s">
        <v>1340</v>
      </c>
      <c r="B563" s="1">
        <v>44968</v>
      </c>
      <c r="C563" t="s">
        <v>472</v>
      </c>
      <c r="D563" t="s">
        <v>18</v>
      </c>
      <c r="E563" t="s">
        <v>13</v>
      </c>
      <c r="F563" t="s">
        <v>36</v>
      </c>
      <c r="G563" t="s">
        <v>1220</v>
      </c>
      <c r="H563" s="8">
        <v>2866.88</v>
      </c>
      <c r="I563" s="8">
        <v>616.61</v>
      </c>
      <c r="J563" s="8">
        <v>0.18</v>
      </c>
      <c r="K563" t="str">
        <f>IF(SalesData[[#This Row],[Profit]]&gt;0,"Profit","Loss")</f>
        <v>Profit</v>
      </c>
      <c r="L563" s="8">
        <f>SalesData[[#This Row],[Profit]]/SalesData[[#This Row],[Sales]]</f>
        <v>0.21508050563678982</v>
      </c>
      <c r="M563" t="str">
        <f>TEXT(SalesData[[#This Row],[Order_Date]],"mmm")</f>
        <v>Feb</v>
      </c>
      <c r="N563">
        <f>YEAR(SalesData[[#This Row],[Order_Date]])</f>
        <v>2023</v>
      </c>
    </row>
    <row r="564" spans="1:14" x14ac:dyDescent="0.3">
      <c r="A564" t="s">
        <v>1341</v>
      </c>
      <c r="B564" s="1">
        <v>44821</v>
      </c>
      <c r="C564" t="s">
        <v>76</v>
      </c>
      <c r="D564" t="s">
        <v>40</v>
      </c>
      <c r="E564" t="s">
        <v>13</v>
      </c>
      <c r="F564" t="s">
        <v>24</v>
      </c>
      <c r="G564" t="s">
        <v>1342</v>
      </c>
      <c r="H564" s="8">
        <v>2464.09</v>
      </c>
      <c r="I564" s="8">
        <v>56.54</v>
      </c>
      <c r="J564" s="8">
        <v>0.11</v>
      </c>
      <c r="K564" t="str">
        <f>IF(SalesData[[#This Row],[Profit]]&gt;0,"Profit","Loss")</f>
        <v>Profit</v>
      </c>
      <c r="L564" s="8">
        <f>SalesData[[#This Row],[Profit]]/SalesData[[#This Row],[Sales]]</f>
        <v>2.2945590461387368E-2</v>
      </c>
      <c r="M564" t="str">
        <f>TEXT(SalesData[[#This Row],[Order_Date]],"mmm")</f>
        <v>Sep</v>
      </c>
      <c r="N564">
        <f>YEAR(SalesData[[#This Row],[Order_Date]])</f>
        <v>2022</v>
      </c>
    </row>
    <row r="565" spans="1:14" x14ac:dyDescent="0.3">
      <c r="A565" t="s">
        <v>1343</v>
      </c>
      <c r="B565" s="1">
        <v>44797</v>
      </c>
      <c r="C565" t="s">
        <v>716</v>
      </c>
      <c r="D565" t="s">
        <v>18</v>
      </c>
      <c r="E565" t="s">
        <v>13</v>
      </c>
      <c r="F565" t="s">
        <v>36</v>
      </c>
      <c r="G565" t="s">
        <v>274</v>
      </c>
      <c r="H565" s="8">
        <v>3705.33</v>
      </c>
      <c r="I565" s="8">
        <v>-238.74</v>
      </c>
      <c r="J565" s="8">
        <v>0.26</v>
      </c>
      <c r="K565" t="str">
        <f>IF(SalesData[[#This Row],[Profit]]&gt;0,"Profit","Loss")</f>
        <v>Loss</v>
      </c>
      <c r="L565" s="8">
        <f>SalesData[[#This Row],[Profit]]/SalesData[[#This Row],[Sales]]</f>
        <v>-6.4431508124782405E-2</v>
      </c>
      <c r="M565" t="str">
        <f>TEXT(SalesData[[#This Row],[Order_Date]],"mmm")</f>
        <v>Aug</v>
      </c>
      <c r="N565">
        <f>YEAR(SalesData[[#This Row],[Order_Date]])</f>
        <v>2022</v>
      </c>
    </row>
    <row r="566" spans="1:14" x14ac:dyDescent="0.3">
      <c r="A566" t="s">
        <v>1344</v>
      </c>
      <c r="B566" s="1">
        <v>45275</v>
      </c>
      <c r="C566" t="s">
        <v>361</v>
      </c>
      <c r="D566" t="s">
        <v>12</v>
      </c>
      <c r="E566" t="s">
        <v>56</v>
      </c>
      <c r="F566" t="s">
        <v>73</v>
      </c>
      <c r="G566" t="s">
        <v>1274</v>
      </c>
      <c r="H566" s="8">
        <v>2062.75</v>
      </c>
      <c r="I566" s="8">
        <v>62.6</v>
      </c>
      <c r="J566" s="8">
        <v>0.1</v>
      </c>
      <c r="K566" t="str">
        <f>IF(SalesData[[#This Row],[Profit]]&gt;0,"Profit","Loss")</f>
        <v>Profit</v>
      </c>
      <c r="L566" s="8">
        <f>SalesData[[#This Row],[Profit]]/SalesData[[#This Row],[Sales]]</f>
        <v>3.0347836625863531E-2</v>
      </c>
      <c r="M566" t="str">
        <f>TEXT(SalesData[[#This Row],[Order_Date]],"mmm")</f>
        <v>Dec</v>
      </c>
      <c r="N566">
        <f>YEAR(SalesData[[#This Row],[Order_Date]])</f>
        <v>2023</v>
      </c>
    </row>
    <row r="567" spans="1:14" x14ac:dyDescent="0.3">
      <c r="A567" t="s">
        <v>1345</v>
      </c>
      <c r="B567" s="1">
        <v>45176</v>
      </c>
      <c r="C567" t="s">
        <v>1346</v>
      </c>
      <c r="D567" t="s">
        <v>12</v>
      </c>
      <c r="E567" t="s">
        <v>19</v>
      </c>
      <c r="F567" t="s">
        <v>141</v>
      </c>
      <c r="G567" t="s">
        <v>843</v>
      </c>
      <c r="H567" s="8">
        <v>125.92</v>
      </c>
      <c r="I567" s="8">
        <v>-17.98</v>
      </c>
      <c r="J567" s="8">
        <v>0.03</v>
      </c>
      <c r="K567" t="str">
        <f>IF(SalesData[[#This Row],[Profit]]&gt;0,"Profit","Loss")</f>
        <v>Loss</v>
      </c>
      <c r="L567" s="8">
        <f>SalesData[[#This Row],[Profit]]/SalesData[[#This Row],[Sales]]</f>
        <v>-0.14278907242693775</v>
      </c>
      <c r="M567" t="str">
        <f>TEXT(SalesData[[#This Row],[Order_Date]],"mmm")</f>
        <v>Sep</v>
      </c>
      <c r="N567">
        <f>YEAR(SalesData[[#This Row],[Order_Date]])</f>
        <v>2023</v>
      </c>
    </row>
    <row r="568" spans="1:14" x14ac:dyDescent="0.3">
      <c r="A568" t="s">
        <v>1347</v>
      </c>
      <c r="B568" s="1">
        <v>44972</v>
      </c>
      <c r="C568" t="s">
        <v>459</v>
      </c>
      <c r="D568" t="s">
        <v>40</v>
      </c>
      <c r="E568" t="s">
        <v>19</v>
      </c>
      <c r="F568" t="s">
        <v>20</v>
      </c>
      <c r="G568" t="s">
        <v>438</v>
      </c>
      <c r="H568" s="8">
        <v>1917.09</v>
      </c>
      <c r="I568" s="8">
        <v>104.86</v>
      </c>
      <c r="J568" s="8">
        <v>0.18</v>
      </c>
      <c r="K568" t="str">
        <f>IF(SalesData[[#This Row],[Profit]]&gt;0,"Profit","Loss")</f>
        <v>Profit</v>
      </c>
      <c r="L568" s="8">
        <f>SalesData[[#This Row],[Profit]]/SalesData[[#This Row],[Sales]]</f>
        <v>5.4697484207835836E-2</v>
      </c>
      <c r="M568" t="str">
        <f>TEXT(SalesData[[#This Row],[Order_Date]],"mmm")</f>
        <v>Feb</v>
      </c>
      <c r="N568">
        <f>YEAR(SalesData[[#This Row],[Order_Date]])</f>
        <v>2023</v>
      </c>
    </row>
    <row r="569" spans="1:14" x14ac:dyDescent="0.3">
      <c r="A569" t="s">
        <v>1348</v>
      </c>
      <c r="B569" s="1">
        <v>45011</v>
      </c>
      <c r="C569" t="s">
        <v>1349</v>
      </c>
      <c r="D569" t="s">
        <v>18</v>
      </c>
      <c r="E569" t="s">
        <v>13</v>
      </c>
      <c r="F569" t="s">
        <v>14</v>
      </c>
      <c r="G569" t="s">
        <v>119</v>
      </c>
      <c r="H569" s="8">
        <v>4734.01</v>
      </c>
      <c r="I569" s="8">
        <v>-311.62</v>
      </c>
      <c r="J569" s="8">
        <v>0.25</v>
      </c>
      <c r="K569" t="str">
        <f>IF(SalesData[[#This Row],[Profit]]&gt;0,"Profit","Loss")</f>
        <v>Loss</v>
      </c>
      <c r="L569" s="8">
        <f>SalesData[[#This Row],[Profit]]/SalesData[[#This Row],[Sales]]</f>
        <v>-6.5825800959440309E-2</v>
      </c>
      <c r="M569" t="str">
        <f>TEXT(SalesData[[#This Row],[Order_Date]],"mmm")</f>
        <v>Mar</v>
      </c>
      <c r="N569">
        <f>YEAR(SalesData[[#This Row],[Order_Date]])</f>
        <v>2023</v>
      </c>
    </row>
    <row r="570" spans="1:14" x14ac:dyDescent="0.3">
      <c r="A570" t="s">
        <v>1350</v>
      </c>
      <c r="B570" s="1">
        <v>45090</v>
      </c>
      <c r="C570" t="s">
        <v>524</v>
      </c>
      <c r="D570" t="s">
        <v>18</v>
      </c>
      <c r="E570" t="s">
        <v>13</v>
      </c>
      <c r="F570" t="s">
        <v>24</v>
      </c>
      <c r="G570" t="s">
        <v>755</v>
      </c>
      <c r="H570" s="8">
        <v>1501.43</v>
      </c>
      <c r="I570" s="8">
        <v>224.78</v>
      </c>
      <c r="J570" s="8">
        <v>0.01</v>
      </c>
      <c r="K570" t="str">
        <f>IF(SalesData[[#This Row],[Profit]]&gt;0,"Profit","Loss")</f>
        <v>Profit</v>
      </c>
      <c r="L570" s="8">
        <f>SalesData[[#This Row],[Profit]]/SalesData[[#This Row],[Sales]]</f>
        <v>0.149710609219211</v>
      </c>
      <c r="M570" t="str">
        <f>TEXT(SalesData[[#This Row],[Order_Date]],"mmm")</f>
        <v>Jun</v>
      </c>
      <c r="N570">
        <f>YEAR(SalesData[[#This Row],[Order_Date]])</f>
        <v>2023</v>
      </c>
    </row>
    <row r="571" spans="1:14" x14ac:dyDescent="0.3">
      <c r="A571" t="s">
        <v>1351</v>
      </c>
      <c r="B571" s="1">
        <v>44723</v>
      </c>
      <c r="C571" t="s">
        <v>613</v>
      </c>
      <c r="D571" t="s">
        <v>40</v>
      </c>
      <c r="E571" t="s">
        <v>56</v>
      </c>
      <c r="F571" t="s">
        <v>73</v>
      </c>
      <c r="G571" t="s">
        <v>1352</v>
      </c>
      <c r="H571" s="8">
        <v>276.7</v>
      </c>
      <c r="I571" s="8">
        <v>-74.66</v>
      </c>
      <c r="J571" s="8">
        <v>7.0000000000000007E-2</v>
      </c>
      <c r="K571" t="str">
        <f>IF(SalesData[[#This Row],[Profit]]&gt;0,"Profit","Loss")</f>
        <v>Loss</v>
      </c>
      <c r="L571" s="8">
        <f>SalesData[[#This Row],[Profit]]/SalesData[[#This Row],[Sales]]</f>
        <v>-0.26982291290206001</v>
      </c>
      <c r="M571" t="str">
        <f>TEXT(SalesData[[#This Row],[Order_Date]],"mmm")</f>
        <v>Jun</v>
      </c>
      <c r="N571">
        <f>YEAR(SalesData[[#This Row],[Order_Date]])</f>
        <v>2022</v>
      </c>
    </row>
    <row r="572" spans="1:14" x14ac:dyDescent="0.3">
      <c r="A572" t="s">
        <v>1353</v>
      </c>
      <c r="B572" s="1">
        <v>44577</v>
      </c>
      <c r="C572" t="s">
        <v>1354</v>
      </c>
      <c r="D572" t="s">
        <v>12</v>
      </c>
      <c r="E572" t="s">
        <v>19</v>
      </c>
      <c r="F572" t="s">
        <v>29</v>
      </c>
      <c r="G572" t="s">
        <v>1355</v>
      </c>
      <c r="H572" s="8">
        <v>3381.34</v>
      </c>
      <c r="I572" s="8">
        <v>-675.64</v>
      </c>
      <c r="J572" s="8">
        <v>0.12</v>
      </c>
      <c r="K572" t="str">
        <f>IF(SalesData[[#This Row],[Profit]]&gt;0,"Profit","Loss")</f>
        <v>Loss</v>
      </c>
      <c r="L572" s="8">
        <f>SalesData[[#This Row],[Profit]]/SalesData[[#This Row],[Sales]]</f>
        <v>-0.19981427481412692</v>
      </c>
      <c r="M572" t="str">
        <f>TEXT(SalesData[[#This Row],[Order_Date]],"mmm")</f>
        <v>Jan</v>
      </c>
      <c r="N572">
        <f>YEAR(SalesData[[#This Row],[Order_Date]])</f>
        <v>2022</v>
      </c>
    </row>
    <row r="573" spans="1:14" x14ac:dyDescent="0.3">
      <c r="A573" t="s">
        <v>1356</v>
      </c>
      <c r="B573" s="1">
        <v>44918</v>
      </c>
      <c r="C573" t="s">
        <v>247</v>
      </c>
      <c r="D573" t="s">
        <v>40</v>
      </c>
      <c r="E573" t="s">
        <v>56</v>
      </c>
      <c r="F573" t="s">
        <v>73</v>
      </c>
      <c r="G573" t="s">
        <v>193</v>
      </c>
      <c r="H573" s="8">
        <v>1494.02</v>
      </c>
      <c r="I573" s="8">
        <v>147.91999999999999</v>
      </c>
      <c r="J573" s="8">
        <v>0.25</v>
      </c>
      <c r="K573" t="str">
        <f>IF(SalesData[[#This Row],[Profit]]&gt;0,"Profit","Loss")</f>
        <v>Profit</v>
      </c>
      <c r="L573" s="8">
        <f>SalesData[[#This Row],[Profit]]/SalesData[[#This Row],[Sales]]</f>
        <v>9.9008045407691994E-2</v>
      </c>
      <c r="M573" t="str">
        <f>TEXT(SalesData[[#This Row],[Order_Date]],"mmm")</f>
        <v>Dec</v>
      </c>
      <c r="N573">
        <f>YEAR(SalesData[[#This Row],[Order_Date]])</f>
        <v>2022</v>
      </c>
    </row>
    <row r="574" spans="1:14" x14ac:dyDescent="0.3">
      <c r="A574" t="s">
        <v>1357</v>
      </c>
      <c r="B574" s="1">
        <v>44741</v>
      </c>
      <c r="C574" t="s">
        <v>696</v>
      </c>
      <c r="D574" t="s">
        <v>12</v>
      </c>
      <c r="E574" t="s">
        <v>13</v>
      </c>
      <c r="F574" t="s">
        <v>14</v>
      </c>
      <c r="G574" t="s">
        <v>1358</v>
      </c>
      <c r="H574" s="8">
        <v>2328.3200000000002</v>
      </c>
      <c r="I574" s="8">
        <v>-738.56</v>
      </c>
      <c r="J574" s="8">
        <v>0.12</v>
      </c>
      <c r="K574" t="str">
        <f>IF(SalesData[[#This Row],[Profit]]&gt;0,"Profit","Loss")</f>
        <v>Loss</v>
      </c>
      <c r="L574" s="8">
        <f>SalesData[[#This Row],[Profit]]/SalesData[[#This Row],[Sales]]</f>
        <v>-0.31720725673446942</v>
      </c>
      <c r="M574" t="str">
        <f>TEXT(SalesData[[#This Row],[Order_Date]],"mmm")</f>
        <v>Jun</v>
      </c>
      <c r="N574">
        <f>YEAR(SalesData[[#This Row],[Order_Date]])</f>
        <v>2022</v>
      </c>
    </row>
    <row r="575" spans="1:14" x14ac:dyDescent="0.3">
      <c r="A575" t="s">
        <v>1359</v>
      </c>
      <c r="B575" s="1">
        <v>44825</v>
      </c>
      <c r="C575" t="s">
        <v>130</v>
      </c>
      <c r="D575" t="s">
        <v>40</v>
      </c>
      <c r="E575" t="s">
        <v>56</v>
      </c>
      <c r="F575" t="s">
        <v>73</v>
      </c>
      <c r="G575" t="s">
        <v>365</v>
      </c>
      <c r="H575" s="8">
        <v>1541.83</v>
      </c>
      <c r="I575" s="8">
        <v>2.72</v>
      </c>
      <c r="J575" s="8">
        <v>0.28000000000000003</v>
      </c>
      <c r="K575" t="str">
        <f>IF(SalesData[[#This Row],[Profit]]&gt;0,"Profit","Loss")</f>
        <v>Profit</v>
      </c>
      <c r="L575" s="8">
        <f>SalesData[[#This Row],[Profit]]/SalesData[[#This Row],[Sales]]</f>
        <v>1.7641374211164657E-3</v>
      </c>
      <c r="M575" t="str">
        <f>TEXT(SalesData[[#This Row],[Order_Date]],"mmm")</f>
        <v>Sep</v>
      </c>
      <c r="N575">
        <f>YEAR(SalesData[[#This Row],[Order_Date]])</f>
        <v>2022</v>
      </c>
    </row>
    <row r="576" spans="1:14" x14ac:dyDescent="0.3">
      <c r="A576" t="s">
        <v>1360</v>
      </c>
      <c r="B576" s="1">
        <v>45031</v>
      </c>
      <c r="C576" t="s">
        <v>1361</v>
      </c>
      <c r="D576" t="s">
        <v>28</v>
      </c>
      <c r="E576" t="s">
        <v>19</v>
      </c>
      <c r="F576" t="s">
        <v>29</v>
      </c>
      <c r="G576" t="s">
        <v>951</v>
      </c>
      <c r="H576" s="8">
        <v>2859.53</v>
      </c>
      <c r="I576" s="8">
        <v>70.010000000000005</v>
      </c>
      <c r="J576" s="8">
        <v>0.23</v>
      </c>
      <c r="K576" t="str">
        <f>IF(SalesData[[#This Row],[Profit]]&gt;0,"Profit","Loss")</f>
        <v>Profit</v>
      </c>
      <c r="L576" s="8">
        <f>SalesData[[#This Row],[Profit]]/SalesData[[#This Row],[Sales]]</f>
        <v>2.4483044416390105E-2</v>
      </c>
      <c r="M576" t="str">
        <f>TEXT(SalesData[[#This Row],[Order_Date]],"mmm")</f>
        <v>Apr</v>
      </c>
      <c r="N576">
        <f>YEAR(SalesData[[#This Row],[Order_Date]])</f>
        <v>2023</v>
      </c>
    </row>
    <row r="577" spans="1:14" x14ac:dyDescent="0.3">
      <c r="A577" t="s">
        <v>1362</v>
      </c>
      <c r="B577" s="1">
        <v>44787</v>
      </c>
      <c r="C577" t="s">
        <v>869</v>
      </c>
      <c r="D577" t="s">
        <v>18</v>
      </c>
      <c r="E577" t="s">
        <v>13</v>
      </c>
      <c r="F577" t="s">
        <v>14</v>
      </c>
      <c r="G577" t="s">
        <v>102</v>
      </c>
      <c r="H577" s="8">
        <v>2461.65</v>
      </c>
      <c r="I577" s="8">
        <v>-124.06</v>
      </c>
      <c r="J577" s="8">
        <v>0.08</v>
      </c>
      <c r="K577" t="str">
        <f>IF(SalesData[[#This Row],[Profit]]&gt;0,"Profit","Loss")</f>
        <v>Loss</v>
      </c>
      <c r="L577" s="8">
        <f>SalesData[[#This Row],[Profit]]/SalesData[[#This Row],[Sales]]</f>
        <v>-5.0397091381796759E-2</v>
      </c>
      <c r="M577" t="str">
        <f>TEXT(SalesData[[#This Row],[Order_Date]],"mmm")</f>
        <v>Aug</v>
      </c>
      <c r="N577">
        <f>YEAR(SalesData[[#This Row],[Order_Date]])</f>
        <v>2022</v>
      </c>
    </row>
    <row r="578" spans="1:14" x14ac:dyDescent="0.3">
      <c r="A578" t="s">
        <v>1363</v>
      </c>
      <c r="B578" s="1">
        <v>44831</v>
      </c>
      <c r="C578" t="s">
        <v>1364</v>
      </c>
      <c r="D578" t="s">
        <v>40</v>
      </c>
      <c r="E578" t="s">
        <v>19</v>
      </c>
      <c r="F578" t="s">
        <v>29</v>
      </c>
      <c r="G578" t="s">
        <v>450</v>
      </c>
      <c r="H578" s="8">
        <v>4781.68</v>
      </c>
      <c r="I578" s="8">
        <v>-1645.69</v>
      </c>
      <c r="J578" s="8">
        <v>0.15</v>
      </c>
      <c r="K578" t="str">
        <f>IF(SalesData[[#This Row],[Profit]]&gt;0,"Profit","Loss")</f>
        <v>Loss</v>
      </c>
      <c r="L578" s="8">
        <f>SalesData[[#This Row],[Profit]]/SalesData[[#This Row],[Sales]]</f>
        <v>-0.344165648893276</v>
      </c>
      <c r="M578" t="str">
        <f>TEXT(SalesData[[#This Row],[Order_Date]],"mmm")</f>
        <v>Sep</v>
      </c>
      <c r="N578">
        <f>YEAR(SalesData[[#This Row],[Order_Date]])</f>
        <v>2022</v>
      </c>
    </row>
    <row r="579" spans="1:14" x14ac:dyDescent="0.3">
      <c r="A579" t="s">
        <v>1365</v>
      </c>
      <c r="B579" s="1">
        <v>44744</v>
      </c>
      <c r="C579" t="s">
        <v>433</v>
      </c>
      <c r="D579" t="s">
        <v>40</v>
      </c>
      <c r="E579" t="s">
        <v>19</v>
      </c>
      <c r="F579" t="s">
        <v>141</v>
      </c>
      <c r="G579" t="s">
        <v>1208</v>
      </c>
      <c r="H579" s="8">
        <v>3769.06</v>
      </c>
      <c r="I579" s="8">
        <v>123.36</v>
      </c>
      <c r="J579" s="8">
        <v>0.1</v>
      </c>
      <c r="K579" t="str">
        <f>IF(SalesData[[#This Row],[Profit]]&gt;0,"Profit","Loss")</f>
        <v>Profit</v>
      </c>
      <c r="L579" s="8">
        <f>SalesData[[#This Row],[Profit]]/SalesData[[#This Row],[Sales]]</f>
        <v>3.2729646118660888E-2</v>
      </c>
      <c r="M579" t="str">
        <f>TEXT(SalesData[[#This Row],[Order_Date]],"mmm")</f>
        <v>Jul</v>
      </c>
      <c r="N579">
        <f>YEAR(SalesData[[#This Row],[Order_Date]])</f>
        <v>2022</v>
      </c>
    </row>
    <row r="580" spans="1:14" x14ac:dyDescent="0.3">
      <c r="A580" t="s">
        <v>1366</v>
      </c>
      <c r="B580" s="1">
        <v>44756</v>
      </c>
      <c r="C580" t="s">
        <v>643</v>
      </c>
      <c r="D580" t="s">
        <v>18</v>
      </c>
      <c r="E580" t="s">
        <v>56</v>
      </c>
      <c r="F580" t="s">
        <v>73</v>
      </c>
      <c r="G580" t="s">
        <v>548</v>
      </c>
      <c r="H580" s="8">
        <v>1418.47</v>
      </c>
      <c r="I580" s="8">
        <v>-99.49</v>
      </c>
      <c r="J580" s="8">
        <v>0.28000000000000003</v>
      </c>
      <c r="K580" t="str">
        <f>IF(SalesData[[#This Row],[Profit]]&gt;0,"Profit","Loss")</f>
        <v>Loss</v>
      </c>
      <c r="L580" s="8">
        <f>SalesData[[#This Row],[Profit]]/SalesData[[#This Row],[Sales]]</f>
        <v>-7.0138952533363413E-2</v>
      </c>
      <c r="M580" t="str">
        <f>TEXT(SalesData[[#This Row],[Order_Date]],"mmm")</f>
        <v>Jul</v>
      </c>
      <c r="N580">
        <f>YEAR(SalesData[[#This Row],[Order_Date]])</f>
        <v>2022</v>
      </c>
    </row>
    <row r="581" spans="1:14" x14ac:dyDescent="0.3">
      <c r="A581" t="s">
        <v>1367</v>
      </c>
      <c r="B581" s="1">
        <v>44817</v>
      </c>
      <c r="C581" t="s">
        <v>1368</v>
      </c>
      <c r="D581" t="s">
        <v>40</v>
      </c>
      <c r="E581" t="s">
        <v>13</v>
      </c>
      <c r="F581" t="s">
        <v>14</v>
      </c>
      <c r="G581" t="s">
        <v>114</v>
      </c>
      <c r="H581" s="8">
        <v>4376.4399999999996</v>
      </c>
      <c r="I581" s="8">
        <v>-605.44000000000005</v>
      </c>
      <c r="J581" s="8">
        <v>0.06</v>
      </c>
      <c r="K581" t="str">
        <f>IF(SalesData[[#This Row],[Profit]]&gt;0,"Profit","Loss")</f>
        <v>Loss</v>
      </c>
      <c r="L581" s="8">
        <f>SalesData[[#This Row],[Profit]]/SalesData[[#This Row],[Sales]]</f>
        <v>-0.13834075184396452</v>
      </c>
      <c r="M581" t="str">
        <f>TEXT(SalesData[[#This Row],[Order_Date]],"mmm")</f>
        <v>Sep</v>
      </c>
      <c r="N581">
        <f>YEAR(SalesData[[#This Row],[Order_Date]])</f>
        <v>2022</v>
      </c>
    </row>
    <row r="582" spans="1:14" x14ac:dyDescent="0.3">
      <c r="A582" t="s">
        <v>1369</v>
      </c>
      <c r="B582" s="1">
        <v>45190</v>
      </c>
      <c r="C582" t="s">
        <v>847</v>
      </c>
      <c r="D582" t="s">
        <v>12</v>
      </c>
      <c r="E582" t="s">
        <v>56</v>
      </c>
      <c r="F582" t="s">
        <v>57</v>
      </c>
      <c r="G582" t="s">
        <v>592</v>
      </c>
      <c r="H582" s="8">
        <v>4608.92</v>
      </c>
      <c r="I582" s="8">
        <v>-8.9700000000000006</v>
      </c>
      <c r="J582" s="8">
        <v>0.2</v>
      </c>
      <c r="K582" t="str">
        <f>IF(SalesData[[#This Row],[Profit]]&gt;0,"Profit","Loss")</f>
        <v>Loss</v>
      </c>
      <c r="L582" s="8">
        <f>SalesData[[#This Row],[Profit]]/SalesData[[#This Row],[Sales]]</f>
        <v>-1.9462260139034742E-3</v>
      </c>
      <c r="M582" t="str">
        <f>TEXT(SalesData[[#This Row],[Order_Date]],"mmm")</f>
        <v>Sep</v>
      </c>
      <c r="N582">
        <f>YEAR(SalesData[[#This Row],[Order_Date]])</f>
        <v>2023</v>
      </c>
    </row>
    <row r="583" spans="1:14" x14ac:dyDescent="0.3">
      <c r="A583" t="s">
        <v>1370</v>
      </c>
      <c r="B583" s="1">
        <v>45150</v>
      </c>
      <c r="C583" t="s">
        <v>440</v>
      </c>
      <c r="D583" t="s">
        <v>28</v>
      </c>
      <c r="E583" t="s">
        <v>19</v>
      </c>
      <c r="F583" t="s">
        <v>29</v>
      </c>
      <c r="G583" t="s">
        <v>1371</v>
      </c>
      <c r="H583" s="8">
        <v>3141.27</v>
      </c>
      <c r="I583" s="8">
        <v>757.73</v>
      </c>
      <c r="J583" s="8">
        <v>0.15</v>
      </c>
      <c r="K583" t="str">
        <f>IF(SalesData[[#This Row],[Profit]]&gt;0,"Profit","Loss")</f>
        <v>Profit</v>
      </c>
      <c r="L583" s="8">
        <f>SalesData[[#This Row],[Profit]]/SalesData[[#This Row],[Sales]]</f>
        <v>0.24121772404155009</v>
      </c>
      <c r="M583" t="str">
        <f>TEXT(SalesData[[#This Row],[Order_Date]],"mmm")</f>
        <v>Aug</v>
      </c>
      <c r="N583">
        <f>YEAR(SalesData[[#This Row],[Order_Date]])</f>
        <v>2023</v>
      </c>
    </row>
    <row r="584" spans="1:14" x14ac:dyDescent="0.3">
      <c r="A584" t="s">
        <v>1372</v>
      </c>
      <c r="B584" s="1">
        <v>45100</v>
      </c>
      <c r="C584" t="s">
        <v>82</v>
      </c>
      <c r="D584" t="s">
        <v>28</v>
      </c>
      <c r="E584" t="s">
        <v>13</v>
      </c>
      <c r="F584" t="s">
        <v>36</v>
      </c>
      <c r="G584" t="s">
        <v>1373</v>
      </c>
      <c r="H584" s="8">
        <v>2049.61</v>
      </c>
      <c r="I584" s="8">
        <v>-723.62</v>
      </c>
      <c r="J584" s="8">
        <v>0.23</v>
      </c>
      <c r="K584" t="str">
        <f>IF(SalesData[[#This Row],[Profit]]&gt;0,"Profit","Loss")</f>
        <v>Loss</v>
      </c>
      <c r="L584" s="8">
        <f>SalesData[[#This Row],[Profit]]/SalesData[[#This Row],[Sales]]</f>
        <v>-0.35305253194510172</v>
      </c>
      <c r="M584" t="str">
        <f>TEXT(SalesData[[#This Row],[Order_Date]],"mmm")</f>
        <v>Jun</v>
      </c>
      <c r="N584">
        <f>YEAR(SalesData[[#This Row],[Order_Date]])</f>
        <v>2023</v>
      </c>
    </row>
    <row r="585" spans="1:14" x14ac:dyDescent="0.3">
      <c r="A585" t="s">
        <v>1374</v>
      </c>
      <c r="B585" s="1">
        <v>44740</v>
      </c>
      <c r="C585" t="s">
        <v>558</v>
      </c>
      <c r="D585" t="s">
        <v>12</v>
      </c>
      <c r="E585" t="s">
        <v>13</v>
      </c>
      <c r="F585" t="s">
        <v>14</v>
      </c>
      <c r="G585" t="s">
        <v>25</v>
      </c>
      <c r="H585" s="8">
        <v>2562.13</v>
      </c>
      <c r="I585" s="8">
        <v>235.21</v>
      </c>
      <c r="J585" s="8">
        <v>0.12</v>
      </c>
      <c r="K585" t="str">
        <f>IF(SalesData[[#This Row],[Profit]]&gt;0,"Profit","Loss")</f>
        <v>Profit</v>
      </c>
      <c r="L585" s="8">
        <f>SalesData[[#This Row],[Profit]]/SalesData[[#This Row],[Sales]]</f>
        <v>9.1802523681468157E-2</v>
      </c>
      <c r="M585" t="str">
        <f>TEXT(SalesData[[#This Row],[Order_Date]],"mmm")</f>
        <v>Jun</v>
      </c>
      <c r="N585">
        <f>YEAR(SalesData[[#This Row],[Order_Date]])</f>
        <v>2022</v>
      </c>
    </row>
    <row r="586" spans="1:14" x14ac:dyDescent="0.3">
      <c r="A586" t="s">
        <v>1375</v>
      </c>
      <c r="B586" s="1">
        <v>44950</v>
      </c>
      <c r="C586" t="s">
        <v>171</v>
      </c>
      <c r="D586" t="s">
        <v>12</v>
      </c>
      <c r="E586" t="s">
        <v>13</v>
      </c>
      <c r="F586" t="s">
        <v>36</v>
      </c>
      <c r="G586" t="s">
        <v>1376</v>
      </c>
      <c r="H586" s="8">
        <v>1646.69</v>
      </c>
      <c r="I586" s="8">
        <v>336.69</v>
      </c>
      <c r="J586" s="8">
        <v>0</v>
      </c>
      <c r="K586" t="str">
        <f>IF(SalesData[[#This Row],[Profit]]&gt;0,"Profit","Loss")</f>
        <v>Profit</v>
      </c>
      <c r="L586" s="8">
        <f>SalesData[[#This Row],[Profit]]/SalesData[[#This Row],[Sales]]</f>
        <v>0.20446471406275618</v>
      </c>
      <c r="M586" t="str">
        <f>TEXT(SalesData[[#This Row],[Order_Date]],"mmm")</f>
        <v>Jan</v>
      </c>
      <c r="N586">
        <f>YEAR(SalesData[[#This Row],[Order_Date]])</f>
        <v>2023</v>
      </c>
    </row>
    <row r="587" spans="1:14" x14ac:dyDescent="0.3">
      <c r="A587" t="s">
        <v>1377</v>
      </c>
      <c r="B587" s="1">
        <v>44837</v>
      </c>
      <c r="C587" t="s">
        <v>1378</v>
      </c>
      <c r="D587" t="s">
        <v>40</v>
      </c>
      <c r="E587" t="s">
        <v>19</v>
      </c>
      <c r="F587" t="s">
        <v>141</v>
      </c>
      <c r="G587" t="s">
        <v>1379</v>
      </c>
      <c r="H587" s="8">
        <v>4323.03</v>
      </c>
      <c r="I587" s="8">
        <v>-442.21</v>
      </c>
      <c r="J587" s="8">
        <v>0.06</v>
      </c>
      <c r="K587" t="str">
        <f>IF(SalesData[[#This Row],[Profit]]&gt;0,"Profit","Loss")</f>
        <v>Loss</v>
      </c>
      <c r="L587" s="8">
        <f>SalesData[[#This Row],[Profit]]/SalesData[[#This Row],[Sales]]</f>
        <v>-0.10229167967837373</v>
      </c>
      <c r="M587" t="str">
        <f>TEXT(SalesData[[#This Row],[Order_Date]],"mmm")</f>
        <v>Oct</v>
      </c>
      <c r="N587">
        <f>YEAR(SalesData[[#This Row],[Order_Date]])</f>
        <v>2022</v>
      </c>
    </row>
    <row r="588" spans="1:14" x14ac:dyDescent="0.3">
      <c r="A588" t="s">
        <v>1380</v>
      </c>
      <c r="B588" s="1">
        <v>44935</v>
      </c>
      <c r="C588" t="s">
        <v>713</v>
      </c>
      <c r="D588" t="s">
        <v>40</v>
      </c>
      <c r="E588" t="s">
        <v>56</v>
      </c>
      <c r="F588" t="s">
        <v>95</v>
      </c>
      <c r="G588" t="s">
        <v>288</v>
      </c>
      <c r="H588" s="8">
        <v>2177.3200000000002</v>
      </c>
      <c r="I588" s="8">
        <v>264.14999999999998</v>
      </c>
      <c r="J588" s="8">
        <v>0.13</v>
      </c>
      <c r="K588" t="str">
        <f>IF(SalesData[[#This Row],[Profit]]&gt;0,"Profit","Loss")</f>
        <v>Profit</v>
      </c>
      <c r="L588" s="8">
        <f>SalesData[[#This Row],[Profit]]/SalesData[[#This Row],[Sales]]</f>
        <v>0.12131886906839599</v>
      </c>
      <c r="M588" t="str">
        <f>TEXT(SalesData[[#This Row],[Order_Date]],"mmm")</f>
        <v>Jan</v>
      </c>
      <c r="N588">
        <f>YEAR(SalesData[[#This Row],[Order_Date]])</f>
        <v>2023</v>
      </c>
    </row>
    <row r="589" spans="1:14" x14ac:dyDescent="0.3">
      <c r="A589" t="s">
        <v>1381</v>
      </c>
      <c r="B589" s="1">
        <v>44664</v>
      </c>
      <c r="C589" t="s">
        <v>467</v>
      </c>
      <c r="D589" t="s">
        <v>40</v>
      </c>
      <c r="E589" t="s">
        <v>56</v>
      </c>
      <c r="F589" t="s">
        <v>73</v>
      </c>
      <c r="G589" t="s">
        <v>398</v>
      </c>
      <c r="H589" s="8">
        <v>742.58</v>
      </c>
      <c r="I589" s="8">
        <v>-172.92</v>
      </c>
      <c r="J589" s="8">
        <v>0.17</v>
      </c>
      <c r="K589" t="str">
        <f>IF(SalesData[[#This Row],[Profit]]&gt;0,"Profit","Loss")</f>
        <v>Loss</v>
      </c>
      <c r="L589" s="8">
        <f>SalesData[[#This Row],[Profit]]/SalesData[[#This Row],[Sales]]</f>
        <v>-0.23286379918661959</v>
      </c>
      <c r="M589" t="str">
        <f>TEXT(SalesData[[#This Row],[Order_Date]],"mmm")</f>
        <v>Apr</v>
      </c>
      <c r="N589">
        <f>YEAR(SalesData[[#This Row],[Order_Date]])</f>
        <v>2022</v>
      </c>
    </row>
    <row r="590" spans="1:14" x14ac:dyDescent="0.3">
      <c r="A590" t="s">
        <v>1382</v>
      </c>
      <c r="B590" s="1">
        <v>44715</v>
      </c>
      <c r="C590" t="s">
        <v>238</v>
      </c>
      <c r="D590" t="s">
        <v>12</v>
      </c>
      <c r="E590" t="s">
        <v>56</v>
      </c>
      <c r="F590" t="s">
        <v>73</v>
      </c>
      <c r="G590" t="s">
        <v>1038</v>
      </c>
      <c r="H590" s="8">
        <v>2217.87</v>
      </c>
      <c r="I590" s="8">
        <v>-493.46</v>
      </c>
      <c r="J590" s="8">
        <v>0.11</v>
      </c>
      <c r="K590" t="str">
        <f>IF(SalesData[[#This Row],[Profit]]&gt;0,"Profit","Loss")</f>
        <v>Loss</v>
      </c>
      <c r="L590" s="8">
        <f>SalesData[[#This Row],[Profit]]/SalesData[[#This Row],[Sales]]</f>
        <v>-0.22249275205489952</v>
      </c>
      <c r="M590" t="str">
        <f>TEXT(SalesData[[#This Row],[Order_Date]],"mmm")</f>
        <v>Jun</v>
      </c>
      <c r="N590">
        <f>YEAR(SalesData[[#This Row],[Order_Date]])</f>
        <v>2022</v>
      </c>
    </row>
    <row r="591" spans="1:14" x14ac:dyDescent="0.3">
      <c r="A591" t="s">
        <v>1383</v>
      </c>
      <c r="B591" s="1">
        <v>45108</v>
      </c>
      <c r="C591" t="s">
        <v>626</v>
      </c>
      <c r="D591" t="s">
        <v>40</v>
      </c>
      <c r="E591" t="s">
        <v>19</v>
      </c>
      <c r="F591" t="s">
        <v>29</v>
      </c>
      <c r="G591" t="s">
        <v>766</v>
      </c>
      <c r="H591" s="8">
        <v>758.91</v>
      </c>
      <c r="I591" s="8">
        <v>-69.52</v>
      </c>
      <c r="J591" s="8">
        <v>0.27</v>
      </c>
      <c r="K591" t="str">
        <f>IF(SalesData[[#This Row],[Profit]]&gt;0,"Profit","Loss")</f>
        <v>Loss</v>
      </c>
      <c r="L591" s="8">
        <f>SalesData[[#This Row],[Profit]]/SalesData[[#This Row],[Sales]]</f>
        <v>-9.1605065159241536E-2</v>
      </c>
      <c r="M591" t="str">
        <f>TEXT(SalesData[[#This Row],[Order_Date]],"mmm")</f>
        <v>Jul</v>
      </c>
      <c r="N591">
        <f>YEAR(SalesData[[#This Row],[Order_Date]])</f>
        <v>2023</v>
      </c>
    </row>
    <row r="592" spans="1:14" x14ac:dyDescent="0.3">
      <c r="A592" t="s">
        <v>1384</v>
      </c>
      <c r="B592" s="1">
        <v>44663</v>
      </c>
      <c r="C592" t="s">
        <v>1385</v>
      </c>
      <c r="D592" t="s">
        <v>18</v>
      </c>
      <c r="E592" t="s">
        <v>19</v>
      </c>
      <c r="F592" t="s">
        <v>29</v>
      </c>
      <c r="G592" t="s">
        <v>1386</v>
      </c>
      <c r="H592" s="8">
        <v>1329.77</v>
      </c>
      <c r="I592" s="8">
        <v>-573.63</v>
      </c>
      <c r="J592" s="8">
        <v>0.26</v>
      </c>
      <c r="K592" t="str">
        <f>IF(SalesData[[#This Row],[Profit]]&gt;0,"Profit","Loss")</f>
        <v>Loss</v>
      </c>
      <c r="L592" s="8">
        <f>SalesData[[#This Row],[Profit]]/SalesData[[#This Row],[Sales]]</f>
        <v>-0.43137535062454407</v>
      </c>
      <c r="M592" t="str">
        <f>TEXT(SalesData[[#This Row],[Order_Date]],"mmm")</f>
        <v>Apr</v>
      </c>
      <c r="N592">
        <f>YEAR(SalesData[[#This Row],[Order_Date]])</f>
        <v>2022</v>
      </c>
    </row>
    <row r="593" spans="1:14" x14ac:dyDescent="0.3">
      <c r="A593" t="s">
        <v>1387</v>
      </c>
      <c r="B593" s="1">
        <v>44904</v>
      </c>
      <c r="C593" t="s">
        <v>1291</v>
      </c>
      <c r="D593" t="s">
        <v>40</v>
      </c>
      <c r="E593" t="s">
        <v>56</v>
      </c>
      <c r="F593" t="s">
        <v>95</v>
      </c>
      <c r="G593" t="s">
        <v>611</v>
      </c>
      <c r="H593" s="8">
        <v>2435.04</v>
      </c>
      <c r="I593" s="8">
        <v>-292.42</v>
      </c>
      <c r="J593" s="8">
        <v>0.19</v>
      </c>
      <c r="K593" t="str">
        <f>IF(SalesData[[#This Row],[Profit]]&gt;0,"Profit","Loss")</f>
        <v>Loss</v>
      </c>
      <c r="L593" s="8">
        <f>SalesData[[#This Row],[Profit]]/SalesData[[#This Row],[Sales]]</f>
        <v>-0.12008837637164071</v>
      </c>
      <c r="M593" t="str">
        <f>TEXT(SalesData[[#This Row],[Order_Date]],"mmm")</f>
        <v>Dec</v>
      </c>
      <c r="N593">
        <f>YEAR(SalesData[[#This Row],[Order_Date]])</f>
        <v>2022</v>
      </c>
    </row>
    <row r="594" spans="1:14" x14ac:dyDescent="0.3">
      <c r="A594" t="s">
        <v>1388</v>
      </c>
      <c r="B594" s="1">
        <v>44686</v>
      </c>
      <c r="C594" t="s">
        <v>168</v>
      </c>
      <c r="D594" t="s">
        <v>18</v>
      </c>
      <c r="E594" t="s">
        <v>13</v>
      </c>
      <c r="F594" t="s">
        <v>24</v>
      </c>
      <c r="G594" t="s">
        <v>1389</v>
      </c>
      <c r="H594" s="8">
        <v>4666.04</v>
      </c>
      <c r="I594" s="8">
        <v>-1250.96</v>
      </c>
      <c r="J594" s="8">
        <v>0.08</v>
      </c>
      <c r="K594" t="str">
        <f>IF(SalesData[[#This Row],[Profit]]&gt;0,"Profit","Loss")</f>
        <v>Loss</v>
      </c>
      <c r="L594" s="8">
        <f>SalesData[[#This Row],[Profit]]/SalesData[[#This Row],[Sales]]</f>
        <v>-0.26809885898963576</v>
      </c>
      <c r="M594" t="str">
        <f>TEXT(SalesData[[#This Row],[Order_Date]],"mmm")</f>
        <v>May</v>
      </c>
      <c r="N594">
        <f>YEAR(SalesData[[#This Row],[Order_Date]])</f>
        <v>2022</v>
      </c>
    </row>
    <row r="595" spans="1:14" x14ac:dyDescent="0.3">
      <c r="A595" t="s">
        <v>1390</v>
      </c>
      <c r="B595" s="1">
        <v>44925</v>
      </c>
      <c r="C595" t="s">
        <v>1391</v>
      </c>
      <c r="D595" t="s">
        <v>28</v>
      </c>
      <c r="E595" t="s">
        <v>13</v>
      </c>
      <c r="F595" t="s">
        <v>24</v>
      </c>
      <c r="G595" t="s">
        <v>1342</v>
      </c>
      <c r="H595" s="8">
        <v>3280.74</v>
      </c>
      <c r="I595" s="8">
        <v>715.81</v>
      </c>
      <c r="J595" s="8">
        <v>0.05</v>
      </c>
      <c r="K595" t="str">
        <f>IF(SalesData[[#This Row],[Profit]]&gt;0,"Profit","Loss")</f>
        <v>Profit</v>
      </c>
      <c r="L595" s="8">
        <f>SalesData[[#This Row],[Profit]]/SalesData[[#This Row],[Sales]]</f>
        <v>0.21818553131305743</v>
      </c>
      <c r="M595" t="str">
        <f>TEXT(SalesData[[#This Row],[Order_Date]],"mmm")</f>
        <v>Dec</v>
      </c>
      <c r="N595">
        <f>YEAR(SalesData[[#This Row],[Order_Date]])</f>
        <v>2022</v>
      </c>
    </row>
    <row r="596" spans="1:14" x14ac:dyDescent="0.3">
      <c r="A596" t="s">
        <v>1392</v>
      </c>
      <c r="B596" s="1">
        <v>45208</v>
      </c>
      <c r="C596" t="s">
        <v>1393</v>
      </c>
      <c r="D596" t="s">
        <v>18</v>
      </c>
      <c r="E596" t="s">
        <v>13</v>
      </c>
      <c r="F596" t="s">
        <v>36</v>
      </c>
      <c r="G596" t="s">
        <v>1394</v>
      </c>
      <c r="H596" s="8">
        <v>4459.2</v>
      </c>
      <c r="I596" s="8">
        <v>-615.75</v>
      </c>
      <c r="J596" s="8">
        <v>0.11</v>
      </c>
      <c r="K596" t="str">
        <f>IF(SalesData[[#This Row],[Profit]]&gt;0,"Profit","Loss")</f>
        <v>Loss</v>
      </c>
      <c r="L596" s="8">
        <f>SalesData[[#This Row],[Profit]]/SalesData[[#This Row],[Sales]]</f>
        <v>-0.13808530678148548</v>
      </c>
      <c r="M596" t="str">
        <f>TEXT(SalesData[[#This Row],[Order_Date]],"mmm")</f>
        <v>Oct</v>
      </c>
      <c r="N596">
        <f>YEAR(SalesData[[#This Row],[Order_Date]])</f>
        <v>2023</v>
      </c>
    </row>
    <row r="597" spans="1:14" x14ac:dyDescent="0.3">
      <c r="A597" t="s">
        <v>1395</v>
      </c>
      <c r="B597" s="1">
        <v>44635</v>
      </c>
      <c r="C597" t="s">
        <v>1396</v>
      </c>
      <c r="D597" t="s">
        <v>18</v>
      </c>
      <c r="E597" t="s">
        <v>19</v>
      </c>
      <c r="F597" t="s">
        <v>29</v>
      </c>
      <c r="G597" t="s">
        <v>878</v>
      </c>
      <c r="H597" s="8">
        <v>3193.24</v>
      </c>
      <c r="I597" s="8">
        <v>444.95</v>
      </c>
      <c r="J597" s="8">
        <v>0.17</v>
      </c>
      <c r="K597" t="str">
        <f>IF(SalesData[[#This Row],[Profit]]&gt;0,"Profit","Loss")</f>
        <v>Profit</v>
      </c>
      <c r="L597" s="8">
        <f>SalesData[[#This Row],[Profit]]/SalesData[[#This Row],[Sales]]</f>
        <v>0.13934123335546342</v>
      </c>
      <c r="M597" t="str">
        <f>TEXT(SalesData[[#This Row],[Order_Date]],"mmm")</f>
        <v>Mar</v>
      </c>
      <c r="N597">
        <f>YEAR(SalesData[[#This Row],[Order_Date]])</f>
        <v>2022</v>
      </c>
    </row>
    <row r="598" spans="1:14" x14ac:dyDescent="0.3">
      <c r="A598" t="s">
        <v>1397</v>
      </c>
      <c r="B598" s="1">
        <v>45222</v>
      </c>
      <c r="C598" t="s">
        <v>1398</v>
      </c>
      <c r="D598" t="s">
        <v>40</v>
      </c>
      <c r="E598" t="s">
        <v>56</v>
      </c>
      <c r="F598" t="s">
        <v>95</v>
      </c>
      <c r="G598" t="s">
        <v>1067</v>
      </c>
      <c r="H598" s="8">
        <v>1652.7</v>
      </c>
      <c r="I598" s="8">
        <v>-214.05</v>
      </c>
      <c r="J598" s="8">
        <v>0.09</v>
      </c>
      <c r="K598" t="str">
        <f>IF(SalesData[[#This Row],[Profit]]&gt;0,"Profit","Loss")</f>
        <v>Loss</v>
      </c>
      <c r="L598" s="8">
        <f>SalesData[[#This Row],[Profit]]/SalesData[[#This Row],[Sales]]</f>
        <v>-0.12951533853693956</v>
      </c>
      <c r="M598" t="str">
        <f>TEXT(SalesData[[#This Row],[Order_Date]],"mmm")</f>
        <v>Oct</v>
      </c>
      <c r="N598">
        <f>YEAR(SalesData[[#This Row],[Order_Date]])</f>
        <v>2023</v>
      </c>
    </row>
    <row r="599" spans="1:14" x14ac:dyDescent="0.3">
      <c r="A599" t="s">
        <v>1399</v>
      </c>
      <c r="B599" s="1">
        <v>44733</v>
      </c>
      <c r="C599" t="s">
        <v>1244</v>
      </c>
      <c r="D599" t="s">
        <v>12</v>
      </c>
      <c r="E599" t="s">
        <v>19</v>
      </c>
      <c r="F599" t="s">
        <v>29</v>
      </c>
      <c r="G599" t="s">
        <v>1400</v>
      </c>
      <c r="H599" s="8">
        <v>3764.69</v>
      </c>
      <c r="I599" s="8">
        <v>-338.17</v>
      </c>
      <c r="J599" s="8">
        <v>0.16</v>
      </c>
      <c r="K599" t="str">
        <f>IF(SalesData[[#This Row],[Profit]]&gt;0,"Profit","Loss")</f>
        <v>Loss</v>
      </c>
      <c r="L599" s="8">
        <f>SalesData[[#This Row],[Profit]]/SalesData[[#This Row],[Sales]]</f>
        <v>-8.9826785206750095E-2</v>
      </c>
      <c r="M599" t="str">
        <f>TEXT(SalesData[[#This Row],[Order_Date]],"mmm")</f>
        <v>Jun</v>
      </c>
      <c r="N599">
        <f>YEAR(SalesData[[#This Row],[Order_Date]])</f>
        <v>2022</v>
      </c>
    </row>
    <row r="600" spans="1:14" x14ac:dyDescent="0.3">
      <c r="A600" t="s">
        <v>1401</v>
      </c>
      <c r="B600" s="1">
        <v>44643</v>
      </c>
      <c r="C600" t="s">
        <v>153</v>
      </c>
      <c r="D600" t="s">
        <v>18</v>
      </c>
      <c r="E600" t="s">
        <v>13</v>
      </c>
      <c r="F600" t="s">
        <v>14</v>
      </c>
      <c r="G600" t="s">
        <v>1402</v>
      </c>
      <c r="H600" s="8">
        <v>3343.91</v>
      </c>
      <c r="I600" s="8">
        <v>-199.24</v>
      </c>
      <c r="J600" s="8">
        <v>0.28000000000000003</v>
      </c>
      <c r="K600" t="str">
        <f>IF(SalesData[[#This Row],[Profit]]&gt;0,"Profit","Loss")</f>
        <v>Loss</v>
      </c>
      <c r="L600" s="8">
        <f>SalesData[[#This Row],[Profit]]/SalesData[[#This Row],[Sales]]</f>
        <v>-5.958294332084297E-2</v>
      </c>
      <c r="M600" t="str">
        <f>TEXT(SalesData[[#This Row],[Order_Date]],"mmm")</f>
        <v>Mar</v>
      </c>
      <c r="N600">
        <f>YEAR(SalesData[[#This Row],[Order_Date]])</f>
        <v>2022</v>
      </c>
    </row>
    <row r="601" spans="1:14" x14ac:dyDescent="0.3">
      <c r="A601" t="s">
        <v>1403</v>
      </c>
      <c r="B601" s="1">
        <v>44588</v>
      </c>
      <c r="C601" t="s">
        <v>144</v>
      </c>
      <c r="D601" t="s">
        <v>28</v>
      </c>
      <c r="E601" t="s">
        <v>56</v>
      </c>
      <c r="F601" t="s">
        <v>57</v>
      </c>
      <c r="G601" t="s">
        <v>809</v>
      </c>
      <c r="H601" s="8">
        <v>412.58</v>
      </c>
      <c r="I601" s="8">
        <v>-54.02</v>
      </c>
      <c r="J601" s="8">
        <v>0.26</v>
      </c>
      <c r="K601" t="str">
        <f>IF(SalesData[[#This Row],[Profit]]&gt;0,"Profit","Loss")</f>
        <v>Loss</v>
      </c>
      <c r="L601" s="8">
        <f>SalesData[[#This Row],[Profit]]/SalesData[[#This Row],[Sales]]</f>
        <v>-0.13093218284938679</v>
      </c>
      <c r="M601" t="str">
        <f>TEXT(SalesData[[#This Row],[Order_Date]],"mmm")</f>
        <v>Jan</v>
      </c>
      <c r="N601">
        <f>YEAR(SalesData[[#This Row],[Order_Date]])</f>
        <v>2022</v>
      </c>
    </row>
    <row r="602" spans="1:14" x14ac:dyDescent="0.3">
      <c r="A602" t="s">
        <v>1404</v>
      </c>
      <c r="B602" s="1">
        <v>44961</v>
      </c>
      <c r="C602" t="s">
        <v>1405</v>
      </c>
      <c r="D602" t="s">
        <v>18</v>
      </c>
      <c r="E602" t="s">
        <v>56</v>
      </c>
      <c r="F602" t="s">
        <v>57</v>
      </c>
      <c r="G602" t="s">
        <v>954</v>
      </c>
      <c r="H602" s="8">
        <v>1386.02</v>
      </c>
      <c r="I602" s="8">
        <v>198.06</v>
      </c>
      <c r="J602" s="8">
        <v>0.05</v>
      </c>
      <c r="K602" t="str">
        <f>IF(SalesData[[#This Row],[Profit]]&gt;0,"Profit","Loss")</f>
        <v>Profit</v>
      </c>
      <c r="L602" s="8">
        <f>SalesData[[#This Row],[Profit]]/SalesData[[#This Row],[Sales]]</f>
        <v>0.14289837087487917</v>
      </c>
      <c r="M602" t="str">
        <f>TEXT(SalesData[[#This Row],[Order_Date]],"mmm")</f>
        <v>Feb</v>
      </c>
      <c r="N602">
        <f>YEAR(SalesData[[#This Row],[Order_Date]])</f>
        <v>2023</v>
      </c>
    </row>
    <row r="603" spans="1:14" x14ac:dyDescent="0.3">
      <c r="A603" t="s">
        <v>1406</v>
      </c>
      <c r="B603" s="1">
        <v>44736</v>
      </c>
      <c r="C603" t="s">
        <v>259</v>
      </c>
      <c r="D603" t="s">
        <v>12</v>
      </c>
      <c r="E603" t="s">
        <v>13</v>
      </c>
      <c r="F603" t="s">
        <v>36</v>
      </c>
      <c r="G603" t="s">
        <v>320</v>
      </c>
      <c r="H603" s="8">
        <v>2271.4899999999998</v>
      </c>
      <c r="I603" s="8">
        <v>172.74</v>
      </c>
      <c r="J603" s="8">
        <v>0.04</v>
      </c>
      <c r="K603" t="str">
        <f>IF(SalesData[[#This Row],[Profit]]&gt;0,"Profit","Loss")</f>
        <v>Profit</v>
      </c>
      <c r="L603" s="8">
        <f>SalesData[[#This Row],[Profit]]/SalesData[[#This Row],[Sales]]</f>
        <v>7.6046999986792818E-2</v>
      </c>
      <c r="M603" t="str">
        <f>TEXT(SalesData[[#This Row],[Order_Date]],"mmm")</f>
        <v>Jun</v>
      </c>
      <c r="N603">
        <f>YEAR(SalesData[[#This Row],[Order_Date]])</f>
        <v>2022</v>
      </c>
    </row>
    <row r="604" spans="1:14" x14ac:dyDescent="0.3">
      <c r="A604" t="s">
        <v>1407</v>
      </c>
      <c r="B604" s="1">
        <v>44840</v>
      </c>
      <c r="C604" t="s">
        <v>183</v>
      </c>
      <c r="D604" t="s">
        <v>28</v>
      </c>
      <c r="E604" t="s">
        <v>19</v>
      </c>
      <c r="F604" t="s">
        <v>29</v>
      </c>
      <c r="G604" t="s">
        <v>900</v>
      </c>
      <c r="H604" s="8">
        <v>4334.78</v>
      </c>
      <c r="I604" s="8">
        <v>791.27</v>
      </c>
      <c r="J604" s="8">
        <v>0.14000000000000001</v>
      </c>
      <c r="K604" t="str">
        <f>IF(SalesData[[#This Row],[Profit]]&gt;0,"Profit","Loss")</f>
        <v>Profit</v>
      </c>
      <c r="L604" s="8">
        <f>SalesData[[#This Row],[Profit]]/SalesData[[#This Row],[Sales]]</f>
        <v>0.18253982901093022</v>
      </c>
      <c r="M604" t="str">
        <f>TEXT(SalesData[[#This Row],[Order_Date]],"mmm")</f>
        <v>Oct</v>
      </c>
      <c r="N604">
        <f>YEAR(SalesData[[#This Row],[Order_Date]])</f>
        <v>2022</v>
      </c>
    </row>
    <row r="605" spans="1:14" x14ac:dyDescent="0.3">
      <c r="A605" t="s">
        <v>1408</v>
      </c>
      <c r="B605" s="1">
        <v>45213</v>
      </c>
      <c r="C605" t="s">
        <v>227</v>
      </c>
      <c r="D605" t="s">
        <v>28</v>
      </c>
      <c r="E605" t="s">
        <v>13</v>
      </c>
      <c r="F605" t="s">
        <v>24</v>
      </c>
      <c r="G605" t="s">
        <v>809</v>
      </c>
      <c r="H605" s="8">
        <v>967.48</v>
      </c>
      <c r="I605" s="8">
        <v>-1.33</v>
      </c>
      <c r="J605" s="8">
        <v>0.18</v>
      </c>
      <c r="K605" t="str">
        <f>IF(SalesData[[#This Row],[Profit]]&gt;0,"Profit","Loss")</f>
        <v>Loss</v>
      </c>
      <c r="L605" s="8">
        <f>SalesData[[#This Row],[Profit]]/SalesData[[#This Row],[Sales]]</f>
        <v>-1.3747054202670856E-3</v>
      </c>
      <c r="M605" t="str">
        <f>TEXT(SalesData[[#This Row],[Order_Date]],"mmm")</f>
        <v>Oct</v>
      </c>
      <c r="N605">
        <f>YEAR(SalesData[[#This Row],[Order_Date]])</f>
        <v>2023</v>
      </c>
    </row>
    <row r="606" spans="1:14" x14ac:dyDescent="0.3">
      <c r="A606" t="s">
        <v>1409</v>
      </c>
      <c r="B606" s="1">
        <v>44794</v>
      </c>
      <c r="C606" t="s">
        <v>1410</v>
      </c>
      <c r="D606" t="s">
        <v>28</v>
      </c>
      <c r="E606" t="s">
        <v>13</v>
      </c>
      <c r="F606" t="s">
        <v>24</v>
      </c>
      <c r="G606" t="s">
        <v>1411</v>
      </c>
      <c r="H606" s="8">
        <v>2715.54</v>
      </c>
      <c r="I606" s="8">
        <v>-491.54</v>
      </c>
      <c r="J606" s="8">
        <v>0.27</v>
      </c>
      <c r="K606" t="str">
        <f>IF(SalesData[[#This Row],[Profit]]&gt;0,"Profit","Loss")</f>
        <v>Loss</v>
      </c>
      <c r="L606" s="8">
        <f>SalesData[[#This Row],[Profit]]/SalesData[[#This Row],[Sales]]</f>
        <v>-0.18101003851904227</v>
      </c>
      <c r="M606" t="str">
        <f>TEXT(SalesData[[#This Row],[Order_Date]],"mmm")</f>
        <v>Aug</v>
      </c>
      <c r="N606">
        <f>YEAR(SalesData[[#This Row],[Order_Date]])</f>
        <v>2022</v>
      </c>
    </row>
    <row r="607" spans="1:14" x14ac:dyDescent="0.3">
      <c r="A607" t="s">
        <v>1412</v>
      </c>
      <c r="B607" s="1">
        <v>44701</v>
      </c>
      <c r="C607" t="s">
        <v>1118</v>
      </c>
      <c r="D607" t="s">
        <v>40</v>
      </c>
      <c r="E607" t="s">
        <v>19</v>
      </c>
      <c r="F607" t="s">
        <v>29</v>
      </c>
      <c r="G607" t="s">
        <v>233</v>
      </c>
      <c r="H607" s="8">
        <v>1373.05</v>
      </c>
      <c r="I607" s="8">
        <v>-398.11</v>
      </c>
      <c r="J607" s="8">
        <v>0.09</v>
      </c>
      <c r="K607" t="str">
        <f>IF(SalesData[[#This Row],[Profit]]&gt;0,"Profit","Loss")</f>
        <v>Loss</v>
      </c>
      <c r="L607" s="8">
        <f>SalesData[[#This Row],[Profit]]/SalesData[[#This Row],[Sales]]</f>
        <v>-0.28994574123302141</v>
      </c>
      <c r="M607" t="str">
        <f>TEXT(SalesData[[#This Row],[Order_Date]],"mmm")</f>
        <v>May</v>
      </c>
      <c r="N607">
        <f>YEAR(SalesData[[#This Row],[Order_Date]])</f>
        <v>2022</v>
      </c>
    </row>
    <row r="608" spans="1:14" x14ac:dyDescent="0.3">
      <c r="A608" t="s">
        <v>1413</v>
      </c>
      <c r="B608" s="1">
        <v>44868</v>
      </c>
      <c r="C608" t="s">
        <v>899</v>
      </c>
      <c r="D608" t="s">
        <v>28</v>
      </c>
      <c r="E608" t="s">
        <v>13</v>
      </c>
      <c r="F608" t="s">
        <v>14</v>
      </c>
      <c r="G608" t="s">
        <v>428</v>
      </c>
      <c r="H608" s="8">
        <v>3470.07</v>
      </c>
      <c r="I608" s="8">
        <v>358.4</v>
      </c>
      <c r="J608" s="8">
        <v>0.15</v>
      </c>
      <c r="K608" t="str">
        <f>IF(SalesData[[#This Row],[Profit]]&gt;0,"Profit","Loss")</f>
        <v>Profit</v>
      </c>
      <c r="L608" s="8">
        <f>SalesData[[#This Row],[Profit]]/SalesData[[#This Row],[Sales]]</f>
        <v>0.10328321907050865</v>
      </c>
      <c r="M608" t="str">
        <f>TEXT(SalesData[[#This Row],[Order_Date]],"mmm")</f>
        <v>Nov</v>
      </c>
      <c r="N608">
        <f>YEAR(SalesData[[#This Row],[Order_Date]])</f>
        <v>2022</v>
      </c>
    </row>
    <row r="609" spans="1:14" x14ac:dyDescent="0.3">
      <c r="A609" t="s">
        <v>1414</v>
      </c>
      <c r="B609" s="1">
        <v>44983</v>
      </c>
      <c r="C609" t="s">
        <v>17</v>
      </c>
      <c r="D609" t="s">
        <v>28</v>
      </c>
      <c r="E609" t="s">
        <v>19</v>
      </c>
      <c r="F609" t="s">
        <v>141</v>
      </c>
      <c r="G609" t="s">
        <v>938</v>
      </c>
      <c r="H609" s="8">
        <v>1232.96</v>
      </c>
      <c r="I609" s="8">
        <v>29.82</v>
      </c>
      <c r="J609" s="8">
        <v>0</v>
      </c>
      <c r="K609" t="str">
        <f>IF(SalesData[[#This Row],[Profit]]&gt;0,"Profit","Loss")</f>
        <v>Profit</v>
      </c>
      <c r="L609" s="8">
        <f>SalesData[[#This Row],[Profit]]/SalesData[[#This Row],[Sales]]</f>
        <v>2.4185699454970153E-2</v>
      </c>
      <c r="M609" t="str">
        <f>TEXT(SalesData[[#This Row],[Order_Date]],"mmm")</f>
        <v>Feb</v>
      </c>
      <c r="N609">
        <f>YEAR(SalesData[[#This Row],[Order_Date]])</f>
        <v>2023</v>
      </c>
    </row>
    <row r="610" spans="1:14" x14ac:dyDescent="0.3">
      <c r="A610" t="s">
        <v>1415</v>
      </c>
      <c r="B610" s="1">
        <v>44787</v>
      </c>
      <c r="C610" t="s">
        <v>1416</v>
      </c>
      <c r="D610" t="s">
        <v>12</v>
      </c>
      <c r="E610" t="s">
        <v>56</v>
      </c>
      <c r="F610" t="s">
        <v>57</v>
      </c>
      <c r="G610" t="s">
        <v>1091</v>
      </c>
      <c r="H610" s="8">
        <v>3603.2</v>
      </c>
      <c r="I610" s="8">
        <v>385.74</v>
      </c>
      <c r="J610" s="8">
        <v>0.19</v>
      </c>
      <c r="K610" t="str">
        <f>IF(SalesData[[#This Row],[Profit]]&gt;0,"Profit","Loss")</f>
        <v>Profit</v>
      </c>
      <c r="L610" s="8">
        <f>SalesData[[#This Row],[Profit]]/SalesData[[#This Row],[Sales]]</f>
        <v>0.10705484014209592</v>
      </c>
      <c r="M610" t="str">
        <f>TEXT(SalesData[[#This Row],[Order_Date]],"mmm")</f>
        <v>Aug</v>
      </c>
      <c r="N610">
        <f>YEAR(SalesData[[#This Row],[Order_Date]])</f>
        <v>2022</v>
      </c>
    </row>
    <row r="611" spans="1:14" x14ac:dyDescent="0.3">
      <c r="A611" t="s">
        <v>1417</v>
      </c>
      <c r="B611" s="1">
        <v>45272</v>
      </c>
      <c r="C611" t="s">
        <v>1418</v>
      </c>
      <c r="D611" t="s">
        <v>40</v>
      </c>
      <c r="E611" t="s">
        <v>13</v>
      </c>
      <c r="F611" t="s">
        <v>14</v>
      </c>
      <c r="G611" t="s">
        <v>190</v>
      </c>
      <c r="H611" s="8">
        <v>2631.39</v>
      </c>
      <c r="I611" s="8">
        <v>-189.64</v>
      </c>
      <c r="J611" s="8">
        <v>0.24</v>
      </c>
      <c r="K611" t="str">
        <f>IF(SalesData[[#This Row],[Profit]]&gt;0,"Profit","Loss")</f>
        <v>Loss</v>
      </c>
      <c r="L611" s="8">
        <f>SalesData[[#This Row],[Profit]]/SalesData[[#This Row],[Sales]]</f>
        <v>-7.2068374509289768E-2</v>
      </c>
      <c r="M611" t="str">
        <f>TEXT(SalesData[[#This Row],[Order_Date]],"mmm")</f>
        <v>Dec</v>
      </c>
      <c r="N611">
        <f>YEAR(SalesData[[#This Row],[Order_Date]])</f>
        <v>2023</v>
      </c>
    </row>
    <row r="612" spans="1:14" x14ac:dyDescent="0.3">
      <c r="A612" t="s">
        <v>1419</v>
      </c>
      <c r="B612" s="1">
        <v>44632</v>
      </c>
      <c r="C612" t="s">
        <v>1420</v>
      </c>
      <c r="D612" t="s">
        <v>18</v>
      </c>
      <c r="E612" t="s">
        <v>13</v>
      </c>
      <c r="F612" t="s">
        <v>24</v>
      </c>
      <c r="G612" t="s">
        <v>479</v>
      </c>
      <c r="H612" s="8">
        <v>2706.53</v>
      </c>
      <c r="I612" s="8">
        <v>-452.53</v>
      </c>
      <c r="J612" s="8">
        <v>0.08</v>
      </c>
      <c r="K612" t="str">
        <f>IF(SalesData[[#This Row],[Profit]]&gt;0,"Profit","Loss")</f>
        <v>Loss</v>
      </c>
      <c r="L612" s="8">
        <f>SalesData[[#This Row],[Profit]]/SalesData[[#This Row],[Sales]]</f>
        <v>-0.16719932903016035</v>
      </c>
      <c r="M612" t="str">
        <f>TEXT(SalesData[[#This Row],[Order_Date]],"mmm")</f>
        <v>Mar</v>
      </c>
      <c r="N612">
        <f>YEAR(SalesData[[#This Row],[Order_Date]])</f>
        <v>2022</v>
      </c>
    </row>
    <row r="613" spans="1:14" x14ac:dyDescent="0.3">
      <c r="A613" t="s">
        <v>1421</v>
      </c>
      <c r="B613" s="1">
        <v>45065</v>
      </c>
      <c r="C613" t="s">
        <v>1422</v>
      </c>
      <c r="D613" t="s">
        <v>40</v>
      </c>
      <c r="E613" t="s">
        <v>56</v>
      </c>
      <c r="F613" t="s">
        <v>73</v>
      </c>
      <c r="G613" t="s">
        <v>1162</v>
      </c>
      <c r="H613" s="8">
        <v>2331.1799999999998</v>
      </c>
      <c r="I613" s="8">
        <v>187.16</v>
      </c>
      <c r="J613" s="8">
        <v>0.14000000000000001</v>
      </c>
      <c r="K613" t="str">
        <f>IF(SalesData[[#This Row],[Profit]]&gt;0,"Profit","Loss")</f>
        <v>Profit</v>
      </c>
      <c r="L613" s="8">
        <f>SalesData[[#This Row],[Profit]]/SalesData[[#This Row],[Sales]]</f>
        <v>8.0285520637617E-2</v>
      </c>
      <c r="M613" t="str">
        <f>TEXT(SalesData[[#This Row],[Order_Date]],"mmm")</f>
        <v>May</v>
      </c>
      <c r="N613">
        <f>YEAR(SalesData[[#This Row],[Order_Date]])</f>
        <v>2023</v>
      </c>
    </row>
    <row r="614" spans="1:14" x14ac:dyDescent="0.3">
      <c r="A614" t="s">
        <v>1423</v>
      </c>
      <c r="B614" s="1">
        <v>44850</v>
      </c>
      <c r="C614" t="s">
        <v>1424</v>
      </c>
      <c r="D614" t="s">
        <v>18</v>
      </c>
      <c r="E614" t="s">
        <v>56</v>
      </c>
      <c r="F614" t="s">
        <v>57</v>
      </c>
      <c r="G614" t="s">
        <v>21</v>
      </c>
      <c r="H614" s="8">
        <v>4851.6099999999997</v>
      </c>
      <c r="I614" s="8">
        <v>1811.59</v>
      </c>
      <c r="J614" s="8">
        <v>0.01</v>
      </c>
      <c r="K614" t="str">
        <f>IF(SalesData[[#This Row],[Profit]]&gt;0,"Profit","Loss")</f>
        <v>Profit</v>
      </c>
      <c r="L614" s="8">
        <f>SalesData[[#This Row],[Profit]]/SalesData[[#This Row],[Sales]]</f>
        <v>0.37339975801847225</v>
      </c>
      <c r="M614" t="str">
        <f>TEXT(SalesData[[#This Row],[Order_Date]],"mmm")</f>
        <v>Oct</v>
      </c>
      <c r="N614">
        <f>YEAR(SalesData[[#This Row],[Order_Date]])</f>
        <v>2022</v>
      </c>
    </row>
    <row r="615" spans="1:14" x14ac:dyDescent="0.3">
      <c r="A615" t="s">
        <v>1425</v>
      </c>
      <c r="B615" s="1">
        <v>44784</v>
      </c>
      <c r="C615" t="s">
        <v>1066</v>
      </c>
      <c r="D615" t="s">
        <v>28</v>
      </c>
      <c r="E615" t="s">
        <v>19</v>
      </c>
      <c r="F615" t="s">
        <v>141</v>
      </c>
      <c r="G615" t="s">
        <v>331</v>
      </c>
      <c r="H615" s="8">
        <v>140.19999999999999</v>
      </c>
      <c r="I615" s="8">
        <v>-31.01</v>
      </c>
      <c r="J615" s="8">
        <v>0.03</v>
      </c>
      <c r="K615" t="str">
        <f>IF(SalesData[[#This Row],[Profit]]&gt;0,"Profit","Loss")</f>
        <v>Loss</v>
      </c>
      <c r="L615" s="8">
        <f>SalesData[[#This Row],[Profit]]/SalesData[[#This Row],[Sales]]</f>
        <v>-0.22118402282453642</v>
      </c>
      <c r="M615" t="str">
        <f>TEXT(SalesData[[#This Row],[Order_Date]],"mmm")</f>
        <v>Aug</v>
      </c>
      <c r="N615">
        <f>YEAR(SalesData[[#This Row],[Order_Date]])</f>
        <v>2022</v>
      </c>
    </row>
    <row r="616" spans="1:14" x14ac:dyDescent="0.3">
      <c r="A616" t="s">
        <v>1426</v>
      </c>
      <c r="B616" s="1">
        <v>44711</v>
      </c>
      <c r="C616" t="s">
        <v>1427</v>
      </c>
      <c r="D616" t="s">
        <v>40</v>
      </c>
      <c r="E616" t="s">
        <v>19</v>
      </c>
      <c r="F616" t="s">
        <v>29</v>
      </c>
      <c r="G616" t="s">
        <v>468</v>
      </c>
      <c r="H616" s="8">
        <v>2372.0500000000002</v>
      </c>
      <c r="I616" s="8">
        <v>-573.67999999999995</v>
      </c>
      <c r="J616" s="8">
        <v>0.24</v>
      </c>
      <c r="K616" t="str">
        <f>IF(SalesData[[#This Row],[Profit]]&gt;0,"Profit","Loss")</f>
        <v>Loss</v>
      </c>
      <c r="L616" s="8">
        <f>SalesData[[#This Row],[Profit]]/SalesData[[#This Row],[Sales]]</f>
        <v>-0.2418498766889399</v>
      </c>
      <c r="M616" t="str">
        <f>TEXT(SalesData[[#This Row],[Order_Date]],"mmm")</f>
        <v>May</v>
      </c>
      <c r="N616">
        <f>YEAR(SalesData[[#This Row],[Order_Date]])</f>
        <v>2022</v>
      </c>
    </row>
    <row r="617" spans="1:14" x14ac:dyDescent="0.3">
      <c r="A617" t="s">
        <v>1428</v>
      </c>
      <c r="B617" s="1">
        <v>44818</v>
      </c>
      <c r="C617" t="s">
        <v>1429</v>
      </c>
      <c r="D617" t="s">
        <v>12</v>
      </c>
      <c r="E617" t="s">
        <v>19</v>
      </c>
      <c r="F617" t="s">
        <v>20</v>
      </c>
      <c r="G617" t="s">
        <v>640</v>
      </c>
      <c r="H617" s="8">
        <v>2761.64</v>
      </c>
      <c r="I617" s="8">
        <v>793.75</v>
      </c>
      <c r="J617" s="8">
        <v>0.05</v>
      </c>
      <c r="K617" t="str">
        <f>IF(SalesData[[#This Row],[Profit]]&gt;0,"Profit","Loss")</f>
        <v>Profit</v>
      </c>
      <c r="L617" s="8">
        <f>SalesData[[#This Row],[Profit]]/SalesData[[#This Row],[Sales]]</f>
        <v>0.28741979403542822</v>
      </c>
      <c r="M617" t="str">
        <f>TEXT(SalesData[[#This Row],[Order_Date]],"mmm")</f>
        <v>Sep</v>
      </c>
      <c r="N617">
        <f>YEAR(SalesData[[#This Row],[Order_Date]])</f>
        <v>2022</v>
      </c>
    </row>
    <row r="618" spans="1:14" x14ac:dyDescent="0.3">
      <c r="A618" t="s">
        <v>1430</v>
      </c>
      <c r="B618" s="1">
        <v>44596</v>
      </c>
      <c r="C618" t="s">
        <v>1431</v>
      </c>
      <c r="D618" t="s">
        <v>28</v>
      </c>
      <c r="E618" t="s">
        <v>13</v>
      </c>
      <c r="F618" t="s">
        <v>14</v>
      </c>
      <c r="G618" t="s">
        <v>853</v>
      </c>
      <c r="H618" s="8">
        <v>1985.51</v>
      </c>
      <c r="I618" s="8">
        <v>-678.45</v>
      </c>
      <c r="J618" s="8">
        <v>0.28999999999999998</v>
      </c>
      <c r="K618" t="str">
        <f>IF(SalesData[[#This Row],[Profit]]&gt;0,"Profit","Loss")</f>
        <v>Loss</v>
      </c>
      <c r="L618" s="8">
        <f>SalesData[[#This Row],[Profit]]/SalesData[[#This Row],[Sales]]</f>
        <v>-0.34170062099913878</v>
      </c>
      <c r="M618" t="str">
        <f>TEXT(SalesData[[#This Row],[Order_Date]],"mmm")</f>
        <v>Feb</v>
      </c>
      <c r="N618">
        <f>YEAR(SalesData[[#This Row],[Order_Date]])</f>
        <v>2022</v>
      </c>
    </row>
    <row r="619" spans="1:14" x14ac:dyDescent="0.3">
      <c r="A619" t="s">
        <v>1432</v>
      </c>
      <c r="B619" s="1">
        <v>44881</v>
      </c>
      <c r="C619" t="s">
        <v>1433</v>
      </c>
      <c r="D619" t="s">
        <v>18</v>
      </c>
      <c r="E619" t="s">
        <v>56</v>
      </c>
      <c r="F619" t="s">
        <v>73</v>
      </c>
      <c r="G619" t="s">
        <v>1434</v>
      </c>
      <c r="H619" s="8">
        <v>3363.44</v>
      </c>
      <c r="I619" s="8">
        <v>-89.22</v>
      </c>
      <c r="J619" s="8">
        <v>0.06</v>
      </c>
      <c r="K619" t="str">
        <f>IF(SalesData[[#This Row],[Profit]]&gt;0,"Profit","Loss")</f>
        <v>Loss</v>
      </c>
      <c r="L619" s="8">
        <f>SalesData[[#This Row],[Profit]]/SalesData[[#This Row],[Sales]]</f>
        <v>-2.6526413433865328E-2</v>
      </c>
      <c r="M619" t="str">
        <f>TEXT(SalesData[[#This Row],[Order_Date]],"mmm")</f>
        <v>Nov</v>
      </c>
      <c r="N619">
        <f>YEAR(SalesData[[#This Row],[Order_Date]])</f>
        <v>2022</v>
      </c>
    </row>
    <row r="620" spans="1:14" x14ac:dyDescent="0.3">
      <c r="A620" t="s">
        <v>1435</v>
      </c>
      <c r="B620" s="1">
        <v>45054</v>
      </c>
      <c r="C620" t="s">
        <v>1436</v>
      </c>
      <c r="D620" t="s">
        <v>40</v>
      </c>
      <c r="E620" t="s">
        <v>13</v>
      </c>
      <c r="F620" t="s">
        <v>14</v>
      </c>
      <c r="G620" t="s">
        <v>1437</v>
      </c>
      <c r="H620" s="8">
        <v>3749.15</v>
      </c>
      <c r="I620" s="8">
        <v>-1074.94</v>
      </c>
      <c r="J620" s="8">
        <v>0.16</v>
      </c>
      <c r="K620" t="str">
        <f>IF(SalesData[[#This Row],[Profit]]&gt;0,"Profit","Loss")</f>
        <v>Loss</v>
      </c>
      <c r="L620" s="8">
        <f>SalesData[[#This Row],[Profit]]/SalesData[[#This Row],[Sales]]</f>
        <v>-0.28671565554859102</v>
      </c>
      <c r="M620" t="str">
        <f>TEXT(SalesData[[#This Row],[Order_Date]],"mmm")</f>
        <v>May</v>
      </c>
      <c r="N620">
        <f>YEAR(SalesData[[#This Row],[Order_Date]])</f>
        <v>2023</v>
      </c>
    </row>
    <row r="621" spans="1:14" x14ac:dyDescent="0.3">
      <c r="A621" t="s">
        <v>1438</v>
      </c>
      <c r="B621" s="1">
        <v>45210</v>
      </c>
      <c r="C621" t="s">
        <v>1439</v>
      </c>
      <c r="D621" t="s">
        <v>40</v>
      </c>
      <c r="E621" t="s">
        <v>19</v>
      </c>
      <c r="F621" t="s">
        <v>20</v>
      </c>
      <c r="G621" t="s">
        <v>354</v>
      </c>
      <c r="H621" s="8">
        <v>4331.92</v>
      </c>
      <c r="I621" s="8">
        <v>-876.1</v>
      </c>
      <c r="J621" s="8">
        <v>7.0000000000000007E-2</v>
      </c>
      <c r="K621" t="str">
        <f>IF(SalesData[[#This Row],[Profit]]&gt;0,"Profit","Loss")</f>
        <v>Loss</v>
      </c>
      <c r="L621" s="8">
        <f>SalesData[[#This Row],[Profit]]/SalesData[[#This Row],[Sales]]</f>
        <v>-0.20224288537184434</v>
      </c>
      <c r="M621" t="str">
        <f>TEXT(SalesData[[#This Row],[Order_Date]],"mmm")</f>
        <v>Oct</v>
      </c>
      <c r="N621">
        <f>YEAR(SalesData[[#This Row],[Order_Date]])</f>
        <v>2023</v>
      </c>
    </row>
    <row r="622" spans="1:14" x14ac:dyDescent="0.3">
      <c r="A622" t="s">
        <v>1440</v>
      </c>
      <c r="B622" s="1">
        <v>44605</v>
      </c>
      <c r="C622" t="s">
        <v>1441</v>
      </c>
      <c r="D622" t="s">
        <v>28</v>
      </c>
      <c r="E622" t="s">
        <v>56</v>
      </c>
      <c r="F622" t="s">
        <v>95</v>
      </c>
      <c r="G622" t="s">
        <v>1442</v>
      </c>
      <c r="H622" s="8">
        <v>2965.01</v>
      </c>
      <c r="I622" s="8">
        <v>-516.35</v>
      </c>
      <c r="J622" s="8">
        <v>0.12</v>
      </c>
      <c r="K622" t="str">
        <f>IF(SalesData[[#This Row],[Profit]]&gt;0,"Profit","Loss")</f>
        <v>Loss</v>
      </c>
      <c r="L622" s="8">
        <f>SalesData[[#This Row],[Profit]]/SalesData[[#This Row],[Sales]]</f>
        <v>-0.17414781063133009</v>
      </c>
      <c r="M622" t="str">
        <f>TEXT(SalesData[[#This Row],[Order_Date]],"mmm")</f>
        <v>Feb</v>
      </c>
      <c r="N622">
        <f>YEAR(SalesData[[#This Row],[Order_Date]])</f>
        <v>2022</v>
      </c>
    </row>
    <row r="623" spans="1:14" x14ac:dyDescent="0.3">
      <c r="A623" t="s">
        <v>1443</v>
      </c>
      <c r="B623" s="1">
        <v>44655</v>
      </c>
      <c r="C623" t="s">
        <v>1444</v>
      </c>
      <c r="D623" t="s">
        <v>40</v>
      </c>
      <c r="E623" t="s">
        <v>13</v>
      </c>
      <c r="F623" t="s">
        <v>14</v>
      </c>
      <c r="G623" t="s">
        <v>882</v>
      </c>
      <c r="H623" s="8">
        <v>1919.85</v>
      </c>
      <c r="I623" s="8">
        <v>-259.91000000000003</v>
      </c>
      <c r="J623" s="8">
        <v>0.03</v>
      </c>
      <c r="K623" t="str">
        <f>IF(SalesData[[#This Row],[Profit]]&gt;0,"Profit","Loss")</f>
        <v>Loss</v>
      </c>
      <c r="L623" s="8">
        <f>SalesData[[#This Row],[Profit]]/SalesData[[#This Row],[Sales]]</f>
        <v>-0.13538036825793684</v>
      </c>
      <c r="M623" t="str">
        <f>TEXT(SalesData[[#This Row],[Order_Date]],"mmm")</f>
        <v>Apr</v>
      </c>
      <c r="N623">
        <f>YEAR(SalesData[[#This Row],[Order_Date]])</f>
        <v>2022</v>
      </c>
    </row>
    <row r="624" spans="1:14" x14ac:dyDescent="0.3">
      <c r="A624" t="s">
        <v>1445</v>
      </c>
      <c r="B624" s="1">
        <v>44671</v>
      </c>
      <c r="C624" t="s">
        <v>1446</v>
      </c>
      <c r="D624" t="s">
        <v>28</v>
      </c>
      <c r="E624" t="s">
        <v>13</v>
      </c>
      <c r="F624" t="s">
        <v>14</v>
      </c>
      <c r="G624" t="s">
        <v>348</v>
      </c>
      <c r="H624" s="8">
        <v>392.9</v>
      </c>
      <c r="I624" s="8">
        <v>12.1</v>
      </c>
      <c r="J624" s="8">
        <v>0.19</v>
      </c>
      <c r="K624" t="str">
        <f>IF(SalesData[[#This Row],[Profit]]&gt;0,"Profit","Loss")</f>
        <v>Profit</v>
      </c>
      <c r="L624" s="8">
        <f>SalesData[[#This Row],[Profit]]/SalesData[[#This Row],[Sales]]</f>
        <v>3.0796640366505472E-2</v>
      </c>
      <c r="M624" t="str">
        <f>TEXT(SalesData[[#This Row],[Order_Date]],"mmm")</f>
        <v>Apr</v>
      </c>
      <c r="N624">
        <f>YEAR(SalesData[[#This Row],[Order_Date]])</f>
        <v>2022</v>
      </c>
    </row>
    <row r="625" spans="1:14" x14ac:dyDescent="0.3">
      <c r="A625" t="s">
        <v>1447</v>
      </c>
      <c r="B625" s="1">
        <v>45011</v>
      </c>
      <c r="C625" t="s">
        <v>1448</v>
      </c>
      <c r="D625" t="s">
        <v>18</v>
      </c>
      <c r="E625" t="s">
        <v>19</v>
      </c>
      <c r="F625" t="s">
        <v>141</v>
      </c>
      <c r="G625" t="s">
        <v>1449</v>
      </c>
      <c r="H625" s="8">
        <v>3963.95</v>
      </c>
      <c r="I625" s="8">
        <v>211.34</v>
      </c>
      <c r="J625" s="8">
        <v>0.23</v>
      </c>
      <c r="K625" t="str">
        <f>IF(SalesData[[#This Row],[Profit]]&gt;0,"Profit","Loss")</f>
        <v>Profit</v>
      </c>
      <c r="L625" s="8">
        <f>SalesData[[#This Row],[Profit]]/SalesData[[#This Row],[Sales]]</f>
        <v>5.331550599780522E-2</v>
      </c>
      <c r="M625" t="str">
        <f>TEXT(SalesData[[#This Row],[Order_Date]],"mmm")</f>
        <v>Mar</v>
      </c>
      <c r="N625">
        <f>YEAR(SalesData[[#This Row],[Order_Date]])</f>
        <v>2023</v>
      </c>
    </row>
    <row r="626" spans="1:14" x14ac:dyDescent="0.3">
      <c r="A626" t="s">
        <v>1450</v>
      </c>
      <c r="B626" s="1">
        <v>45058</v>
      </c>
      <c r="C626" t="s">
        <v>1451</v>
      </c>
      <c r="D626" t="s">
        <v>28</v>
      </c>
      <c r="E626" t="s">
        <v>13</v>
      </c>
      <c r="F626" t="s">
        <v>36</v>
      </c>
      <c r="G626" t="s">
        <v>1358</v>
      </c>
      <c r="H626" s="8">
        <v>1855.02</v>
      </c>
      <c r="I626" s="8">
        <v>555.02</v>
      </c>
      <c r="J626" s="8">
        <v>0.04</v>
      </c>
      <c r="K626" t="str">
        <f>IF(SalesData[[#This Row],[Profit]]&gt;0,"Profit","Loss")</f>
        <v>Profit</v>
      </c>
      <c r="L626" s="8">
        <f>SalesData[[#This Row],[Profit]]/SalesData[[#This Row],[Sales]]</f>
        <v>0.29919893046975232</v>
      </c>
      <c r="M626" t="str">
        <f>TEXT(SalesData[[#This Row],[Order_Date]],"mmm")</f>
        <v>May</v>
      </c>
      <c r="N626">
        <f>YEAR(SalesData[[#This Row],[Order_Date]])</f>
        <v>2023</v>
      </c>
    </row>
    <row r="627" spans="1:14" x14ac:dyDescent="0.3">
      <c r="A627" t="s">
        <v>1452</v>
      </c>
      <c r="B627" s="1">
        <v>44918</v>
      </c>
      <c r="C627" t="s">
        <v>1453</v>
      </c>
      <c r="D627" t="s">
        <v>28</v>
      </c>
      <c r="E627" t="s">
        <v>19</v>
      </c>
      <c r="F627" t="s">
        <v>141</v>
      </c>
      <c r="G627" t="s">
        <v>211</v>
      </c>
      <c r="H627" s="8">
        <v>3515.49</v>
      </c>
      <c r="I627" s="8">
        <v>-520.38</v>
      </c>
      <c r="J627" s="8">
        <v>0.06</v>
      </c>
      <c r="K627" t="str">
        <f>IF(SalesData[[#This Row],[Profit]]&gt;0,"Profit","Loss")</f>
        <v>Loss</v>
      </c>
      <c r="L627" s="8">
        <f>SalesData[[#This Row],[Profit]]/SalesData[[#This Row],[Sales]]</f>
        <v>-0.14802488415555159</v>
      </c>
      <c r="M627" t="str">
        <f>TEXT(SalesData[[#This Row],[Order_Date]],"mmm")</f>
        <v>Dec</v>
      </c>
      <c r="N627">
        <f>YEAR(SalesData[[#This Row],[Order_Date]])</f>
        <v>2022</v>
      </c>
    </row>
    <row r="628" spans="1:14" x14ac:dyDescent="0.3">
      <c r="A628" t="s">
        <v>1454</v>
      </c>
      <c r="B628" s="1">
        <v>44831</v>
      </c>
      <c r="C628" t="s">
        <v>1455</v>
      </c>
      <c r="D628" t="s">
        <v>40</v>
      </c>
      <c r="E628" t="s">
        <v>13</v>
      </c>
      <c r="F628" t="s">
        <v>24</v>
      </c>
      <c r="G628" t="s">
        <v>41</v>
      </c>
      <c r="H628" s="8">
        <v>885.68</v>
      </c>
      <c r="I628" s="8">
        <v>-80.040000000000006</v>
      </c>
      <c r="J628" s="8">
        <v>0.16</v>
      </c>
      <c r="K628" t="str">
        <f>IF(SalesData[[#This Row],[Profit]]&gt;0,"Profit","Loss")</f>
        <v>Loss</v>
      </c>
      <c r="L628" s="8">
        <f>SalesData[[#This Row],[Profit]]/SalesData[[#This Row],[Sales]]</f>
        <v>-9.0371240177039125E-2</v>
      </c>
      <c r="M628" t="str">
        <f>TEXT(SalesData[[#This Row],[Order_Date]],"mmm")</f>
        <v>Sep</v>
      </c>
      <c r="N628">
        <f>YEAR(SalesData[[#This Row],[Order_Date]])</f>
        <v>2022</v>
      </c>
    </row>
    <row r="629" spans="1:14" x14ac:dyDescent="0.3">
      <c r="A629" t="s">
        <v>1456</v>
      </c>
      <c r="B629" s="1">
        <v>45196</v>
      </c>
      <c r="C629" t="s">
        <v>1457</v>
      </c>
      <c r="D629" t="s">
        <v>18</v>
      </c>
      <c r="E629" t="s">
        <v>56</v>
      </c>
      <c r="F629" t="s">
        <v>73</v>
      </c>
      <c r="G629" t="s">
        <v>512</v>
      </c>
      <c r="H629" s="8">
        <v>2579.19</v>
      </c>
      <c r="I629" s="8">
        <v>283.08999999999997</v>
      </c>
      <c r="J629" s="8">
        <v>0.22</v>
      </c>
      <c r="K629" t="str">
        <f>IF(SalesData[[#This Row],[Profit]]&gt;0,"Profit","Loss")</f>
        <v>Profit</v>
      </c>
      <c r="L629" s="8">
        <f>SalesData[[#This Row],[Profit]]/SalesData[[#This Row],[Sales]]</f>
        <v>0.10975926550583709</v>
      </c>
      <c r="M629" t="str">
        <f>TEXT(SalesData[[#This Row],[Order_Date]],"mmm")</f>
        <v>Sep</v>
      </c>
      <c r="N629">
        <f>YEAR(SalesData[[#This Row],[Order_Date]])</f>
        <v>2023</v>
      </c>
    </row>
    <row r="630" spans="1:14" x14ac:dyDescent="0.3">
      <c r="A630" t="s">
        <v>1458</v>
      </c>
      <c r="B630" s="1">
        <v>45098</v>
      </c>
      <c r="C630" t="s">
        <v>43</v>
      </c>
      <c r="D630" t="s">
        <v>28</v>
      </c>
      <c r="E630" t="s">
        <v>13</v>
      </c>
      <c r="F630" t="s">
        <v>14</v>
      </c>
      <c r="G630" t="s">
        <v>1459</v>
      </c>
      <c r="H630" s="8">
        <v>3325.62</v>
      </c>
      <c r="I630" s="8">
        <v>-424.03</v>
      </c>
      <c r="J630" s="8">
        <v>0.16</v>
      </c>
      <c r="K630" t="str">
        <f>IF(SalesData[[#This Row],[Profit]]&gt;0,"Profit","Loss")</f>
        <v>Loss</v>
      </c>
      <c r="L630" s="8">
        <f>SalesData[[#This Row],[Profit]]/SalesData[[#This Row],[Sales]]</f>
        <v>-0.1275040443586459</v>
      </c>
      <c r="M630" t="str">
        <f>TEXT(SalesData[[#This Row],[Order_Date]],"mmm")</f>
        <v>Jun</v>
      </c>
      <c r="N630">
        <f>YEAR(SalesData[[#This Row],[Order_Date]])</f>
        <v>2023</v>
      </c>
    </row>
    <row r="631" spans="1:14" x14ac:dyDescent="0.3">
      <c r="A631" t="s">
        <v>1460</v>
      </c>
      <c r="B631" s="1">
        <v>44675</v>
      </c>
      <c r="C631" t="s">
        <v>1461</v>
      </c>
      <c r="D631" t="s">
        <v>12</v>
      </c>
      <c r="E631" t="s">
        <v>13</v>
      </c>
      <c r="F631" t="s">
        <v>14</v>
      </c>
      <c r="G631" t="s">
        <v>981</v>
      </c>
      <c r="H631" s="8">
        <v>3103.89</v>
      </c>
      <c r="I631" s="8">
        <v>262.41000000000003</v>
      </c>
      <c r="J631" s="8">
        <v>0.1</v>
      </c>
      <c r="K631" t="str">
        <f>IF(SalesData[[#This Row],[Profit]]&gt;0,"Profit","Loss")</f>
        <v>Profit</v>
      </c>
      <c r="L631" s="8">
        <f>SalesData[[#This Row],[Profit]]/SalesData[[#This Row],[Sales]]</f>
        <v>8.4542300145945909E-2</v>
      </c>
      <c r="M631" t="str">
        <f>TEXT(SalesData[[#This Row],[Order_Date]],"mmm")</f>
        <v>Apr</v>
      </c>
      <c r="N631">
        <f>YEAR(SalesData[[#This Row],[Order_Date]])</f>
        <v>2022</v>
      </c>
    </row>
    <row r="632" spans="1:14" x14ac:dyDescent="0.3">
      <c r="A632" t="s">
        <v>1462</v>
      </c>
      <c r="B632" s="1">
        <v>44663</v>
      </c>
      <c r="C632" t="s">
        <v>741</v>
      </c>
      <c r="D632" t="s">
        <v>28</v>
      </c>
      <c r="E632" t="s">
        <v>56</v>
      </c>
      <c r="F632" t="s">
        <v>57</v>
      </c>
      <c r="G632" t="s">
        <v>867</v>
      </c>
      <c r="H632" s="8">
        <v>4380.1099999999997</v>
      </c>
      <c r="I632" s="8">
        <v>136.76</v>
      </c>
      <c r="J632" s="8">
        <v>0.06</v>
      </c>
      <c r="K632" t="str">
        <f>IF(SalesData[[#This Row],[Profit]]&gt;0,"Profit","Loss")</f>
        <v>Profit</v>
      </c>
      <c r="L632" s="8">
        <f>SalesData[[#This Row],[Profit]]/SalesData[[#This Row],[Sales]]</f>
        <v>3.1222960153968735E-2</v>
      </c>
      <c r="M632" t="str">
        <f>TEXT(SalesData[[#This Row],[Order_Date]],"mmm")</f>
        <v>Apr</v>
      </c>
      <c r="N632">
        <f>YEAR(SalesData[[#This Row],[Order_Date]])</f>
        <v>2022</v>
      </c>
    </row>
    <row r="633" spans="1:14" x14ac:dyDescent="0.3">
      <c r="A633" t="s">
        <v>1463</v>
      </c>
      <c r="B633" s="1">
        <v>44788</v>
      </c>
      <c r="C633" t="s">
        <v>385</v>
      </c>
      <c r="D633" t="s">
        <v>12</v>
      </c>
      <c r="E633" t="s">
        <v>19</v>
      </c>
      <c r="F633" t="s">
        <v>141</v>
      </c>
      <c r="G633" t="s">
        <v>1234</v>
      </c>
      <c r="H633" s="8">
        <v>3157.46</v>
      </c>
      <c r="I633" s="8">
        <v>-1106.8399999999999</v>
      </c>
      <c r="J633" s="8">
        <v>0.18</v>
      </c>
      <c r="K633" t="str">
        <f>IF(SalesData[[#This Row],[Profit]]&gt;0,"Profit","Loss")</f>
        <v>Loss</v>
      </c>
      <c r="L633" s="8">
        <f>SalesData[[#This Row],[Profit]]/SalesData[[#This Row],[Sales]]</f>
        <v>-0.35054759205183911</v>
      </c>
      <c r="M633" t="str">
        <f>TEXT(SalesData[[#This Row],[Order_Date]],"mmm")</f>
        <v>Aug</v>
      </c>
      <c r="N633">
        <f>YEAR(SalesData[[#This Row],[Order_Date]])</f>
        <v>2022</v>
      </c>
    </row>
    <row r="634" spans="1:14" x14ac:dyDescent="0.3">
      <c r="A634" t="s">
        <v>1464</v>
      </c>
      <c r="B634" s="1">
        <v>45216</v>
      </c>
      <c r="C634" t="s">
        <v>1465</v>
      </c>
      <c r="D634" t="s">
        <v>40</v>
      </c>
      <c r="E634" t="s">
        <v>56</v>
      </c>
      <c r="F634" t="s">
        <v>73</v>
      </c>
      <c r="G634" t="s">
        <v>1466</v>
      </c>
      <c r="H634" s="8">
        <v>2507.89</v>
      </c>
      <c r="I634" s="8">
        <v>-1058.3900000000001</v>
      </c>
      <c r="J634" s="8">
        <v>0.27</v>
      </c>
      <c r="K634" t="str">
        <f>IF(SalesData[[#This Row],[Profit]]&gt;0,"Profit","Loss")</f>
        <v>Loss</v>
      </c>
      <c r="L634" s="8">
        <f>SalesData[[#This Row],[Profit]]/SalesData[[#This Row],[Sales]]</f>
        <v>-0.42202409196575613</v>
      </c>
      <c r="M634" t="str">
        <f>TEXT(SalesData[[#This Row],[Order_Date]],"mmm")</f>
        <v>Oct</v>
      </c>
      <c r="N634">
        <f>YEAR(SalesData[[#This Row],[Order_Date]])</f>
        <v>2023</v>
      </c>
    </row>
    <row r="635" spans="1:14" x14ac:dyDescent="0.3">
      <c r="A635" t="s">
        <v>1467</v>
      </c>
      <c r="B635" s="1">
        <v>45193</v>
      </c>
      <c r="C635" t="s">
        <v>1468</v>
      </c>
      <c r="D635" t="s">
        <v>12</v>
      </c>
      <c r="E635" t="s">
        <v>13</v>
      </c>
      <c r="F635" t="s">
        <v>36</v>
      </c>
      <c r="G635" t="s">
        <v>637</v>
      </c>
      <c r="H635" s="8">
        <v>4127.93</v>
      </c>
      <c r="I635" s="8">
        <v>-1671.89</v>
      </c>
      <c r="J635" s="8">
        <v>0.24</v>
      </c>
      <c r="K635" t="str">
        <f>IF(SalesData[[#This Row],[Profit]]&gt;0,"Profit","Loss")</f>
        <v>Loss</v>
      </c>
      <c r="L635" s="8">
        <f>SalesData[[#This Row],[Profit]]/SalesData[[#This Row],[Sales]]</f>
        <v>-0.40501898045751744</v>
      </c>
      <c r="M635" t="str">
        <f>TEXT(SalesData[[#This Row],[Order_Date]],"mmm")</f>
        <v>Sep</v>
      </c>
      <c r="N635">
        <f>YEAR(SalesData[[#This Row],[Order_Date]])</f>
        <v>2023</v>
      </c>
    </row>
    <row r="636" spans="1:14" x14ac:dyDescent="0.3">
      <c r="A636" t="s">
        <v>1469</v>
      </c>
      <c r="B636" s="1">
        <v>44665</v>
      </c>
      <c r="C636" t="s">
        <v>839</v>
      </c>
      <c r="D636" t="s">
        <v>18</v>
      </c>
      <c r="E636" t="s">
        <v>56</v>
      </c>
      <c r="F636" t="s">
        <v>95</v>
      </c>
      <c r="G636" t="s">
        <v>1470</v>
      </c>
      <c r="H636" s="8">
        <v>481.88</v>
      </c>
      <c r="I636" s="8">
        <v>24.91</v>
      </c>
      <c r="J636" s="8">
        <v>0.06</v>
      </c>
      <c r="K636" t="str">
        <f>IF(SalesData[[#This Row],[Profit]]&gt;0,"Profit","Loss")</f>
        <v>Profit</v>
      </c>
      <c r="L636" s="8">
        <f>SalesData[[#This Row],[Profit]]/SalesData[[#This Row],[Sales]]</f>
        <v>5.1693367643396694E-2</v>
      </c>
      <c r="M636" t="str">
        <f>TEXT(SalesData[[#This Row],[Order_Date]],"mmm")</f>
        <v>Apr</v>
      </c>
      <c r="N636">
        <f>YEAR(SalesData[[#This Row],[Order_Date]])</f>
        <v>2022</v>
      </c>
    </row>
    <row r="637" spans="1:14" x14ac:dyDescent="0.3">
      <c r="A637" t="s">
        <v>1471</v>
      </c>
      <c r="B637" s="1">
        <v>44745</v>
      </c>
      <c r="C637" t="s">
        <v>871</v>
      </c>
      <c r="D637" t="s">
        <v>28</v>
      </c>
      <c r="E637" t="s">
        <v>19</v>
      </c>
      <c r="F637" t="s">
        <v>20</v>
      </c>
      <c r="G637" t="s">
        <v>465</v>
      </c>
      <c r="H637" s="8">
        <v>1046.29</v>
      </c>
      <c r="I637" s="8">
        <v>-60.67</v>
      </c>
      <c r="J637" s="8">
        <v>0.2</v>
      </c>
      <c r="K637" t="str">
        <f>IF(SalesData[[#This Row],[Profit]]&gt;0,"Profit","Loss")</f>
        <v>Loss</v>
      </c>
      <c r="L637" s="8">
        <f>SalesData[[#This Row],[Profit]]/SalesData[[#This Row],[Sales]]</f>
        <v>-5.7985835666975696E-2</v>
      </c>
      <c r="M637" t="str">
        <f>TEXT(SalesData[[#This Row],[Order_Date]],"mmm")</f>
        <v>Jul</v>
      </c>
      <c r="N637">
        <f>YEAR(SalesData[[#This Row],[Order_Date]])</f>
        <v>2022</v>
      </c>
    </row>
    <row r="638" spans="1:14" x14ac:dyDescent="0.3">
      <c r="A638" t="s">
        <v>1472</v>
      </c>
      <c r="B638" s="1">
        <v>44999</v>
      </c>
      <c r="C638" t="s">
        <v>1256</v>
      </c>
      <c r="D638" t="s">
        <v>18</v>
      </c>
      <c r="E638" t="s">
        <v>56</v>
      </c>
      <c r="F638" t="s">
        <v>73</v>
      </c>
      <c r="G638" t="s">
        <v>61</v>
      </c>
      <c r="H638" s="8">
        <v>2925.16</v>
      </c>
      <c r="I638" s="8">
        <v>62.98</v>
      </c>
      <c r="J638" s="8">
        <v>0.2</v>
      </c>
      <c r="K638" t="str">
        <f>IF(SalesData[[#This Row],[Profit]]&gt;0,"Profit","Loss")</f>
        <v>Profit</v>
      </c>
      <c r="L638" s="8">
        <f>SalesData[[#This Row],[Profit]]/SalesData[[#This Row],[Sales]]</f>
        <v>2.1530446197814822E-2</v>
      </c>
      <c r="M638" t="str">
        <f>TEXT(SalesData[[#This Row],[Order_Date]],"mmm")</f>
        <v>Mar</v>
      </c>
      <c r="N638">
        <f>YEAR(SalesData[[#This Row],[Order_Date]])</f>
        <v>2023</v>
      </c>
    </row>
    <row r="639" spans="1:14" x14ac:dyDescent="0.3">
      <c r="A639" t="s">
        <v>1473</v>
      </c>
      <c r="B639" s="1">
        <v>45176</v>
      </c>
      <c r="C639" t="s">
        <v>1474</v>
      </c>
      <c r="D639" t="s">
        <v>40</v>
      </c>
      <c r="E639" t="s">
        <v>56</v>
      </c>
      <c r="F639" t="s">
        <v>73</v>
      </c>
      <c r="G639" t="s">
        <v>1475</v>
      </c>
      <c r="H639" s="8">
        <v>2067.63</v>
      </c>
      <c r="I639" s="8">
        <v>-424.06</v>
      </c>
      <c r="J639" s="8">
        <v>0.1</v>
      </c>
      <c r="K639" t="str">
        <f>IF(SalesData[[#This Row],[Profit]]&gt;0,"Profit","Loss")</f>
        <v>Loss</v>
      </c>
      <c r="L639" s="8">
        <f>SalesData[[#This Row],[Profit]]/SalesData[[#This Row],[Sales]]</f>
        <v>-0.20509472197636908</v>
      </c>
      <c r="M639" t="str">
        <f>TEXT(SalesData[[#This Row],[Order_Date]],"mmm")</f>
        <v>Sep</v>
      </c>
      <c r="N639">
        <f>YEAR(SalesData[[#This Row],[Order_Date]])</f>
        <v>2023</v>
      </c>
    </row>
    <row r="640" spans="1:14" x14ac:dyDescent="0.3">
      <c r="A640" t="s">
        <v>1476</v>
      </c>
      <c r="B640" s="1">
        <v>45210</v>
      </c>
      <c r="C640" t="s">
        <v>150</v>
      </c>
      <c r="D640" t="s">
        <v>40</v>
      </c>
      <c r="E640" t="s">
        <v>19</v>
      </c>
      <c r="F640" t="s">
        <v>141</v>
      </c>
      <c r="G640" t="s">
        <v>44</v>
      </c>
      <c r="H640" s="8">
        <v>4958.17</v>
      </c>
      <c r="I640" s="8">
        <v>-381.62</v>
      </c>
      <c r="J640" s="8">
        <v>0.1</v>
      </c>
      <c r="K640" t="str">
        <f>IF(SalesData[[#This Row],[Profit]]&gt;0,"Profit","Loss")</f>
        <v>Loss</v>
      </c>
      <c r="L640" s="8">
        <f>SalesData[[#This Row],[Profit]]/SalesData[[#This Row],[Sales]]</f>
        <v>-7.6967913564883819E-2</v>
      </c>
      <c r="M640" t="str">
        <f>TEXT(SalesData[[#This Row],[Order_Date]],"mmm")</f>
        <v>Oct</v>
      </c>
      <c r="N640">
        <f>YEAR(SalesData[[#This Row],[Order_Date]])</f>
        <v>2023</v>
      </c>
    </row>
    <row r="641" spans="1:14" x14ac:dyDescent="0.3">
      <c r="A641" t="s">
        <v>1477</v>
      </c>
      <c r="B641" s="1">
        <v>44822</v>
      </c>
      <c r="C641" t="s">
        <v>1478</v>
      </c>
      <c r="D641" t="s">
        <v>28</v>
      </c>
      <c r="E641" t="s">
        <v>56</v>
      </c>
      <c r="F641" t="s">
        <v>73</v>
      </c>
      <c r="G641" t="s">
        <v>744</v>
      </c>
      <c r="H641" s="8">
        <v>2773.57</v>
      </c>
      <c r="I641" s="8">
        <v>55.87</v>
      </c>
      <c r="J641" s="8">
        <v>0.11</v>
      </c>
      <c r="K641" t="str">
        <f>IF(SalesData[[#This Row],[Profit]]&gt;0,"Profit","Loss")</f>
        <v>Profit</v>
      </c>
      <c r="L641" s="8">
        <f>SalesData[[#This Row],[Profit]]/SalesData[[#This Row],[Sales]]</f>
        <v>2.0143713697508985E-2</v>
      </c>
      <c r="M641" t="str">
        <f>TEXT(SalesData[[#This Row],[Order_Date]],"mmm")</f>
        <v>Sep</v>
      </c>
      <c r="N641">
        <f>YEAR(SalesData[[#This Row],[Order_Date]])</f>
        <v>2022</v>
      </c>
    </row>
    <row r="642" spans="1:14" x14ac:dyDescent="0.3">
      <c r="A642" t="s">
        <v>1479</v>
      </c>
      <c r="B642" s="1">
        <v>45092</v>
      </c>
      <c r="C642" t="s">
        <v>1480</v>
      </c>
      <c r="D642" t="s">
        <v>40</v>
      </c>
      <c r="E642" t="s">
        <v>19</v>
      </c>
      <c r="F642" t="s">
        <v>20</v>
      </c>
      <c r="G642" t="s">
        <v>462</v>
      </c>
      <c r="H642" s="8">
        <v>3658.94</v>
      </c>
      <c r="I642" s="8">
        <v>-484.96</v>
      </c>
      <c r="J642" s="8">
        <v>0.28999999999999998</v>
      </c>
      <c r="K642" t="str">
        <f>IF(SalesData[[#This Row],[Profit]]&gt;0,"Profit","Loss")</f>
        <v>Loss</v>
      </c>
      <c r="L642" s="8">
        <f>SalesData[[#This Row],[Profit]]/SalesData[[#This Row],[Sales]]</f>
        <v>-0.1325411184660038</v>
      </c>
      <c r="M642" t="str">
        <f>TEXT(SalesData[[#This Row],[Order_Date]],"mmm")</f>
        <v>Jun</v>
      </c>
      <c r="N642">
        <f>YEAR(SalesData[[#This Row],[Order_Date]])</f>
        <v>2023</v>
      </c>
    </row>
    <row r="643" spans="1:14" x14ac:dyDescent="0.3">
      <c r="A643" t="s">
        <v>1481</v>
      </c>
      <c r="B643" s="1">
        <v>45268</v>
      </c>
      <c r="C643" t="s">
        <v>1482</v>
      </c>
      <c r="D643" t="s">
        <v>18</v>
      </c>
      <c r="E643" t="s">
        <v>19</v>
      </c>
      <c r="F643" t="s">
        <v>20</v>
      </c>
      <c r="G643" t="s">
        <v>1483</v>
      </c>
      <c r="H643" s="8">
        <v>1152.6300000000001</v>
      </c>
      <c r="I643" s="8">
        <v>199.31</v>
      </c>
      <c r="J643" s="8">
        <v>0.09</v>
      </c>
      <c r="K643" t="str">
        <f>IF(SalesData[[#This Row],[Profit]]&gt;0,"Profit","Loss")</f>
        <v>Profit</v>
      </c>
      <c r="L643" s="8">
        <f>SalesData[[#This Row],[Profit]]/SalesData[[#This Row],[Sales]]</f>
        <v>0.17291758847158237</v>
      </c>
      <c r="M643" t="str">
        <f>TEXT(SalesData[[#This Row],[Order_Date]],"mmm")</f>
        <v>Dec</v>
      </c>
      <c r="N643">
        <f>YEAR(SalesData[[#This Row],[Order_Date]])</f>
        <v>2023</v>
      </c>
    </row>
    <row r="644" spans="1:14" x14ac:dyDescent="0.3">
      <c r="A644" t="s">
        <v>1484</v>
      </c>
      <c r="B644" s="1">
        <v>45158</v>
      </c>
      <c r="C644" t="s">
        <v>1013</v>
      </c>
      <c r="D644" t="s">
        <v>18</v>
      </c>
      <c r="E644" t="s">
        <v>56</v>
      </c>
      <c r="F644" t="s">
        <v>95</v>
      </c>
      <c r="G644" t="s">
        <v>792</v>
      </c>
      <c r="H644" s="8">
        <v>1842.71</v>
      </c>
      <c r="I644" s="8">
        <v>-36.39</v>
      </c>
      <c r="J644" s="8">
        <v>0.04</v>
      </c>
      <c r="K644" t="str">
        <f>IF(SalesData[[#This Row],[Profit]]&gt;0,"Profit","Loss")</f>
        <v>Loss</v>
      </c>
      <c r="L644" s="8">
        <f>SalesData[[#This Row],[Profit]]/SalesData[[#This Row],[Sales]]</f>
        <v>-1.9748088413260905E-2</v>
      </c>
      <c r="M644" t="str">
        <f>TEXT(SalesData[[#This Row],[Order_Date]],"mmm")</f>
        <v>Aug</v>
      </c>
      <c r="N644">
        <f>YEAR(SalesData[[#This Row],[Order_Date]])</f>
        <v>2023</v>
      </c>
    </row>
    <row r="645" spans="1:14" x14ac:dyDescent="0.3">
      <c r="A645" t="s">
        <v>1485</v>
      </c>
      <c r="B645" s="1">
        <v>44641</v>
      </c>
      <c r="C645" t="s">
        <v>1486</v>
      </c>
      <c r="D645" t="s">
        <v>40</v>
      </c>
      <c r="E645" t="s">
        <v>19</v>
      </c>
      <c r="F645" t="s">
        <v>20</v>
      </c>
      <c r="G645" t="s">
        <v>61</v>
      </c>
      <c r="H645" s="8">
        <v>2895.39</v>
      </c>
      <c r="I645" s="8">
        <v>-693.55</v>
      </c>
      <c r="J645" s="8">
        <v>0.17</v>
      </c>
      <c r="K645" t="str">
        <f>IF(SalesData[[#This Row],[Profit]]&gt;0,"Profit","Loss")</f>
        <v>Loss</v>
      </c>
      <c r="L645" s="8">
        <f>SalesData[[#This Row],[Profit]]/SalesData[[#This Row],[Sales]]</f>
        <v>-0.23953595197883532</v>
      </c>
      <c r="M645" t="str">
        <f>TEXT(SalesData[[#This Row],[Order_Date]],"mmm")</f>
        <v>Mar</v>
      </c>
      <c r="N645">
        <f>YEAR(SalesData[[#This Row],[Order_Date]])</f>
        <v>2022</v>
      </c>
    </row>
    <row r="646" spans="1:14" x14ac:dyDescent="0.3">
      <c r="A646" t="s">
        <v>1487</v>
      </c>
      <c r="B646" s="1">
        <v>44659</v>
      </c>
      <c r="C646" t="s">
        <v>204</v>
      </c>
      <c r="D646" t="s">
        <v>40</v>
      </c>
      <c r="E646" t="s">
        <v>19</v>
      </c>
      <c r="F646" t="s">
        <v>20</v>
      </c>
      <c r="G646" t="s">
        <v>172</v>
      </c>
      <c r="H646" s="8">
        <v>2492.5500000000002</v>
      </c>
      <c r="I646" s="8">
        <v>-120.37</v>
      </c>
      <c r="J646" s="8">
        <v>0.27</v>
      </c>
      <c r="K646" t="str">
        <f>IF(SalesData[[#This Row],[Profit]]&gt;0,"Profit","Loss")</f>
        <v>Loss</v>
      </c>
      <c r="L646" s="8">
        <f>SalesData[[#This Row],[Profit]]/SalesData[[#This Row],[Sales]]</f>
        <v>-4.8291909891476602E-2</v>
      </c>
      <c r="M646" t="str">
        <f>TEXT(SalesData[[#This Row],[Order_Date]],"mmm")</f>
        <v>Apr</v>
      </c>
      <c r="N646">
        <f>YEAR(SalesData[[#This Row],[Order_Date]])</f>
        <v>2022</v>
      </c>
    </row>
    <row r="647" spans="1:14" x14ac:dyDescent="0.3">
      <c r="A647" t="s">
        <v>1488</v>
      </c>
      <c r="B647" s="1">
        <v>44904</v>
      </c>
      <c r="C647" t="s">
        <v>877</v>
      </c>
      <c r="D647" t="s">
        <v>28</v>
      </c>
      <c r="E647" t="s">
        <v>13</v>
      </c>
      <c r="F647" t="s">
        <v>24</v>
      </c>
      <c r="G647" t="s">
        <v>1489</v>
      </c>
      <c r="H647" s="8">
        <v>1969.58</v>
      </c>
      <c r="I647" s="8">
        <v>242.5</v>
      </c>
      <c r="J647" s="8">
        <v>0.23</v>
      </c>
      <c r="K647" t="str">
        <f>IF(SalesData[[#This Row],[Profit]]&gt;0,"Profit","Loss")</f>
        <v>Profit</v>
      </c>
      <c r="L647" s="8">
        <f>SalesData[[#This Row],[Profit]]/SalesData[[#This Row],[Sales]]</f>
        <v>0.12312269620934413</v>
      </c>
      <c r="M647" t="str">
        <f>TEXT(SalesData[[#This Row],[Order_Date]],"mmm")</f>
        <v>Dec</v>
      </c>
      <c r="N647">
        <f>YEAR(SalesData[[#This Row],[Order_Date]])</f>
        <v>2022</v>
      </c>
    </row>
    <row r="648" spans="1:14" x14ac:dyDescent="0.3">
      <c r="A648" t="s">
        <v>1490</v>
      </c>
      <c r="B648" s="1">
        <v>45211</v>
      </c>
      <c r="C648" t="s">
        <v>1491</v>
      </c>
      <c r="D648" t="s">
        <v>28</v>
      </c>
      <c r="E648" t="s">
        <v>56</v>
      </c>
      <c r="F648" t="s">
        <v>57</v>
      </c>
      <c r="G648" t="s">
        <v>1492</v>
      </c>
      <c r="H648" s="8">
        <v>3763.63</v>
      </c>
      <c r="I648" s="8">
        <v>403.43</v>
      </c>
      <c r="J648" s="8">
        <v>0.25</v>
      </c>
      <c r="K648" t="str">
        <f>IF(SalesData[[#This Row],[Profit]]&gt;0,"Profit","Loss")</f>
        <v>Profit</v>
      </c>
      <c r="L648" s="8">
        <f>SalesData[[#This Row],[Profit]]/SalesData[[#This Row],[Sales]]</f>
        <v>0.10719172713577052</v>
      </c>
      <c r="M648" t="str">
        <f>TEXT(SalesData[[#This Row],[Order_Date]],"mmm")</f>
        <v>Oct</v>
      </c>
      <c r="N648">
        <f>YEAR(SalesData[[#This Row],[Order_Date]])</f>
        <v>2023</v>
      </c>
    </row>
    <row r="649" spans="1:14" x14ac:dyDescent="0.3">
      <c r="A649" t="s">
        <v>1493</v>
      </c>
      <c r="B649" s="1">
        <v>45076</v>
      </c>
      <c r="C649" t="s">
        <v>1494</v>
      </c>
      <c r="D649" t="s">
        <v>18</v>
      </c>
      <c r="E649" t="s">
        <v>19</v>
      </c>
      <c r="F649" t="s">
        <v>141</v>
      </c>
      <c r="G649" t="s">
        <v>725</v>
      </c>
      <c r="H649" s="8">
        <v>301.79000000000002</v>
      </c>
      <c r="I649" s="8">
        <v>-81.56</v>
      </c>
      <c r="J649" s="8">
        <v>0.16</v>
      </c>
      <c r="K649" t="str">
        <f>IF(SalesData[[#This Row],[Profit]]&gt;0,"Profit","Loss")</f>
        <v>Loss</v>
      </c>
      <c r="L649" s="8">
        <f>SalesData[[#This Row],[Profit]]/SalesData[[#This Row],[Sales]]</f>
        <v>-0.27025415023691968</v>
      </c>
      <c r="M649" t="str">
        <f>TEXT(SalesData[[#This Row],[Order_Date]],"mmm")</f>
        <v>May</v>
      </c>
      <c r="N649">
        <f>YEAR(SalesData[[#This Row],[Order_Date]])</f>
        <v>2023</v>
      </c>
    </row>
    <row r="650" spans="1:14" x14ac:dyDescent="0.3">
      <c r="A650" t="s">
        <v>1495</v>
      </c>
      <c r="B650" s="1">
        <v>45171</v>
      </c>
      <c r="C650" t="s">
        <v>1334</v>
      </c>
      <c r="D650" t="s">
        <v>12</v>
      </c>
      <c r="E650" t="s">
        <v>56</v>
      </c>
      <c r="F650" t="s">
        <v>73</v>
      </c>
      <c r="G650" t="s">
        <v>494</v>
      </c>
      <c r="H650" s="8">
        <v>3684.74</v>
      </c>
      <c r="I650" s="8">
        <v>-193.93</v>
      </c>
      <c r="J650" s="8">
        <v>0.12</v>
      </c>
      <c r="K650" t="str">
        <f>IF(SalesData[[#This Row],[Profit]]&gt;0,"Profit","Loss")</f>
        <v>Loss</v>
      </c>
      <c r="L650" s="8">
        <f>SalesData[[#This Row],[Profit]]/SalesData[[#This Row],[Sales]]</f>
        <v>-5.2630579091062057E-2</v>
      </c>
      <c r="M650" t="str">
        <f>TEXT(SalesData[[#This Row],[Order_Date]],"mmm")</f>
        <v>Sep</v>
      </c>
      <c r="N650">
        <f>YEAR(SalesData[[#This Row],[Order_Date]])</f>
        <v>2023</v>
      </c>
    </row>
    <row r="651" spans="1:14" x14ac:dyDescent="0.3">
      <c r="A651" t="s">
        <v>1496</v>
      </c>
      <c r="B651" s="1">
        <v>45049</v>
      </c>
      <c r="C651" t="s">
        <v>986</v>
      </c>
      <c r="D651" t="s">
        <v>12</v>
      </c>
      <c r="E651" t="s">
        <v>19</v>
      </c>
      <c r="F651" t="s">
        <v>29</v>
      </c>
      <c r="G651" t="s">
        <v>1497</v>
      </c>
      <c r="H651" s="8">
        <v>3953.2</v>
      </c>
      <c r="I651" s="8">
        <v>-151.4</v>
      </c>
      <c r="J651" s="8">
        <v>0.04</v>
      </c>
      <c r="K651" t="str">
        <f>IF(SalesData[[#This Row],[Profit]]&gt;0,"Profit","Loss")</f>
        <v>Loss</v>
      </c>
      <c r="L651" s="8">
        <f>SalesData[[#This Row],[Profit]]/SalesData[[#This Row],[Sales]]</f>
        <v>-3.829808762521502E-2</v>
      </c>
      <c r="M651" t="str">
        <f>TEXT(SalesData[[#This Row],[Order_Date]],"mmm")</f>
        <v>May</v>
      </c>
      <c r="N651">
        <f>YEAR(SalesData[[#This Row],[Order_Date]])</f>
        <v>2023</v>
      </c>
    </row>
    <row r="652" spans="1:14" x14ac:dyDescent="0.3">
      <c r="A652" t="s">
        <v>1498</v>
      </c>
      <c r="B652" s="1">
        <v>44695</v>
      </c>
      <c r="C652" t="s">
        <v>1499</v>
      </c>
      <c r="D652" t="s">
        <v>18</v>
      </c>
      <c r="E652" t="s">
        <v>19</v>
      </c>
      <c r="F652" t="s">
        <v>29</v>
      </c>
      <c r="G652" t="s">
        <v>1313</v>
      </c>
      <c r="H652" s="8">
        <v>516.89</v>
      </c>
      <c r="I652" s="8">
        <v>59.08</v>
      </c>
      <c r="J652" s="8">
        <v>0.15</v>
      </c>
      <c r="K652" t="str">
        <f>IF(SalesData[[#This Row],[Profit]]&gt;0,"Profit","Loss")</f>
        <v>Profit</v>
      </c>
      <c r="L652" s="8">
        <f>SalesData[[#This Row],[Profit]]/SalesData[[#This Row],[Sales]]</f>
        <v>0.11429898044071272</v>
      </c>
      <c r="M652" t="str">
        <f>TEXT(SalesData[[#This Row],[Order_Date]],"mmm")</f>
        <v>May</v>
      </c>
      <c r="N652">
        <f>YEAR(SalesData[[#This Row],[Order_Date]])</f>
        <v>2022</v>
      </c>
    </row>
    <row r="653" spans="1:14" x14ac:dyDescent="0.3">
      <c r="A653" t="s">
        <v>1500</v>
      </c>
      <c r="B653" s="1">
        <v>45192</v>
      </c>
      <c r="C653" t="s">
        <v>1501</v>
      </c>
      <c r="D653" t="s">
        <v>18</v>
      </c>
      <c r="E653" t="s">
        <v>13</v>
      </c>
      <c r="F653" t="s">
        <v>14</v>
      </c>
      <c r="G653" t="s">
        <v>96</v>
      </c>
      <c r="H653" s="8">
        <v>2490.52</v>
      </c>
      <c r="I653" s="8">
        <v>-703.17</v>
      </c>
      <c r="J653" s="8">
        <v>0.2</v>
      </c>
      <c r="K653" t="str">
        <f>IF(SalesData[[#This Row],[Profit]]&gt;0,"Profit","Loss")</f>
        <v>Loss</v>
      </c>
      <c r="L653" s="8">
        <f>SalesData[[#This Row],[Profit]]/SalesData[[#This Row],[Sales]]</f>
        <v>-0.28233862807767052</v>
      </c>
      <c r="M653" t="str">
        <f>TEXT(SalesData[[#This Row],[Order_Date]],"mmm")</f>
        <v>Sep</v>
      </c>
      <c r="N653">
        <f>YEAR(SalesData[[#This Row],[Order_Date]])</f>
        <v>2023</v>
      </c>
    </row>
    <row r="654" spans="1:14" x14ac:dyDescent="0.3">
      <c r="A654" t="s">
        <v>1502</v>
      </c>
      <c r="B654" s="1">
        <v>44653</v>
      </c>
      <c r="C654" t="s">
        <v>1503</v>
      </c>
      <c r="D654" t="s">
        <v>28</v>
      </c>
      <c r="E654" t="s">
        <v>56</v>
      </c>
      <c r="F654" t="s">
        <v>95</v>
      </c>
      <c r="G654" t="s">
        <v>1091</v>
      </c>
      <c r="H654" s="8">
        <v>3906.18</v>
      </c>
      <c r="I654" s="8">
        <v>994.06</v>
      </c>
      <c r="J654" s="8">
        <v>0.1</v>
      </c>
      <c r="K654" t="str">
        <f>IF(SalesData[[#This Row],[Profit]]&gt;0,"Profit","Loss")</f>
        <v>Profit</v>
      </c>
      <c r="L654" s="8">
        <f>SalesData[[#This Row],[Profit]]/SalesData[[#This Row],[Sales]]</f>
        <v>0.25448392035185269</v>
      </c>
      <c r="M654" t="str">
        <f>TEXT(SalesData[[#This Row],[Order_Date]],"mmm")</f>
        <v>Apr</v>
      </c>
      <c r="N654">
        <f>YEAR(SalesData[[#This Row],[Order_Date]])</f>
        <v>2022</v>
      </c>
    </row>
    <row r="655" spans="1:14" x14ac:dyDescent="0.3">
      <c r="A655" t="s">
        <v>1504</v>
      </c>
      <c r="B655" s="1">
        <v>44874</v>
      </c>
      <c r="C655" t="s">
        <v>794</v>
      </c>
      <c r="D655" t="s">
        <v>40</v>
      </c>
      <c r="E655" t="s">
        <v>19</v>
      </c>
      <c r="F655" t="s">
        <v>29</v>
      </c>
      <c r="G655" t="s">
        <v>254</v>
      </c>
      <c r="H655" s="8">
        <v>1033.4000000000001</v>
      </c>
      <c r="I655" s="8">
        <v>96.36</v>
      </c>
      <c r="J655" s="8">
        <v>0.1</v>
      </c>
      <c r="K655" t="str">
        <f>IF(SalesData[[#This Row],[Profit]]&gt;0,"Profit","Loss")</f>
        <v>Profit</v>
      </c>
      <c r="L655" s="8">
        <f>SalesData[[#This Row],[Profit]]/SalesData[[#This Row],[Sales]]</f>
        <v>9.3245597058254304E-2</v>
      </c>
      <c r="M655" t="str">
        <f>TEXT(SalesData[[#This Row],[Order_Date]],"mmm")</f>
        <v>Nov</v>
      </c>
      <c r="N655">
        <f>YEAR(SalesData[[#This Row],[Order_Date]])</f>
        <v>2022</v>
      </c>
    </row>
    <row r="656" spans="1:14" x14ac:dyDescent="0.3">
      <c r="A656" t="s">
        <v>1505</v>
      </c>
      <c r="B656" s="1">
        <v>44766</v>
      </c>
      <c r="C656" t="s">
        <v>1418</v>
      </c>
      <c r="D656" t="s">
        <v>40</v>
      </c>
      <c r="E656" t="s">
        <v>19</v>
      </c>
      <c r="F656" t="s">
        <v>141</v>
      </c>
      <c r="G656" t="s">
        <v>114</v>
      </c>
      <c r="H656" s="8">
        <v>814.51</v>
      </c>
      <c r="I656" s="8">
        <v>228.8</v>
      </c>
      <c r="J656" s="8">
        <v>0.01</v>
      </c>
      <c r="K656" t="str">
        <f>IF(SalesData[[#This Row],[Profit]]&gt;0,"Profit","Loss")</f>
        <v>Profit</v>
      </c>
      <c r="L656" s="8">
        <f>SalesData[[#This Row],[Profit]]/SalesData[[#This Row],[Sales]]</f>
        <v>0.28090508403825615</v>
      </c>
      <c r="M656" t="str">
        <f>TEXT(SalesData[[#This Row],[Order_Date]],"mmm")</f>
        <v>Jul</v>
      </c>
      <c r="N656">
        <f>YEAR(SalesData[[#This Row],[Order_Date]])</f>
        <v>2022</v>
      </c>
    </row>
    <row r="657" spans="1:14" x14ac:dyDescent="0.3">
      <c r="A657" t="s">
        <v>1506</v>
      </c>
      <c r="B657" s="1">
        <v>44713</v>
      </c>
      <c r="C657" t="s">
        <v>327</v>
      </c>
      <c r="D657" t="s">
        <v>12</v>
      </c>
      <c r="E657" t="s">
        <v>13</v>
      </c>
      <c r="F657" t="s">
        <v>14</v>
      </c>
      <c r="G657" t="s">
        <v>878</v>
      </c>
      <c r="H657" s="8">
        <v>650.62</v>
      </c>
      <c r="I657" s="8">
        <v>227.3</v>
      </c>
      <c r="J657" s="8">
        <v>0.02</v>
      </c>
      <c r="K657" t="str">
        <f>IF(SalesData[[#This Row],[Profit]]&gt;0,"Profit","Loss")</f>
        <v>Profit</v>
      </c>
      <c r="L657" s="8">
        <f>SalesData[[#This Row],[Profit]]/SalesData[[#This Row],[Sales]]</f>
        <v>0.34935907288432572</v>
      </c>
      <c r="M657" t="str">
        <f>TEXT(SalesData[[#This Row],[Order_Date]],"mmm")</f>
        <v>Jun</v>
      </c>
      <c r="N657">
        <f>YEAR(SalesData[[#This Row],[Order_Date]])</f>
        <v>2022</v>
      </c>
    </row>
    <row r="658" spans="1:14" x14ac:dyDescent="0.3">
      <c r="A658" t="s">
        <v>1507</v>
      </c>
      <c r="B658" s="1">
        <v>45112</v>
      </c>
      <c r="C658" t="s">
        <v>1508</v>
      </c>
      <c r="D658" t="s">
        <v>18</v>
      </c>
      <c r="E658" t="s">
        <v>13</v>
      </c>
      <c r="F658" t="s">
        <v>14</v>
      </c>
      <c r="G658" t="s">
        <v>908</v>
      </c>
      <c r="H658" s="8">
        <v>1595.08</v>
      </c>
      <c r="I658" s="8">
        <v>-224.71</v>
      </c>
      <c r="J658" s="8">
        <v>0.14000000000000001</v>
      </c>
      <c r="K658" t="str">
        <f>IF(SalesData[[#This Row],[Profit]]&gt;0,"Profit","Loss")</f>
        <v>Loss</v>
      </c>
      <c r="L658" s="8">
        <f>SalesData[[#This Row],[Profit]]/SalesData[[#This Row],[Sales]]</f>
        <v>-0.14087694661082831</v>
      </c>
      <c r="M658" t="str">
        <f>TEXT(SalesData[[#This Row],[Order_Date]],"mmm")</f>
        <v>Jul</v>
      </c>
      <c r="N658">
        <f>YEAR(SalesData[[#This Row],[Order_Date]])</f>
        <v>2023</v>
      </c>
    </row>
    <row r="659" spans="1:14" x14ac:dyDescent="0.3">
      <c r="A659" t="s">
        <v>1509</v>
      </c>
      <c r="B659" s="1">
        <v>45273</v>
      </c>
      <c r="C659" t="s">
        <v>524</v>
      </c>
      <c r="D659" t="s">
        <v>12</v>
      </c>
      <c r="E659" t="s">
        <v>13</v>
      </c>
      <c r="F659" t="s">
        <v>36</v>
      </c>
      <c r="G659" t="s">
        <v>1306</v>
      </c>
      <c r="H659" s="8">
        <v>2789.12</v>
      </c>
      <c r="I659" s="8">
        <v>572.83000000000004</v>
      </c>
      <c r="J659" s="8">
        <v>0.19</v>
      </c>
      <c r="K659" t="str">
        <f>IF(SalesData[[#This Row],[Profit]]&gt;0,"Profit","Loss")</f>
        <v>Profit</v>
      </c>
      <c r="L659" s="8">
        <f>SalesData[[#This Row],[Profit]]/SalesData[[#This Row],[Sales]]</f>
        <v>0.20538019160165216</v>
      </c>
      <c r="M659" t="str">
        <f>TEXT(SalesData[[#This Row],[Order_Date]],"mmm")</f>
        <v>Dec</v>
      </c>
      <c r="N659">
        <f>YEAR(SalesData[[#This Row],[Order_Date]])</f>
        <v>2023</v>
      </c>
    </row>
    <row r="660" spans="1:14" x14ac:dyDescent="0.3">
      <c r="A660" t="s">
        <v>1510</v>
      </c>
      <c r="B660" s="1">
        <v>44767</v>
      </c>
      <c r="C660" t="s">
        <v>113</v>
      </c>
      <c r="D660" t="s">
        <v>40</v>
      </c>
      <c r="E660" t="s">
        <v>13</v>
      </c>
      <c r="F660" t="s">
        <v>24</v>
      </c>
      <c r="G660" t="s">
        <v>1492</v>
      </c>
      <c r="H660" s="8">
        <v>2681.32</v>
      </c>
      <c r="I660" s="8">
        <v>-654.07000000000005</v>
      </c>
      <c r="J660" s="8">
        <v>0.08</v>
      </c>
      <c r="K660" t="str">
        <f>IF(SalesData[[#This Row],[Profit]]&gt;0,"Profit","Loss")</f>
        <v>Loss</v>
      </c>
      <c r="L660" s="8">
        <f>SalesData[[#This Row],[Profit]]/SalesData[[#This Row],[Sales]]</f>
        <v>-0.24393582265451344</v>
      </c>
      <c r="M660" t="str">
        <f>TEXT(SalesData[[#This Row],[Order_Date]],"mmm")</f>
        <v>Jul</v>
      </c>
      <c r="N660">
        <f>YEAR(SalesData[[#This Row],[Order_Date]])</f>
        <v>2022</v>
      </c>
    </row>
    <row r="661" spans="1:14" x14ac:dyDescent="0.3">
      <c r="A661" t="s">
        <v>1511</v>
      </c>
      <c r="B661" s="1">
        <v>45240</v>
      </c>
      <c r="C661" t="s">
        <v>1512</v>
      </c>
      <c r="D661" t="s">
        <v>40</v>
      </c>
      <c r="E661" t="s">
        <v>19</v>
      </c>
      <c r="F661" t="s">
        <v>141</v>
      </c>
      <c r="G661" t="s">
        <v>99</v>
      </c>
      <c r="H661" s="8">
        <v>4731.3599999999997</v>
      </c>
      <c r="I661" s="8">
        <v>833.78</v>
      </c>
      <c r="J661" s="8">
        <v>0.02</v>
      </c>
      <c r="K661" t="str">
        <f>IF(SalesData[[#This Row],[Profit]]&gt;0,"Profit","Loss")</f>
        <v>Profit</v>
      </c>
      <c r="L661" s="8">
        <f>SalesData[[#This Row],[Profit]]/SalesData[[#This Row],[Sales]]</f>
        <v>0.17622417233099996</v>
      </c>
      <c r="M661" t="str">
        <f>TEXT(SalesData[[#This Row],[Order_Date]],"mmm")</f>
        <v>Nov</v>
      </c>
      <c r="N661">
        <f>YEAR(SalesData[[#This Row],[Order_Date]])</f>
        <v>2023</v>
      </c>
    </row>
    <row r="662" spans="1:14" x14ac:dyDescent="0.3">
      <c r="A662" t="s">
        <v>1513</v>
      </c>
      <c r="B662" s="1">
        <v>44951</v>
      </c>
      <c r="C662" t="s">
        <v>118</v>
      </c>
      <c r="D662" t="s">
        <v>12</v>
      </c>
      <c r="E662" t="s">
        <v>56</v>
      </c>
      <c r="F662" t="s">
        <v>57</v>
      </c>
      <c r="G662" t="s">
        <v>1475</v>
      </c>
      <c r="H662" s="8">
        <v>1533.23</v>
      </c>
      <c r="I662" s="8">
        <v>-365.04</v>
      </c>
      <c r="J662" s="8">
        <v>0.27</v>
      </c>
      <c r="K662" t="str">
        <f>IF(SalesData[[#This Row],[Profit]]&gt;0,"Profit","Loss")</f>
        <v>Loss</v>
      </c>
      <c r="L662" s="8">
        <f>SalesData[[#This Row],[Profit]]/SalesData[[#This Row],[Sales]]</f>
        <v>-0.23808561011720356</v>
      </c>
      <c r="M662" t="str">
        <f>TEXT(SalesData[[#This Row],[Order_Date]],"mmm")</f>
        <v>Jan</v>
      </c>
      <c r="N662">
        <f>YEAR(SalesData[[#This Row],[Order_Date]])</f>
        <v>2023</v>
      </c>
    </row>
    <row r="663" spans="1:14" x14ac:dyDescent="0.3">
      <c r="A663" t="s">
        <v>1514</v>
      </c>
      <c r="B663" s="1">
        <v>45074</v>
      </c>
      <c r="C663" t="s">
        <v>558</v>
      </c>
      <c r="D663" t="s">
        <v>12</v>
      </c>
      <c r="E663" t="s">
        <v>19</v>
      </c>
      <c r="F663" t="s">
        <v>29</v>
      </c>
      <c r="G663" t="s">
        <v>1176</v>
      </c>
      <c r="H663" s="8">
        <v>4347.1899999999996</v>
      </c>
      <c r="I663" s="8">
        <v>-1078.75</v>
      </c>
      <c r="J663" s="8">
        <v>0.16</v>
      </c>
      <c r="K663" t="str">
        <f>IF(SalesData[[#This Row],[Profit]]&gt;0,"Profit","Loss")</f>
        <v>Loss</v>
      </c>
      <c r="L663" s="8">
        <f>SalesData[[#This Row],[Profit]]/SalesData[[#This Row],[Sales]]</f>
        <v>-0.24814880417005011</v>
      </c>
      <c r="M663" t="str">
        <f>TEXT(SalesData[[#This Row],[Order_Date]],"mmm")</f>
        <v>May</v>
      </c>
      <c r="N663">
        <f>YEAR(SalesData[[#This Row],[Order_Date]])</f>
        <v>2023</v>
      </c>
    </row>
    <row r="664" spans="1:14" x14ac:dyDescent="0.3">
      <c r="A664" t="s">
        <v>1515</v>
      </c>
      <c r="B664" s="1">
        <v>44580</v>
      </c>
      <c r="C664" t="s">
        <v>247</v>
      </c>
      <c r="D664" t="s">
        <v>40</v>
      </c>
      <c r="E664" t="s">
        <v>56</v>
      </c>
      <c r="F664" t="s">
        <v>73</v>
      </c>
      <c r="G664" t="s">
        <v>1208</v>
      </c>
      <c r="H664" s="8">
        <v>1594.14</v>
      </c>
      <c r="I664" s="8">
        <v>154.05000000000001</v>
      </c>
      <c r="J664" s="8">
        <v>0.15</v>
      </c>
      <c r="K664" t="str">
        <f>IF(SalesData[[#This Row],[Profit]]&gt;0,"Profit","Loss")</f>
        <v>Profit</v>
      </c>
      <c r="L664" s="8">
        <f>SalesData[[#This Row],[Profit]]/SalesData[[#This Row],[Sales]]</f>
        <v>9.6635176333320791E-2</v>
      </c>
      <c r="M664" t="str">
        <f>TEXT(SalesData[[#This Row],[Order_Date]],"mmm")</f>
        <v>Jan</v>
      </c>
      <c r="N664">
        <f>YEAR(SalesData[[#This Row],[Order_Date]])</f>
        <v>2022</v>
      </c>
    </row>
    <row r="665" spans="1:14" x14ac:dyDescent="0.3">
      <c r="A665" t="s">
        <v>1516</v>
      </c>
      <c r="B665" s="1">
        <v>44625</v>
      </c>
      <c r="C665" t="s">
        <v>1517</v>
      </c>
      <c r="D665" t="s">
        <v>40</v>
      </c>
      <c r="E665" t="s">
        <v>13</v>
      </c>
      <c r="F665" t="s">
        <v>36</v>
      </c>
      <c r="G665" t="s">
        <v>989</v>
      </c>
      <c r="H665" s="8">
        <v>1257.4000000000001</v>
      </c>
      <c r="I665" s="8">
        <v>-237.96</v>
      </c>
      <c r="J665" s="8">
        <v>0.28999999999999998</v>
      </c>
      <c r="K665" t="str">
        <f>IF(SalesData[[#This Row],[Profit]]&gt;0,"Profit","Loss")</f>
        <v>Loss</v>
      </c>
      <c r="L665" s="8">
        <f>SalesData[[#This Row],[Profit]]/SalesData[[#This Row],[Sales]]</f>
        <v>-0.18924765388897724</v>
      </c>
      <c r="M665" t="str">
        <f>TEXT(SalesData[[#This Row],[Order_Date]],"mmm")</f>
        <v>Mar</v>
      </c>
      <c r="N665">
        <f>YEAR(SalesData[[#This Row],[Order_Date]])</f>
        <v>2022</v>
      </c>
    </row>
    <row r="666" spans="1:14" x14ac:dyDescent="0.3">
      <c r="A666" t="s">
        <v>1518</v>
      </c>
      <c r="B666" s="1">
        <v>44911</v>
      </c>
      <c r="C666" t="s">
        <v>1519</v>
      </c>
      <c r="D666" t="s">
        <v>18</v>
      </c>
      <c r="E666" t="s">
        <v>19</v>
      </c>
      <c r="F666" t="s">
        <v>20</v>
      </c>
      <c r="G666" t="s">
        <v>1027</v>
      </c>
      <c r="H666" s="8">
        <v>4726.2700000000004</v>
      </c>
      <c r="I666" s="8">
        <v>-1628.91</v>
      </c>
      <c r="J666" s="8">
        <v>0.28000000000000003</v>
      </c>
      <c r="K666" t="str">
        <f>IF(SalesData[[#This Row],[Profit]]&gt;0,"Profit","Loss")</f>
        <v>Loss</v>
      </c>
      <c r="L666" s="8">
        <f>SalesData[[#This Row],[Profit]]/SalesData[[#This Row],[Sales]]</f>
        <v>-0.34465022099880033</v>
      </c>
      <c r="M666" t="str">
        <f>TEXT(SalesData[[#This Row],[Order_Date]],"mmm")</f>
        <v>Dec</v>
      </c>
      <c r="N666">
        <f>YEAR(SalesData[[#This Row],[Order_Date]])</f>
        <v>2022</v>
      </c>
    </row>
    <row r="667" spans="1:14" x14ac:dyDescent="0.3">
      <c r="A667" t="s">
        <v>1520</v>
      </c>
      <c r="B667" s="1">
        <v>45264</v>
      </c>
      <c r="C667" t="s">
        <v>1521</v>
      </c>
      <c r="D667" t="s">
        <v>28</v>
      </c>
      <c r="E667" t="s">
        <v>13</v>
      </c>
      <c r="F667" t="s">
        <v>36</v>
      </c>
      <c r="G667" t="s">
        <v>769</v>
      </c>
      <c r="H667" s="8">
        <v>2651.52</v>
      </c>
      <c r="I667" s="8">
        <v>327.78</v>
      </c>
      <c r="J667" s="8">
        <v>0.2</v>
      </c>
      <c r="K667" t="str">
        <f>IF(SalesData[[#This Row],[Profit]]&gt;0,"Profit","Loss")</f>
        <v>Profit</v>
      </c>
      <c r="L667" s="8">
        <f>SalesData[[#This Row],[Profit]]/SalesData[[#This Row],[Sales]]</f>
        <v>0.12361965966690802</v>
      </c>
      <c r="M667" t="str">
        <f>TEXT(SalesData[[#This Row],[Order_Date]],"mmm")</f>
        <v>Dec</v>
      </c>
      <c r="N667">
        <f>YEAR(SalesData[[#This Row],[Order_Date]])</f>
        <v>2023</v>
      </c>
    </row>
    <row r="668" spans="1:14" x14ac:dyDescent="0.3">
      <c r="A668" t="s">
        <v>1522</v>
      </c>
      <c r="B668" s="1">
        <v>45021</v>
      </c>
      <c r="C668" t="s">
        <v>1042</v>
      </c>
      <c r="D668" t="s">
        <v>18</v>
      </c>
      <c r="E668" t="s">
        <v>13</v>
      </c>
      <c r="F668" t="s">
        <v>14</v>
      </c>
      <c r="G668" t="s">
        <v>1076</v>
      </c>
      <c r="H668" s="8">
        <v>2189.6799999999998</v>
      </c>
      <c r="I668" s="8">
        <v>160.33000000000001</v>
      </c>
      <c r="J668" s="8">
        <v>0.09</v>
      </c>
      <c r="K668" t="str">
        <f>IF(SalesData[[#This Row],[Profit]]&gt;0,"Profit","Loss")</f>
        <v>Profit</v>
      </c>
      <c r="L668" s="8">
        <f>SalesData[[#This Row],[Profit]]/SalesData[[#This Row],[Sales]]</f>
        <v>7.3220744583683467E-2</v>
      </c>
      <c r="M668" t="str">
        <f>TEXT(SalesData[[#This Row],[Order_Date]],"mmm")</f>
        <v>Apr</v>
      </c>
      <c r="N668">
        <f>YEAR(SalesData[[#This Row],[Order_Date]])</f>
        <v>2023</v>
      </c>
    </row>
    <row r="669" spans="1:14" x14ac:dyDescent="0.3">
      <c r="A669" t="s">
        <v>1523</v>
      </c>
      <c r="B669" s="1">
        <v>44703</v>
      </c>
      <c r="C669" t="s">
        <v>1405</v>
      </c>
      <c r="D669" t="s">
        <v>18</v>
      </c>
      <c r="E669" t="s">
        <v>13</v>
      </c>
      <c r="F669" t="s">
        <v>14</v>
      </c>
      <c r="G669" t="s">
        <v>444</v>
      </c>
      <c r="H669" s="8">
        <v>2947.05</v>
      </c>
      <c r="I669" s="8">
        <v>-850.56</v>
      </c>
      <c r="J669" s="8">
        <v>0.21</v>
      </c>
      <c r="K669" t="str">
        <f>IF(SalesData[[#This Row],[Profit]]&gt;0,"Profit","Loss")</f>
        <v>Loss</v>
      </c>
      <c r="L669" s="8">
        <f>SalesData[[#This Row],[Profit]]/SalesData[[#This Row],[Sales]]</f>
        <v>-0.28861403776658012</v>
      </c>
      <c r="M669" t="str">
        <f>TEXT(SalesData[[#This Row],[Order_Date]],"mmm")</f>
        <v>May</v>
      </c>
      <c r="N669">
        <f>YEAR(SalesData[[#This Row],[Order_Date]])</f>
        <v>2022</v>
      </c>
    </row>
    <row r="670" spans="1:14" x14ac:dyDescent="0.3">
      <c r="A670" t="s">
        <v>1524</v>
      </c>
      <c r="B670" s="1">
        <v>45132</v>
      </c>
      <c r="C670" t="s">
        <v>481</v>
      </c>
      <c r="D670" t="s">
        <v>12</v>
      </c>
      <c r="E670" t="s">
        <v>56</v>
      </c>
      <c r="F670" t="s">
        <v>73</v>
      </c>
      <c r="G670" t="s">
        <v>714</v>
      </c>
      <c r="H670" s="8">
        <v>4671.8500000000004</v>
      </c>
      <c r="I670" s="8">
        <v>-1352.51</v>
      </c>
      <c r="J670" s="8">
        <v>0.28000000000000003</v>
      </c>
      <c r="K670" t="str">
        <f>IF(SalesData[[#This Row],[Profit]]&gt;0,"Profit","Loss")</f>
        <v>Loss</v>
      </c>
      <c r="L670" s="8">
        <f>SalesData[[#This Row],[Profit]]/SalesData[[#This Row],[Sales]]</f>
        <v>-0.2895020174020998</v>
      </c>
      <c r="M670" t="str">
        <f>TEXT(SalesData[[#This Row],[Order_Date]],"mmm")</f>
        <v>Jul</v>
      </c>
      <c r="N670">
        <f>YEAR(SalesData[[#This Row],[Order_Date]])</f>
        <v>2023</v>
      </c>
    </row>
    <row r="671" spans="1:14" x14ac:dyDescent="0.3">
      <c r="A671" t="s">
        <v>1525</v>
      </c>
      <c r="B671" s="1">
        <v>44985</v>
      </c>
      <c r="C671" t="s">
        <v>1526</v>
      </c>
      <c r="D671" t="s">
        <v>40</v>
      </c>
      <c r="E671" t="s">
        <v>19</v>
      </c>
      <c r="F671" t="s">
        <v>20</v>
      </c>
      <c r="G671" t="s">
        <v>377</v>
      </c>
      <c r="H671" s="8">
        <v>3662.69</v>
      </c>
      <c r="I671" s="8">
        <v>359.23</v>
      </c>
      <c r="J671" s="8">
        <v>0.23</v>
      </c>
      <c r="K671" t="str">
        <f>IF(SalesData[[#This Row],[Profit]]&gt;0,"Profit","Loss")</f>
        <v>Profit</v>
      </c>
      <c r="L671" s="8">
        <f>SalesData[[#This Row],[Profit]]/SalesData[[#This Row],[Sales]]</f>
        <v>9.8078188435275715E-2</v>
      </c>
      <c r="M671" t="str">
        <f>TEXT(SalesData[[#This Row],[Order_Date]],"mmm")</f>
        <v>Feb</v>
      </c>
      <c r="N671">
        <f>YEAR(SalesData[[#This Row],[Order_Date]])</f>
        <v>2023</v>
      </c>
    </row>
    <row r="672" spans="1:14" x14ac:dyDescent="0.3">
      <c r="A672" t="s">
        <v>1527</v>
      </c>
      <c r="B672" s="1">
        <v>44671</v>
      </c>
      <c r="C672" t="s">
        <v>1528</v>
      </c>
      <c r="D672" t="s">
        <v>18</v>
      </c>
      <c r="E672" t="s">
        <v>13</v>
      </c>
      <c r="F672" t="s">
        <v>24</v>
      </c>
      <c r="G672" t="s">
        <v>1529</v>
      </c>
      <c r="H672" s="8">
        <v>4672.93</v>
      </c>
      <c r="I672" s="8">
        <v>876.01</v>
      </c>
      <c r="J672" s="8">
        <v>0.08</v>
      </c>
      <c r="K672" t="str">
        <f>IF(SalesData[[#This Row],[Profit]]&gt;0,"Profit","Loss")</f>
        <v>Profit</v>
      </c>
      <c r="L672" s="8">
        <f>SalesData[[#This Row],[Profit]]/SalesData[[#This Row],[Sales]]</f>
        <v>0.18746482399693554</v>
      </c>
      <c r="M672" t="str">
        <f>TEXT(SalesData[[#This Row],[Order_Date]],"mmm")</f>
        <v>Apr</v>
      </c>
      <c r="N672">
        <f>YEAR(SalesData[[#This Row],[Order_Date]])</f>
        <v>2022</v>
      </c>
    </row>
    <row r="673" spans="1:14" x14ac:dyDescent="0.3">
      <c r="A673" t="s">
        <v>1530</v>
      </c>
      <c r="B673" s="1">
        <v>44799</v>
      </c>
      <c r="C673" t="s">
        <v>799</v>
      </c>
      <c r="D673" t="s">
        <v>12</v>
      </c>
      <c r="E673" t="s">
        <v>13</v>
      </c>
      <c r="F673" t="s">
        <v>24</v>
      </c>
      <c r="G673" t="s">
        <v>1264</v>
      </c>
      <c r="H673" s="8">
        <v>1407.63</v>
      </c>
      <c r="I673" s="8">
        <v>-325.8</v>
      </c>
      <c r="J673" s="8">
        <v>0.17</v>
      </c>
      <c r="K673" t="str">
        <f>IF(SalesData[[#This Row],[Profit]]&gt;0,"Profit","Loss")</f>
        <v>Loss</v>
      </c>
      <c r="L673" s="8">
        <f>SalesData[[#This Row],[Profit]]/SalesData[[#This Row],[Sales]]</f>
        <v>-0.23145286758594233</v>
      </c>
      <c r="M673" t="str">
        <f>TEXT(SalesData[[#This Row],[Order_Date]],"mmm")</f>
        <v>Aug</v>
      </c>
      <c r="N673">
        <f>YEAR(SalesData[[#This Row],[Order_Date]])</f>
        <v>2022</v>
      </c>
    </row>
    <row r="674" spans="1:14" x14ac:dyDescent="0.3">
      <c r="A674" t="s">
        <v>1531</v>
      </c>
      <c r="B674" s="1">
        <v>45042</v>
      </c>
      <c r="C674" t="s">
        <v>1532</v>
      </c>
      <c r="D674" t="s">
        <v>40</v>
      </c>
      <c r="E674" t="s">
        <v>56</v>
      </c>
      <c r="F674" t="s">
        <v>73</v>
      </c>
      <c r="G674" t="s">
        <v>714</v>
      </c>
      <c r="H674" s="8">
        <v>3921.15</v>
      </c>
      <c r="I674" s="8">
        <v>1049.6199999999999</v>
      </c>
      <c r="J674" s="8">
        <v>0.04</v>
      </c>
      <c r="K674" t="str">
        <f>IF(SalesData[[#This Row],[Profit]]&gt;0,"Profit","Loss")</f>
        <v>Profit</v>
      </c>
      <c r="L674" s="8">
        <f>SalesData[[#This Row],[Profit]]/SalesData[[#This Row],[Sales]]</f>
        <v>0.26768167501880824</v>
      </c>
      <c r="M674" t="str">
        <f>TEXT(SalesData[[#This Row],[Order_Date]],"mmm")</f>
        <v>Apr</v>
      </c>
      <c r="N674">
        <f>YEAR(SalesData[[#This Row],[Order_Date]])</f>
        <v>2023</v>
      </c>
    </row>
    <row r="675" spans="1:14" x14ac:dyDescent="0.3">
      <c r="A675" t="s">
        <v>1533</v>
      </c>
      <c r="B675" s="1">
        <v>44980</v>
      </c>
      <c r="C675" t="s">
        <v>478</v>
      </c>
      <c r="D675" t="s">
        <v>12</v>
      </c>
      <c r="E675" t="s">
        <v>19</v>
      </c>
      <c r="F675" t="s">
        <v>29</v>
      </c>
      <c r="G675" t="s">
        <v>157</v>
      </c>
      <c r="H675" s="8">
        <v>2421.85</v>
      </c>
      <c r="I675" s="8">
        <v>-276.66000000000003</v>
      </c>
      <c r="J675" s="8">
        <v>0.05</v>
      </c>
      <c r="K675" t="str">
        <f>IF(SalesData[[#This Row],[Profit]]&gt;0,"Profit","Loss")</f>
        <v>Loss</v>
      </c>
      <c r="L675" s="8">
        <f>SalesData[[#This Row],[Profit]]/SalesData[[#This Row],[Sales]]</f>
        <v>-0.11423498565146481</v>
      </c>
      <c r="M675" t="str">
        <f>TEXT(SalesData[[#This Row],[Order_Date]],"mmm")</f>
        <v>Feb</v>
      </c>
      <c r="N675">
        <f>YEAR(SalesData[[#This Row],[Order_Date]])</f>
        <v>2023</v>
      </c>
    </row>
    <row r="676" spans="1:14" x14ac:dyDescent="0.3">
      <c r="A676" t="s">
        <v>1534</v>
      </c>
      <c r="B676" s="1">
        <v>44771</v>
      </c>
      <c r="C676" t="s">
        <v>49</v>
      </c>
      <c r="D676" t="s">
        <v>18</v>
      </c>
      <c r="E676" t="s">
        <v>19</v>
      </c>
      <c r="F676" t="s">
        <v>29</v>
      </c>
      <c r="G676" t="s">
        <v>1535</v>
      </c>
      <c r="H676" s="8">
        <v>1190.52</v>
      </c>
      <c r="I676" s="8">
        <v>-331.32</v>
      </c>
      <c r="J676" s="8">
        <v>0.2</v>
      </c>
      <c r="K676" t="str">
        <f>IF(SalesData[[#This Row],[Profit]]&gt;0,"Profit","Loss")</f>
        <v>Loss</v>
      </c>
      <c r="L676" s="8">
        <f>SalesData[[#This Row],[Profit]]/SalesData[[#This Row],[Sales]]</f>
        <v>-0.27829855861304303</v>
      </c>
      <c r="M676" t="str">
        <f>TEXT(SalesData[[#This Row],[Order_Date]],"mmm")</f>
        <v>Jul</v>
      </c>
      <c r="N676">
        <f>YEAR(SalesData[[#This Row],[Order_Date]])</f>
        <v>2022</v>
      </c>
    </row>
    <row r="677" spans="1:14" x14ac:dyDescent="0.3">
      <c r="A677" t="s">
        <v>1536</v>
      </c>
      <c r="B677" s="1">
        <v>44814</v>
      </c>
      <c r="C677" t="s">
        <v>1537</v>
      </c>
      <c r="D677" t="s">
        <v>28</v>
      </c>
      <c r="E677" t="s">
        <v>19</v>
      </c>
      <c r="F677" t="s">
        <v>141</v>
      </c>
      <c r="G677" t="s">
        <v>468</v>
      </c>
      <c r="H677" s="8">
        <v>2500.7199999999998</v>
      </c>
      <c r="I677" s="8">
        <v>-63.7</v>
      </c>
      <c r="J677" s="8">
        <v>0.1</v>
      </c>
      <c r="K677" t="str">
        <f>IF(SalesData[[#This Row],[Profit]]&gt;0,"Profit","Loss")</f>
        <v>Loss</v>
      </c>
      <c r="L677" s="8">
        <f>SalesData[[#This Row],[Profit]]/SalesData[[#This Row],[Sales]]</f>
        <v>-2.5472663872804637E-2</v>
      </c>
      <c r="M677" t="str">
        <f>TEXT(SalesData[[#This Row],[Order_Date]],"mmm")</f>
        <v>Sep</v>
      </c>
      <c r="N677">
        <f>YEAR(SalesData[[#This Row],[Order_Date]])</f>
        <v>2022</v>
      </c>
    </row>
    <row r="678" spans="1:14" x14ac:dyDescent="0.3">
      <c r="A678" t="s">
        <v>1538</v>
      </c>
      <c r="B678" s="1">
        <v>45188</v>
      </c>
      <c r="C678" t="s">
        <v>137</v>
      </c>
      <c r="D678" t="s">
        <v>12</v>
      </c>
      <c r="E678" t="s">
        <v>56</v>
      </c>
      <c r="F678" t="s">
        <v>73</v>
      </c>
      <c r="G678" t="s">
        <v>1539</v>
      </c>
      <c r="H678" s="8">
        <v>3703.13</v>
      </c>
      <c r="I678" s="8">
        <v>-452.75</v>
      </c>
      <c r="J678" s="8">
        <v>0.11</v>
      </c>
      <c r="K678" t="str">
        <f>IF(SalesData[[#This Row],[Profit]]&gt;0,"Profit","Loss")</f>
        <v>Loss</v>
      </c>
      <c r="L678" s="8">
        <f>SalesData[[#This Row],[Profit]]/SalesData[[#This Row],[Sales]]</f>
        <v>-0.12226143829679217</v>
      </c>
      <c r="M678" t="str">
        <f>TEXT(SalesData[[#This Row],[Order_Date]],"mmm")</f>
        <v>Sep</v>
      </c>
      <c r="N678">
        <f>YEAR(SalesData[[#This Row],[Order_Date]])</f>
        <v>2023</v>
      </c>
    </row>
    <row r="679" spans="1:14" x14ac:dyDescent="0.3">
      <c r="A679" t="s">
        <v>1540</v>
      </c>
      <c r="B679" s="1">
        <v>44813</v>
      </c>
      <c r="C679" t="s">
        <v>1541</v>
      </c>
      <c r="D679" t="s">
        <v>28</v>
      </c>
      <c r="E679" t="s">
        <v>56</v>
      </c>
      <c r="F679" t="s">
        <v>95</v>
      </c>
      <c r="G679" t="s">
        <v>853</v>
      </c>
      <c r="H679" s="8">
        <v>2338.81</v>
      </c>
      <c r="I679" s="8">
        <v>155.91999999999999</v>
      </c>
      <c r="J679" s="8">
        <v>0.26</v>
      </c>
      <c r="K679" t="str">
        <f>IF(SalesData[[#This Row],[Profit]]&gt;0,"Profit","Loss")</f>
        <v>Profit</v>
      </c>
      <c r="L679" s="8">
        <f>SalesData[[#This Row],[Profit]]/SalesData[[#This Row],[Sales]]</f>
        <v>6.6666381621422854E-2</v>
      </c>
      <c r="M679" t="str">
        <f>TEXT(SalesData[[#This Row],[Order_Date]],"mmm")</f>
        <v>Sep</v>
      </c>
      <c r="N679">
        <f>YEAR(SalesData[[#This Row],[Order_Date]])</f>
        <v>2022</v>
      </c>
    </row>
    <row r="680" spans="1:14" x14ac:dyDescent="0.3">
      <c r="A680" t="s">
        <v>1542</v>
      </c>
      <c r="B680" s="1">
        <v>44756</v>
      </c>
      <c r="C680" t="s">
        <v>560</v>
      </c>
      <c r="D680" t="s">
        <v>28</v>
      </c>
      <c r="E680" t="s">
        <v>56</v>
      </c>
      <c r="F680" t="s">
        <v>73</v>
      </c>
      <c r="G680" t="s">
        <v>1402</v>
      </c>
      <c r="H680" s="8">
        <v>1998.25</v>
      </c>
      <c r="I680" s="8">
        <v>294.85000000000002</v>
      </c>
      <c r="J680" s="8">
        <v>0.23</v>
      </c>
      <c r="K680" t="str">
        <f>IF(SalesData[[#This Row],[Profit]]&gt;0,"Profit","Loss")</f>
        <v>Profit</v>
      </c>
      <c r="L680" s="8">
        <f>SalesData[[#This Row],[Profit]]/SalesData[[#This Row],[Sales]]</f>
        <v>0.14755410984611536</v>
      </c>
      <c r="M680" t="str">
        <f>TEXT(SalesData[[#This Row],[Order_Date]],"mmm")</f>
        <v>Jul</v>
      </c>
      <c r="N680">
        <f>YEAR(SalesData[[#This Row],[Order_Date]])</f>
        <v>2022</v>
      </c>
    </row>
    <row r="681" spans="1:14" x14ac:dyDescent="0.3">
      <c r="A681" t="s">
        <v>1543</v>
      </c>
      <c r="B681" s="1">
        <v>44617</v>
      </c>
      <c r="C681" t="s">
        <v>588</v>
      </c>
      <c r="D681" t="s">
        <v>18</v>
      </c>
      <c r="E681" t="s">
        <v>19</v>
      </c>
      <c r="F681" t="s">
        <v>29</v>
      </c>
      <c r="G681" t="s">
        <v>1007</v>
      </c>
      <c r="H681" s="8">
        <v>2360.6</v>
      </c>
      <c r="I681" s="8">
        <v>89.42</v>
      </c>
      <c r="J681" s="8">
        <v>0.13</v>
      </c>
      <c r="K681" t="str">
        <f>IF(SalesData[[#This Row],[Profit]]&gt;0,"Profit","Loss")</f>
        <v>Profit</v>
      </c>
      <c r="L681" s="8">
        <f>SalesData[[#This Row],[Profit]]/SalesData[[#This Row],[Sales]]</f>
        <v>3.7880199949165472E-2</v>
      </c>
      <c r="M681" t="str">
        <f>TEXT(SalesData[[#This Row],[Order_Date]],"mmm")</f>
        <v>Feb</v>
      </c>
      <c r="N681">
        <f>YEAR(SalesData[[#This Row],[Order_Date]])</f>
        <v>2022</v>
      </c>
    </row>
    <row r="682" spans="1:14" x14ac:dyDescent="0.3">
      <c r="A682" t="s">
        <v>1544</v>
      </c>
      <c r="B682" s="1">
        <v>45161</v>
      </c>
      <c r="C682" t="s">
        <v>1545</v>
      </c>
      <c r="D682" t="s">
        <v>18</v>
      </c>
      <c r="E682" t="s">
        <v>13</v>
      </c>
      <c r="F682" t="s">
        <v>36</v>
      </c>
      <c r="G682" t="s">
        <v>1546</v>
      </c>
      <c r="H682" s="8">
        <v>543.16</v>
      </c>
      <c r="I682" s="8">
        <v>-131.52000000000001</v>
      </c>
      <c r="J682" s="8">
        <v>0.15</v>
      </c>
      <c r="K682" t="str">
        <f>IF(SalesData[[#This Row],[Profit]]&gt;0,"Profit","Loss")</f>
        <v>Loss</v>
      </c>
      <c r="L682" s="8">
        <f>SalesData[[#This Row],[Profit]]/SalesData[[#This Row],[Sales]]</f>
        <v>-0.24213859636202964</v>
      </c>
      <c r="M682" t="str">
        <f>TEXT(SalesData[[#This Row],[Order_Date]],"mmm")</f>
        <v>Aug</v>
      </c>
      <c r="N682">
        <f>YEAR(SalesData[[#This Row],[Order_Date]])</f>
        <v>2023</v>
      </c>
    </row>
    <row r="683" spans="1:14" x14ac:dyDescent="0.3">
      <c r="A683" t="s">
        <v>1547</v>
      </c>
      <c r="B683" s="1">
        <v>45291</v>
      </c>
      <c r="C683" t="s">
        <v>1548</v>
      </c>
      <c r="D683" t="s">
        <v>28</v>
      </c>
      <c r="E683" t="s">
        <v>19</v>
      </c>
      <c r="F683" t="s">
        <v>29</v>
      </c>
      <c r="G683" t="s">
        <v>392</v>
      </c>
      <c r="H683" s="8">
        <v>2309.34</v>
      </c>
      <c r="I683" s="8">
        <v>240.61</v>
      </c>
      <c r="J683" s="8">
        <v>0.05</v>
      </c>
      <c r="K683" t="str">
        <f>IF(SalesData[[#This Row],[Profit]]&gt;0,"Profit","Loss")</f>
        <v>Profit</v>
      </c>
      <c r="L683" s="8">
        <f>SalesData[[#This Row],[Profit]]/SalesData[[#This Row],[Sales]]</f>
        <v>0.10418994171494886</v>
      </c>
      <c r="M683" t="str">
        <f>TEXT(SalesData[[#This Row],[Order_Date]],"mmm")</f>
        <v>Dec</v>
      </c>
      <c r="N683">
        <f>YEAR(SalesData[[#This Row],[Order_Date]])</f>
        <v>2023</v>
      </c>
    </row>
    <row r="684" spans="1:14" x14ac:dyDescent="0.3">
      <c r="A684" t="s">
        <v>1549</v>
      </c>
      <c r="B684" s="1">
        <v>44688</v>
      </c>
      <c r="C684" t="s">
        <v>449</v>
      </c>
      <c r="D684" t="s">
        <v>12</v>
      </c>
      <c r="E684" t="s">
        <v>19</v>
      </c>
      <c r="F684" t="s">
        <v>29</v>
      </c>
      <c r="G684" t="s">
        <v>1550</v>
      </c>
      <c r="H684" s="8">
        <v>3489.42</v>
      </c>
      <c r="I684" s="8">
        <v>27.54</v>
      </c>
      <c r="J684" s="8">
        <v>0.27</v>
      </c>
      <c r="K684" t="str">
        <f>IF(SalesData[[#This Row],[Profit]]&gt;0,"Profit","Loss")</f>
        <v>Profit</v>
      </c>
      <c r="L684" s="8">
        <f>SalesData[[#This Row],[Profit]]/SalesData[[#This Row],[Sales]]</f>
        <v>7.8924291142940649E-3</v>
      </c>
      <c r="M684" t="str">
        <f>TEXT(SalesData[[#This Row],[Order_Date]],"mmm")</f>
        <v>May</v>
      </c>
      <c r="N684">
        <f>YEAR(SalesData[[#This Row],[Order_Date]])</f>
        <v>2022</v>
      </c>
    </row>
    <row r="685" spans="1:14" x14ac:dyDescent="0.3">
      <c r="A685" t="s">
        <v>1551</v>
      </c>
      <c r="B685" s="1">
        <v>45085</v>
      </c>
      <c r="C685" t="s">
        <v>1552</v>
      </c>
      <c r="D685" t="s">
        <v>18</v>
      </c>
      <c r="E685" t="s">
        <v>19</v>
      </c>
      <c r="F685" t="s">
        <v>141</v>
      </c>
      <c r="G685" t="s">
        <v>1553</v>
      </c>
      <c r="H685" s="8">
        <v>1878.42</v>
      </c>
      <c r="I685" s="8">
        <v>-243.34</v>
      </c>
      <c r="J685" s="8">
        <v>0.16</v>
      </c>
      <c r="K685" t="str">
        <f>IF(SalesData[[#This Row],[Profit]]&gt;0,"Profit","Loss")</f>
        <v>Loss</v>
      </c>
      <c r="L685" s="8">
        <f>SalesData[[#This Row],[Profit]]/SalesData[[#This Row],[Sales]]</f>
        <v>-0.1295450431745829</v>
      </c>
      <c r="M685" t="str">
        <f>TEXT(SalesData[[#This Row],[Order_Date]],"mmm")</f>
        <v>Jun</v>
      </c>
      <c r="N685">
        <f>YEAR(SalesData[[#This Row],[Order_Date]])</f>
        <v>2023</v>
      </c>
    </row>
    <row r="686" spans="1:14" x14ac:dyDescent="0.3">
      <c r="A686" t="s">
        <v>1554</v>
      </c>
      <c r="B686" s="1">
        <v>45237</v>
      </c>
      <c r="C686" t="s">
        <v>1098</v>
      </c>
      <c r="D686" t="s">
        <v>18</v>
      </c>
      <c r="E686" t="s">
        <v>13</v>
      </c>
      <c r="F686" t="s">
        <v>36</v>
      </c>
      <c r="G686" t="s">
        <v>925</v>
      </c>
      <c r="H686" s="8">
        <v>315.14</v>
      </c>
      <c r="I686" s="8">
        <v>-15.41</v>
      </c>
      <c r="J686" s="8">
        <v>0.05</v>
      </c>
      <c r="K686" t="str">
        <f>IF(SalesData[[#This Row],[Profit]]&gt;0,"Profit","Loss")</f>
        <v>Loss</v>
      </c>
      <c r="L686" s="8">
        <f>SalesData[[#This Row],[Profit]]/SalesData[[#This Row],[Sales]]</f>
        <v>-4.889890207526814E-2</v>
      </c>
      <c r="M686" t="str">
        <f>TEXT(SalesData[[#This Row],[Order_Date]],"mmm")</f>
        <v>Nov</v>
      </c>
      <c r="N686">
        <f>YEAR(SalesData[[#This Row],[Order_Date]])</f>
        <v>2023</v>
      </c>
    </row>
    <row r="687" spans="1:14" x14ac:dyDescent="0.3">
      <c r="A687" t="s">
        <v>1555</v>
      </c>
      <c r="B687" s="1">
        <v>45018</v>
      </c>
      <c r="C687" t="s">
        <v>296</v>
      </c>
      <c r="D687" t="s">
        <v>18</v>
      </c>
      <c r="E687" t="s">
        <v>56</v>
      </c>
      <c r="F687" t="s">
        <v>57</v>
      </c>
      <c r="G687" t="s">
        <v>747</v>
      </c>
      <c r="H687" s="8">
        <v>3868.87</v>
      </c>
      <c r="I687" s="8">
        <v>-136.04</v>
      </c>
      <c r="J687" s="8">
        <v>0.02</v>
      </c>
      <c r="K687" t="str">
        <f>IF(SalesData[[#This Row],[Profit]]&gt;0,"Profit","Loss")</f>
        <v>Loss</v>
      </c>
      <c r="L687" s="8">
        <f>SalesData[[#This Row],[Profit]]/SalesData[[#This Row],[Sales]]</f>
        <v>-3.5162721931726836E-2</v>
      </c>
      <c r="M687" t="str">
        <f>TEXT(SalesData[[#This Row],[Order_Date]],"mmm")</f>
        <v>Apr</v>
      </c>
      <c r="N687">
        <f>YEAR(SalesData[[#This Row],[Order_Date]])</f>
        <v>2023</v>
      </c>
    </row>
    <row r="688" spans="1:14" x14ac:dyDescent="0.3">
      <c r="A688" t="s">
        <v>1556</v>
      </c>
      <c r="B688" s="1">
        <v>45071</v>
      </c>
      <c r="C688" t="s">
        <v>643</v>
      </c>
      <c r="D688" t="s">
        <v>12</v>
      </c>
      <c r="E688" t="s">
        <v>56</v>
      </c>
      <c r="F688" t="s">
        <v>57</v>
      </c>
      <c r="G688" t="s">
        <v>44</v>
      </c>
      <c r="H688" s="8">
        <v>117.31</v>
      </c>
      <c r="I688" s="8">
        <v>-49.58</v>
      </c>
      <c r="J688" s="8">
        <v>0.23</v>
      </c>
      <c r="K688" t="str">
        <f>IF(SalesData[[#This Row],[Profit]]&gt;0,"Profit","Loss")</f>
        <v>Loss</v>
      </c>
      <c r="L688" s="8">
        <f>SalesData[[#This Row],[Profit]]/SalesData[[#This Row],[Sales]]</f>
        <v>-0.42264086608132295</v>
      </c>
      <c r="M688" t="str">
        <f>TEXT(SalesData[[#This Row],[Order_Date]],"mmm")</f>
        <v>May</v>
      </c>
      <c r="N688">
        <f>YEAR(SalesData[[#This Row],[Order_Date]])</f>
        <v>2023</v>
      </c>
    </row>
    <row r="689" spans="1:14" x14ac:dyDescent="0.3">
      <c r="A689" t="s">
        <v>1557</v>
      </c>
      <c r="B689" s="1">
        <v>45014</v>
      </c>
      <c r="C689" t="s">
        <v>1396</v>
      </c>
      <c r="D689" t="s">
        <v>12</v>
      </c>
      <c r="E689" t="s">
        <v>19</v>
      </c>
      <c r="F689" t="s">
        <v>20</v>
      </c>
      <c r="G689" t="s">
        <v>368</v>
      </c>
      <c r="H689" s="8">
        <v>1162.68</v>
      </c>
      <c r="I689" s="8">
        <v>-148.54</v>
      </c>
      <c r="J689" s="8">
        <v>0.2</v>
      </c>
      <c r="K689" t="str">
        <f>IF(SalesData[[#This Row],[Profit]]&gt;0,"Profit","Loss")</f>
        <v>Loss</v>
      </c>
      <c r="L689" s="8">
        <f>SalesData[[#This Row],[Profit]]/SalesData[[#This Row],[Sales]]</f>
        <v>-0.12775656242474281</v>
      </c>
      <c r="M689" t="str">
        <f>TEXT(SalesData[[#This Row],[Order_Date]],"mmm")</f>
        <v>Mar</v>
      </c>
      <c r="N689">
        <f>YEAR(SalesData[[#This Row],[Order_Date]])</f>
        <v>2023</v>
      </c>
    </row>
    <row r="690" spans="1:14" x14ac:dyDescent="0.3">
      <c r="A690" t="s">
        <v>1558</v>
      </c>
      <c r="B690" s="1">
        <v>44612</v>
      </c>
      <c r="C690" t="s">
        <v>1559</v>
      </c>
      <c r="D690" t="s">
        <v>18</v>
      </c>
      <c r="E690" t="s">
        <v>13</v>
      </c>
      <c r="F690" t="s">
        <v>36</v>
      </c>
      <c r="G690" t="s">
        <v>1560</v>
      </c>
      <c r="H690" s="8">
        <v>3136.85</v>
      </c>
      <c r="I690" s="8">
        <v>392.58</v>
      </c>
      <c r="J690" s="8">
        <v>0.17</v>
      </c>
      <c r="K690" t="str">
        <f>IF(SalesData[[#This Row],[Profit]]&gt;0,"Profit","Loss")</f>
        <v>Profit</v>
      </c>
      <c r="L690" s="8">
        <f>SalesData[[#This Row],[Profit]]/SalesData[[#This Row],[Sales]]</f>
        <v>0.12515102730446148</v>
      </c>
      <c r="M690" t="str">
        <f>TEXT(SalesData[[#This Row],[Order_Date]],"mmm")</f>
        <v>Feb</v>
      </c>
      <c r="N690">
        <f>YEAR(SalesData[[#This Row],[Order_Date]])</f>
        <v>2022</v>
      </c>
    </row>
    <row r="691" spans="1:14" x14ac:dyDescent="0.3">
      <c r="A691" t="s">
        <v>1561</v>
      </c>
      <c r="B691" s="1">
        <v>45179</v>
      </c>
      <c r="C691" t="s">
        <v>1562</v>
      </c>
      <c r="D691" t="s">
        <v>40</v>
      </c>
      <c r="E691" t="s">
        <v>13</v>
      </c>
      <c r="F691" t="s">
        <v>36</v>
      </c>
      <c r="G691" t="s">
        <v>1563</v>
      </c>
      <c r="H691" s="8">
        <v>279.93</v>
      </c>
      <c r="I691" s="8">
        <v>-16.739999999999998</v>
      </c>
      <c r="J691" s="8">
        <v>0.26</v>
      </c>
      <c r="K691" t="str">
        <f>IF(SalesData[[#This Row],[Profit]]&gt;0,"Profit","Loss")</f>
        <v>Loss</v>
      </c>
      <c r="L691" s="8">
        <f>SalesData[[#This Row],[Profit]]/SalesData[[#This Row],[Sales]]</f>
        <v>-5.9800664451827239E-2</v>
      </c>
      <c r="M691" t="str">
        <f>TEXT(SalesData[[#This Row],[Order_Date]],"mmm")</f>
        <v>Sep</v>
      </c>
      <c r="N691">
        <f>YEAR(SalesData[[#This Row],[Order_Date]])</f>
        <v>2023</v>
      </c>
    </row>
    <row r="692" spans="1:14" x14ac:dyDescent="0.3">
      <c r="A692" t="s">
        <v>1564</v>
      </c>
      <c r="B692" s="1">
        <v>44853</v>
      </c>
      <c r="C692" t="s">
        <v>536</v>
      </c>
      <c r="D692" t="s">
        <v>18</v>
      </c>
      <c r="E692" t="s">
        <v>56</v>
      </c>
      <c r="F692" t="s">
        <v>57</v>
      </c>
      <c r="G692" t="s">
        <v>1565</v>
      </c>
      <c r="H692" s="8">
        <v>633.54999999999995</v>
      </c>
      <c r="I692" s="8">
        <v>-255.45</v>
      </c>
      <c r="J692" s="8">
        <v>0.3</v>
      </c>
      <c r="K692" t="str">
        <f>IF(SalesData[[#This Row],[Profit]]&gt;0,"Profit","Loss")</f>
        <v>Loss</v>
      </c>
      <c r="L692" s="8">
        <f>SalesData[[#This Row],[Profit]]/SalesData[[#This Row],[Sales]]</f>
        <v>-0.40320416699550155</v>
      </c>
      <c r="M692" t="str">
        <f>TEXT(SalesData[[#This Row],[Order_Date]],"mmm")</f>
        <v>Oct</v>
      </c>
      <c r="N692">
        <f>YEAR(SalesData[[#This Row],[Order_Date]])</f>
        <v>2022</v>
      </c>
    </row>
    <row r="693" spans="1:14" x14ac:dyDescent="0.3">
      <c r="A693" t="s">
        <v>1566</v>
      </c>
      <c r="B693" s="1">
        <v>44868</v>
      </c>
      <c r="C693" t="s">
        <v>1433</v>
      </c>
      <c r="D693" t="s">
        <v>40</v>
      </c>
      <c r="E693" t="s">
        <v>19</v>
      </c>
      <c r="F693" t="s">
        <v>141</v>
      </c>
      <c r="G693" t="s">
        <v>951</v>
      </c>
      <c r="H693" s="8">
        <v>2936.93</v>
      </c>
      <c r="I693" s="8">
        <v>-1245.6199999999999</v>
      </c>
      <c r="J693" s="8">
        <v>0.28000000000000003</v>
      </c>
      <c r="K693" t="str">
        <f>IF(SalesData[[#This Row],[Profit]]&gt;0,"Profit","Loss")</f>
        <v>Loss</v>
      </c>
      <c r="L693" s="8">
        <f>SalesData[[#This Row],[Profit]]/SalesData[[#This Row],[Sales]]</f>
        <v>-0.42412314900252984</v>
      </c>
      <c r="M693" t="str">
        <f>TEXT(SalesData[[#This Row],[Order_Date]],"mmm")</f>
        <v>Nov</v>
      </c>
      <c r="N693">
        <f>YEAR(SalesData[[#This Row],[Order_Date]])</f>
        <v>2022</v>
      </c>
    </row>
    <row r="694" spans="1:14" x14ac:dyDescent="0.3">
      <c r="A694" t="s">
        <v>1567</v>
      </c>
      <c r="B694" s="1">
        <v>45044</v>
      </c>
      <c r="C694" t="s">
        <v>893</v>
      </c>
      <c r="D694" t="s">
        <v>12</v>
      </c>
      <c r="E694" t="s">
        <v>19</v>
      </c>
      <c r="F694" t="s">
        <v>20</v>
      </c>
      <c r="G694" t="s">
        <v>365</v>
      </c>
      <c r="H694" s="8">
        <v>3816.37</v>
      </c>
      <c r="I694" s="8">
        <v>-1568.7</v>
      </c>
      <c r="J694" s="8">
        <v>0.25</v>
      </c>
      <c r="K694" t="str">
        <f>IF(SalesData[[#This Row],[Profit]]&gt;0,"Profit","Loss")</f>
        <v>Loss</v>
      </c>
      <c r="L694" s="8">
        <f>SalesData[[#This Row],[Profit]]/SalesData[[#This Row],[Sales]]</f>
        <v>-0.41104505066332669</v>
      </c>
      <c r="M694" t="str">
        <f>TEXT(SalesData[[#This Row],[Order_Date]],"mmm")</f>
        <v>Apr</v>
      </c>
      <c r="N694">
        <f>YEAR(SalesData[[#This Row],[Order_Date]])</f>
        <v>2023</v>
      </c>
    </row>
    <row r="695" spans="1:14" x14ac:dyDescent="0.3">
      <c r="A695" t="s">
        <v>1568</v>
      </c>
      <c r="B695" s="1">
        <v>45188</v>
      </c>
      <c r="C695" t="s">
        <v>1032</v>
      </c>
      <c r="D695" t="s">
        <v>12</v>
      </c>
      <c r="E695" t="s">
        <v>19</v>
      </c>
      <c r="F695" t="s">
        <v>29</v>
      </c>
      <c r="G695" t="s">
        <v>840</v>
      </c>
      <c r="H695" s="8">
        <v>2682.56</v>
      </c>
      <c r="I695" s="8">
        <v>154.24</v>
      </c>
      <c r="J695" s="8">
        <v>0.16</v>
      </c>
      <c r="K695" t="str">
        <f>IF(SalesData[[#This Row],[Profit]]&gt;0,"Profit","Loss")</f>
        <v>Profit</v>
      </c>
      <c r="L695" s="8">
        <f>SalesData[[#This Row],[Profit]]/SalesData[[#This Row],[Sales]]</f>
        <v>5.7497315996659915E-2</v>
      </c>
      <c r="M695" t="str">
        <f>TEXT(SalesData[[#This Row],[Order_Date]],"mmm")</f>
        <v>Sep</v>
      </c>
      <c r="N695">
        <f>YEAR(SalesData[[#This Row],[Order_Date]])</f>
        <v>2023</v>
      </c>
    </row>
    <row r="696" spans="1:14" x14ac:dyDescent="0.3">
      <c r="A696" t="s">
        <v>1569</v>
      </c>
      <c r="B696" s="1">
        <v>45181</v>
      </c>
      <c r="C696" t="s">
        <v>1451</v>
      </c>
      <c r="D696" t="s">
        <v>40</v>
      </c>
      <c r="E696" t="s">
        <v>13</v>
      </c>
      <c r="F696" t="s">
        <v>24</v>
      </c>
      <c r="G696" t="s">
        <v>1570</v>
      </c>
      <c r="H696" s="8">
        <v>2691.84</v>
      </c>
      <c r="I696" s="8">
        <v>550.33000000000004</v>
      </c>
      <c r="J696" s="8">
        <v>0.03</v>
      </c>
      <c r="K696" t="str">
        <f>IF(SalesData[[#This Row],[Profit]]&gt;0,"Profit","Loss")</f>
        <v>Profit</v>
      </c>
      <c r="L696" s="8">
        <f>SalesData[[#This Row],[Profit]]/SalesData[[#This Row],[Sales]]</f>
        <v>0.2044438005230623</v>
      </c>
      <c r="M696" t="str">
        <f>TEXT(SalesData[[#This Row],[Order_Date]],"mmm")</f>
        <v>Sep</v>
      </c>
      <c r="N696">
        <f>YEAR(SalesData[[#This Row],[Order_Date]])</f>
        <v>2023</v>
      </c>
    </row>
    <row r="697" spans="1:14" x14ac:dyDescent="0.3">
      <c r="A697" t="s">
        <v>1571</v>
      </c>
      <c r="B697" s="1">
        <v>44694</v>
      </c>
      <c r="C697" t="s">
        <v>1328</v>
      </c>
      <c r="D697" t="s">
        <v>28</v>
      </c>
      <c r="E697" t="s">
        <v>13</v>
      </c>
      <c r="F697" t="s">
        <v>36</v>
      </c>
      <c r="G697" t="s">
        <v>1539</v>
      </c>
      <c r="H697" s="8">
        <v>1372.33</v>
      </c>
      <c r="I697" s="8">
        <v>5.42</v>
      </c>
      <c r="J697" s="8">
        <v>0.17</v>
      </c>
      <c r="K697" t="str">
        <f>IF(SalesData[[#This Row],[Profit]]&gt;0,"Profit","Loss")</f>
        <v>Profit</v>
      </c>
      <c r="L697" s="8">
        <f>SalesData[[#This Row],[Profit]]/SalesData[[#This Row],[Sales]]</f>
        <v>3.9494873681986111E-3</v>
      </c>
      <c r="M697" t="str">
        <f>TEXT(SalesData[[#This Row],[Order_Date]],"mmm")</f>
        <v>May</v>
      </c>
      <c r="N697">
        <f>YEAR(SalesData[[#This Row],[Order_Date]])</f>
        <v>2022</v>
      </c>
    </row>
    <row r="698" spans="1:14" x14ac:dyDescent="0.3">
      <c r="A698" t="s">
        <v>1572</v>
      </c>
      <c r="B698" s="1">
        <v>44800</v>
      </c>
      <c r="C698" t="s">
        <v>1573</v>
      </c>
      <c r="D698" t="s">
        <v>40</v>
      </c>
      <c r="E698" t="s">
        <v>13</v>
      </c>
      <c r="F698" t="s">
        <v>24</v>
      </c>
      <c r="G698" t="s">
        <v>1574</v>
      </c>
      <c r="H698" s="8">
        <v>2538.9299999999998</v>
      </c>
      <c r="I698" s="8">
        <v>229.01</v>
      </c>
      <c r="J698" s="8">
        <v>0.24</v>
      </c>
      <c r="K698" t="str">
        <f>IF(SalesData[[#This Row],[Profit]]&gt;0,"Profit","Loss")</f>
        <v>Profit</v>
      </c>
      <c r="L698" s="8">
        <f>SalesData[[#This Row],[Profit]]/SalesData[[#This Row],[Sales]]</f>
        <v>9.0199414714072459E-2</v>
      </c>
      <c r="M698" t="str">
        <f>TEXT(SalesData[[#This Row],[Order_Date]],"mmm")</f>
        <v>Aug</v>
      </c>
      <c r="N698">
        <f>YEAR(SalesData[[#This Row],[Order_Date]])</f>
        <v>2022</v>
      </c>
    </row>
    <row r="699" spans="1:14" x14ac:dyDescent="0.3">
      <c r="A699" t="s">
        <v>1575</v>
      </c>
      <c r="B699" s="1">
        <v>44774</v>
      </c>
      <c r="C699" t="s">
        <v>416</v>
      </c>
      <c r="D699" t="s">
        <v>28</v>
      </c>
      <c r="E699" t="s">
        <v>56</v>
      </c>
      <c r="F699" t="s">
        <v>57</v>
      </c>
      <c r="G699" t="s">
        <v>1220</v>
      </c>
      <c r="H699" s="8">
        <v>217.54</v>
      </c>
      <c r="I699" s="8">
        <v>-69.45</v>
      </c>
      <c r="J699" s="8">
        <v>0.19</v>
      </c>
      <c r="K699" t="str">
        <f>IF(SalesData[[#This Row],[Profit]]&gt;0,"Profit","Loss")</f>
        <v>Loss</v>
      </c>
      <c r="L699" s="8">
        <f>SalesData[[#This Row],[Profit]]/SalesData[[#This Row],[Sales]]</f>
        <v>-0.31925163188379152</v>
      </c>
      <c r="M699" t="str">
        <f>TEXT(SalesData[[#This Row],[Order_Date]],"mmm")</f>
        <v>Aug</v>
      </c>
      <c r="N699">
        <f>YEAR(SalesData[[#This Row],[Order_Date]])</f>
        <v>2022</v>
      </c>
    </row>
    <row r="700" spans="1:14" x14ac:dyDescent="0.3">
      <c r="A700" t="s">
        <v>1576</v>
      </c>
      <c r="B700" s="1">
        <v>45217</v>
      </c>
      <c r="C700" t="s">
        <v>1548</v>
      </c>
      <c r="D700" t="s">
        <v>40</v>
      </c>
      <c r="E700" t="s">
        <v>56</v>
      </c>
      <c r="F700" t="s">
        <v>95</v>
      </c>
      <c r="G700" t="s">
        <v>374</v>
      </c>
      <c r="H700" s="8">
        <v>1813.29</v>
      </c>
      <c r="I700" s="8">
        <v>-566.83000000000004</v>
      </c>
      <c r="J700" s="8">
        <v>0.24</v>
      </c>
      <c r="K700" t="str">
        <f>IF(SalesData[[#This Row],[Profit]]&gt;0,"Profit","Loss")</f>
        <v>Loss</v>
      </c>
      <c r="L700" s="8">
        <f>SalesData[[#This Row],[Profit]]/SalesData[[#This Row],[Sales]]</f>
        <v>-0.31259754369130149</v>
      </c>
      <c r="M700" t="str">
        <f>TEXT(SalesData[[#This Row],[Order_Date]],"mmm")</f>
        <v>Oct</v>
      </c>
      <c r="N700">
        <f>YEAR(SalesData[[#This Row],[Order_Date]])</f>
        <v>2023</v>
      </c>
    </row>
    <row r="701" spans="1:14" x14ac:dyDescent="0.3">
      <c r="A701" t="s">
        <v>1577</v>
      </c>
      <c r="B701" s="1">
        <v>44678</v>
      </c>
      <c r="C701" t="s">
        <v>1444</v>
      </c>
      <c r="D701" t="s">
        <v>40</v>
      </c>
      <c r="E701" t="s">
        <v>56</v>
      </c>
      <c r="F701" t="s">
        <v>95</v>
      </c>
      <c r="G701" t="s">
        <v>1578</v>
      </c>
      <c r="H701" s="8">
        <v>1571.39</v>
      </c>
      <c r="I701" s="8">
        <v>157.47999999999999</v>
      </c>
      <c r="J701" s="8">
        <v>0.16</v>
      </c>
      <c r="K701" t="str">
        <f>IF(SalesData[[#This Row],[Profit]]&gt;0,"Profit","Loss")</f>
        <v>Profit</v>
      </c>
      <c r="L701" s="8">
        <f>SalesData[[#This Row],[Profit]]/SalesData[[#This Row],[Sales]]</f>
        <v>0.10021700532649437</v>
      </c>
      <c r="M701" t="str">
        <f>TEXT(SalesData[[#This Row],[Order_Date]],"mmm")</f>
        <v>Apr</v>
      </c>
      <c r="N701">
        <f>YEAR(SalesData[[#This Row],[Order_Date]])</f>
        <v>2022</v>
      </c>
    </row>
    <row r="702" spans="1:14" x14ac:dyDescent="0.3">
      <c r="A702" t="s">
        <v>1579</v>
      </c>
      <c r="B702" s="1">
        <v>44760</v>
      </c>
      <c r="C702" t="s">
        <v>91</v>
      </c>
      <c r="D702" t="s">
        <v>40</v>
      </c>
      <c r="E702" t="s">
        <v>19</v>
      </c>
      <c r="F702" t="s">
        <v>141</v>
      </c>
      <c r="G702" t="s">
        <v>774</v>
      </c>
      <c r="H702" s="8">
        <v>2887.72</v>
      </c>
      <c r="I702" s="8">
        <v>26.64</v>
      </c>
      <c r="J702" s="8">
        <v>0.28999999999999998</v>
      </c>
      <c r="K702" t="str">
        <f>IF(SalesData[[#This Row],[Profit]]&gt;0,"Profit","Loss")</f>
        <v>Profit</v>
      </c>
      <c r="L702" s="8">
        <f>SalesData[[#This Row],[Profit]]/SalesData[[#This Row],[Sales]]</f>
        <v>9.2252711481722611E-3</v>
      </c>
      <c r="M702" t="str">
        <f>TEXT(SalesData[[#This Row],[Order_Date]],"mmm")</f>
        <v>Jul</v>
      </c>
      <c r="N702">
        <f>YEAR(SalesData[[#This Row],[Order_Date]])</f>
        <v>2022</v>
      </c>
    </row>
    <row r="703" spans="1:14" x14ac:dyDescent="0.3">
      <c r="A703" t="s">
        <v>1580</v>
      </c>
      <c r="B703" s="1">
        <v>45055</v>
      </c>
      <c r="C703" t="s">
        <v>1581</v>
      </c>
      <c r="D703" t="s">
        <v>28</v>
      </c>
      <c r="E703" t="s">
        <v>13</v>
      </c>
      <c r="F703" t="s">
        <v>36</v>
      </c>
      <c r="G703" t="s">
        <v>1287</v>
      </c>
      <c r="H703" s="8">
        <v>4589.2</v>
      </c>
      <c r="I703" s="8">
        <v>-241.43</v>
      </c>
      <c r="J703" s="8">
        <v>0.24</v>
      </c>
      <c r="K703" t="str">
        <f>IF(SalesData[[#This Row],[Profit]]&gt;0,"Profit","Loss")</f>
        <v>Loss</v>
      </c>
      <c r="L703" s="8">
        <f>SalesData[[#This Row],[Profit]]/SalesData[[#This Row],[Sales]]</f>
        <v>-5.2608297742525935E-2</v>
      </c>
      <c r="M703" t="str">
        <f>TEXT(SalesData[[#This Row],[Order_Date]],"mmm")</f>
        <v>May</v>
      </c>
      <c r="N703">
        <f>YEAR(SalesData[[#This Row],[Order_Date]])</f>
        <v>2023</v>
      </c>
    </row>
    <row r="704" spans="1:14" x14ac:dyDescent="0.3">
      <c r="A704" t="s">
        <v>1582</v>
      </c>
      <c r="B704" s="1">
        <v>44619</v>
      </c>
      <c r="C704" t="s">
        <v>1583</v>
      </c>
      <c r="D704" t="s">
        <v>40</v>
      </c>
      <c r="E704" t="s">
        <v>13</v>
      </c>
      <c r="F704" t="s">
        <v>36</v>
      </c>
      <c r="G704" t="s">
        <v>930</v>
      </c>
      <c r="H704" s="8">
        <v>2366.1</v>
      </c>
      <c r="I704" s="8">
        <v>276.06</v>
      </c>
      <c r="J704" s="8">
        <v>0.24</v>
      </c>
      <c r="K704" t="str">
        <f>IF(SalesData[[#This Row],[Profit]]&gt;0,"Profit","Loss")</f>
        <v>Profit</v>
      </c>
      <c r="L704" s="8">
        <f>SalesData[[#This Row],[Profit]]/SalesData[[#This Row],[Sales]]</f>
        <v>0.11667300621275517</v>
      </c>
      <c r="M704" t="str">
        <f>TEXT(SalesData[[#This Row],[Order_Date]],"mmm")</f>
        <v>Feb</v>
      </c>
      <c r="N704">
        <f>YEAR(SalesData[[#This Row],[Order_Date]])</f>
        <v>2022</v>
      </c>
    </row>
    <row r="705" spans="1:14" x14ac:dyDescent="0.3">
      <c r="A705" t="s">
        <v>1584</v>
      </c>
      <c r="B705" s="1">
        <v>45263</v>
      </c>
      <c r="C705" t="s">
        <v>1055</v>
      </c>
      <c r="D705" t="s">
        <v>40</v>
      </c>
      <c r="E705" t="s">
        <v>13</v>
      </c>
      <c r="F705" t="s">
        <v>24</v>
      </c>
      <c r="G705" t="s">
        <v>520</v>
      </c>
      <c r="H705" s="8">
        <v>1645.96</v>
      </c>
      <c r="I705" s="8">
        <v>-386.87</v>
      </c>
      <c r="J705" s="8">
        <v>0.16</v>
      </c>
      <c r="K705" t="str">
        <f>IF(SalesData[[#This Row],[Profit]]&gt;0,"Profit","Loss")</f>
        <v>Loss</v>
      </c>
      <c r="L705" s="8">
        <f>SalesData[[#This Row],[Profit]]/SalesData[[#This Row],[Sales]]</f>
        <v>-0.23504216384359281</v>
      </c>
      <c r="M705" t="str">
        <f>TEXT(SalesData[[#This Row],[Order_Date]],"mmm")</f>
        <v>Dec</v>
      </c>
      <c r="N705">
        <f>YEAR(SalesData[[#This Row],[Order_Date]])</f>
        <v>2023</v>
      </c>
    </row>
    <row r="706" spans="1:14" x14ac:dyDescent="0.3">
      <c r="A706" t="s">
        <v>1585</v>
      </c>
      <c r="B706" s="1">
        <v>45109</v>
      </c>
      <c r="C706" t="s">
        <v>937</v>
      </c>
      <c r="D706" t="s">
        <v>28</v>
      </c>
      <c r="E706" t="s">
        <v>56</v>
      </c>
      <c r="F706" t="s">
        <v>95</v>
      </c>
      <c r="G706" t="s">
        <v>828</v>
      </c>
      <c r="H706" s="8">
        <v>4219.62</v>
      </c>
      <c r="I706" s="8">
        <v>-315.86</v>
      </c>
      <c r="J706" s="8">
        <v>0.1</v>
      </c>
      <c r="K706" t="str">
        <f>IF(SalesData[[#This Row],[Profit]]&gt;0,"Profit","Loss")</f>
        <v>Loss</v>
      </c>
      <c r="L706" s="8">
        <f>SalesData[[#This Row],[Profit]]/SalesData[[#This Row],[Sales]]</f>
        <v>-7.4855081737218054E-2</v>
      </c>
      <c r="M706" t="str">
        <f>TEXT(SalesData[[#This Row],[Order_Date]],"mmm")</f>
        <v>Jul</v>
      </c>
      <c r="N706">
        <f>YEAR(SalesData[[#This Row],[Order_Date]])</f>
        <v>2023</v>
      </c>
    </row>
    <row r="707" spans="1:14" x14ac:dyDescent="0.3">
      <c r="A707" t="s">
        <v>1586</v>
      </c>
      <c r="B707" s="1">
        <v>44884</v>
      </c>
      <c r="C707" t="s">
        <v>330</v>
      </c>
      <c r="D707" t="s">
        <v>12</v>
      </c>
      <c r="E707" t="s">
        <v>13</v>
      </c>
      <c r="F707" t="s">
        <v>14</v>
      </c>
      <c r="G707" t="s">
        <v>138</v>
      </c>
      <c r="H707" s="8">
        <v>4336.51</v>
      </c>
      <c r="I707" s="8">
        <v>-29.66</v>
      </c>
      <c r="J707" s="8">
        <v>0.23</v>
      </c>
      <c r="K707" t="str">
        <f>IF(SalesData[[#This Row],[Profit]]&gt;0,"Profit","Loss")</f>
        <v>Loss</v>
      </c>
      <c r="L707" s="8">
        <f>SalesData[[#This Row],[Profit]]/SalesData[[#This Row],[Sales]]</f>
        <v>-6.8396014306435354E-3</v>
      </c>
      <c r="M707" t="str">
        <f>TEXT(SalesData[[#This Row],[Order_Date]],"mmm")</f>
        <v>Nov</v>
      </c>
      <c r="N707">
        <f>YEAR(SalesData[[#This Row],[Order_Date]])</f>
        <v>2022</v>
      </c>
    </row>
    <row r="708" spans="1:14" x14ac:dyDescent="0.3">
      <c r="A708" t="s">
        <v>1587</v>
      </c>
      <c r="B708" s="1">
        <v>44871</v>
      </c>
      <c r="C708" t="s">
        <v>425</v>
      </c>
      <c r="D708" t="s">
        <v>40</v>
      </c>
      <c r="E708" t="s">
        <v>19</v>
      </c>
      <c r="F708" t="s">
        <v>20</v>
      </c>
      <c r="G708" t="s">
        <v>711</v>
      </c>
      <c r="H708" s="8">
        <v>2535.5700000000002</v>
      </c>
      <c r="I708" s="8">
        <v>2.9</v>
      </c>
      <c r="J708" s="8">
        <v>7.0000000000000007E-2</v>
      </c>
      <c r="K708" t="str">
        <f>IF(SalesData[[#This Row],[Profit]]&gt;0,"Profit","Loss")</f>
        <v>Profit</v>
      </c>
      <c r="L708" s="8">
        <f>SalesData[[#This Row],[Profit]]/SalesData[[#This Row],[Sales]]</f>
        <v>1.1437270515111001E-3</v>
      </c>
      <c r="M708" t="str">
        <f>TEXT(SalesData[[#This Row],[Order_Date]],"mmm")</f>
        <v>Nov</v>
      </c>
      <c r="N708">
        <f>YEAR(SalesData[[#This Row],[Order_Date]])</f>
        <v>2022</v>
      </c>
    </row>
    <row r="709" spans="1:14" x14ac:dyDescent="0.3">
      <c r="A709" t="s">
        <v>1588</v>
      </c>
      <c r="B709" s="1">
        <v>45016</v>
      </c>
      <c r="C709" t="s">
        <v>1589</v>
      </c>
      <c r="D709" t="s">
        <v>12</v>
      </c>
      <c r="E709" t="s">
        <v>56</v>
      </c>
      <c r="F709" t="s">
        <v>95</v>
      </c>
      <c r="G709" t="s">
        <v>102</v>
      </c>
      <c r="H709" s="8">
        <v>3946.23</v>
      </c>
      <c r="I709" s="8">
        <v>465.7</v>
      </c>
      <c r="J709" s="8">
        <v>0.23</v>
      </c>
      <c r="K709" t="str">
        <f>IF(SalesData[[#This Row],[Profit]]&gt;0,"Profit","Loss")</f>
        <v>Profit</v>
      </c>
      <c r="L709" s="8">
        <f>SalesData[[#This Row],[Profit]]/SalesData[[#This Row],[Sales]]</f>
        <v>0.11801136781181025</v>
      </c>
      <c r="M709" t="str">
        <f>TEXT(SalesData[[#This Row],[Order_Date]],"mmm")</f>
        <v>Mar</v>
      </c>
      <c r="N709">
        <f>YEAR(SalesData[[#This Row],[Order_Date]])</f>
        <v>2023</v>
      </c>
    </row>
    <row r="710" spans="1:14" x14ac:dyDescent="0.3">
      <c r="A710" t="s">
        <v>1590</v>
      </c>
      <c r="B710" s="1">
        <v>45098</v>
      </c>
      <c r="C710" t="s">
        <v>1591</v>
      </c>
      <c r="D710" t="s">
        <v>40</v>
      </c>
      <c r="E710" t="s">
        <v>19</v>
      </c>
      <c r="F710" t="s">
        <v>141</v>
      </c>
      <c r="G710" t="s">
        <v>1592</v>
      </c>
      <c r="H710" s="8">
        <v>854.98</v>
      </c>
      <c r="I710" s="8">
        <v>-8.48</v>
      </c>
      <c r="J710" s="8">
        <v>0.1</v>
      </c>
      <c r="K710" t="str">
        <f>IF(SalesData[[#This Row],[Profit]]&gt;0,"Profit","Loss")</f>
        <v>Loss</v>
      </c>
      <c r="L710" s="8">
        <f>SalesData[[#This Row],[Profit]]/SalesData[[#This Row],[Sales]]</f>
        <v>-9.9183606634073319E-3</v>
      </c>
      <c r="M710" t="str">
        <f>TEXT(SalesData[[#This Row],[Order_Date]],"mmm")</f>
        <v>Jun</v>
      </c>
      <c r="N710">
        <f>YEAR(SalesData[[#This Row],[Order_Date]])</f>
        <v>2023</v>
      </c>
    </row>
    <row r="711" spans="1:14" x14ac:dyDescent="0.3">
      <c r="A711" t="s">
        <v>1593</v>
      </c>
      <c r="B711" s="1">
        <v>45032</v>
      </c>
      <c r="C711" t="s">
        <v>1594</v>
      </c>
      <c r="D711" t="s">
        <v>12</v>
      </c>
      <c r="E711" t="s">
        <v>56</v>
      </c>
      <c r="F711" t="s">
        <v>73</v>
      </c>
      <c r="G711" t="s">
        <v>1150</v>
      </c>
      <c r="H711" s="8">
        <v>3415.91</v>
      </c>
      <c r="I711" s="8">
        <v>665.22</v>
      </c>
      <c r="J711" s="8">
        <v>0.04</v>
      </c>
      <c r="K711" t="str">
        <f>IF(SalesData[[#This Row],[Profit]]&gt;0,"Profit","Loss")</f>
        <v>Profit</v>
      </c>
      <c r="L711" s="8">
        <f>SalesData[[#This Row],[Profit]]/SalesData[[#This Row],[Sales]]</f>
        <v>0.1947416647394106</v>
      </c>
      <c r="M711" t="str">
        <f>TEXT(SalesData[[#This Row],[Order_Date]],"mmm")</f>
        <v>Apr</v>
      </c>
      <c r="N711">
        <f>YEAR(SalesData[[#This Row],[Order_Date]])</f>
        <v>2023</v>
      </c>
    </row>
    <row r="712" spans="1:14" x14ac:dyDescent="0.3">
      <c r="A712" t="s">
        <v>1595</v>
      </c>
      <c r="B712" s="1">
        <v>45040</v>
      </c>
      <c r="C712" t="s">
        <v>1302</v>
      </c>
      <c r="D712" t="s">
        <v>12</v>
      </c>
      <c r="E712" t="s">
        <v>19</v>
      </c>
      <c r="F712" t="s">
        <v>20</v>
      </c>
      <c r="G712" t="s">
        <v>1539</v>
      </c>
      <c r="H712" s="8">
        <v>3466.56</v>
      </c>
      <c r="I712" s="8">
        <v>-1136.18</v>
      </c>
      <c r="J712" s="8">
        <v>0.18</v>
      </c>
      <c r="K712" t="str">
        <f>IF(SalesData[[#This Row],[Profit]]&gt;0,"Profit","Loss")</f>
        <v>Loss</v>
      </c>
      <c r="L712" s="8">
        <f>SalesData[[#This Row],[Profit]]/SalesData[[#This Row],[Sales]]</f>
        <v>-0.32775431551740059</v>
      </c>
      <c r="M712" t="str">
        <f>TEXT(SalesData[[#This Row],[Order_Date]],"mmm")</f>
        <v>Apr</v>
      </c>
      <c r="N712">
        <f>YEAR(SalesData[[#This Row],[Order_Date]])</f>
        <v>2023</v>
      </c>
    </row>
    <row r="713" spans="1:14" x14ac:dyDescent="0.3">
      <c r="A713" t="s">
        <v>1596</v>
      </c>
      <c r="B713" s="1">
        <v>44776</v>
      </c>
      <c r="C713" t="s">
        <v>586</v>
      </c>
      <c r="D713" t="s">
        <v>18</v>
      </c>
      <c r="E713" t="s">
        <v>13</v>
      </c>
      <c r="F713" t="s">
        <v>24</v>
      </c>
      <c r="G713" t="s">
        <v>531</v>
      </c>
      <c r="H713" s="8">
        <v>1631.16</v>
      </c>
      <c r="I713" s="8">
        <v>-298.04000000000002</v>
      </c>
      <c r="J713" s="8">
        <v>0.17</v>
      </c>
      <c r="K713" t="str">
        <f>IF(SalesData[[#This Row],[Profit]]&gt;0,"Profit","Loss")</f>
        <v>Loss</v>
      </c>
      <c r="L713" s="8">
        <f>SalesData[[#This Row],[Profit]]/SalesData[[#This Row],[Sales]]</f>
        <v>-0.18271659432551068</v>
      </c>
      <c r="M713" t="str">
        <f>TEXT(SalesData[[#This Row],[Order_Date]],"mmm")</f>
        <v>Aug</v>
      </c>
      <c r="N713">
        <f>YEAR(SalesData[[#This Row],[Order_Date]])</f>
        <v>2022</v>
      </c>
    </row>
    <row r="714" spans="1:14" x14ac:dyDescent="0.3">
      <c r="A714" t="s">
        <v>1597</v>
      </c>
      <c r="B714" s="1">
        <v>44841</v>
      </c>
      <c r="C714" t="s">
        <v>284</v>
      </c>
      <c r="D714" t="s">
        <v>18</v>
      </c>
      <c r="E714" t="s">
        <v>19</v>
      </c>
      <c r="F714" t="s">
        <v>29</v>
      </c>
      <c r="G714" t="s">
        <v>211</v>
      </c>
      <c r="H714" s="8">
        <v>2708.15</v>
      </c>
      <c r="I714" s="8">
        <v>-74</v>
      </c>
      <c r="J714" s="8">
        <v>0.23</v>
      </c>
      <c r="K714" t="str">
        <f>IF(SalesData[[#This Row],[Profit]]&gt;0,"Profit","Loss")</f>
        <v>Loss</v>
      </c>
      <c r="L714" s="8">
        <f>SalesData[[#This Row],[Profit]]/SalesData[[#This Row],[Sales]]</f>
        <v>-2.7324926610416703E-2</v>
      </c>
      <c r="M714" t="str">
        <f>TEXT(SalesData[[#This Row],[Order_Date]],"mmm")</f>
        <v>Oct</v>
      </c>
      <c r="N714">
        <f>YEAR(SalesData[[#This Row],[Order_Date]])</f>
        <v>2022</v>
      </c>
    </row>
    <row r="715" spans="1:14" x14ac:dyDescent="0.3">
      <c r="A715" t="s">
        <v>1598</v>
      </c>
      <c r="B715" s="1">
        <v>45117</v>
      </c>
      <c r="C715" t="s">
        <v>456</v>
      </c>
      <c r="D715" t="s">
        <v>40</v>
      </c>
      <c r="E715" t="s">
        <v>56</v>
      </c>
      <c r="F715" t="s">
        <v>57</v>
      </c>
      <c r="G715" t="s">
        <v>1599</v>
      </c>
      <c r="H715" s="8">
        <v>4795.66</v>
      </c>
      <c r="I715" s="8">
        <v>-1479.82</v>
      </c>
      <c r="J715" s="8">
        <v>0.17</v>
      </c>
      <c r="K715" t="str">
        <f>IF(SalesData[[#This Row],[Profit]]&gt;0,"Profit","Loss")</f>
        <v>Loss</v>
      </c>
      <c r="L715" s="8">
        <f>SalesData[[#This Row],[Profit]]/SalesData[[#This Row],[Sales]]</f>
        <v>-0.30857483641459155</v>
      </c>
      <c r="M715" t="str">
        <f>TEXT(SalesData[[#This Row],[Order_Date]],"mmm")</f>
        <v>Jul</v>
      </c>
      <c r="N715">
        <f>YEAR(SalesData[[#This Row],[Order_Date]])</f>
        <v>2023</v>
      </c>
    </row>
    <row r="716" spans="1:14" x14ac:dyDescent="0.3">
      <c r="A716" t="s">
        <v>1600</v>
      </c>
      <c r="B716" s="1">
        <v>44880</v>
      </c>
      <c r="C716" t="s">
        <v>1601</v>
      </c>
      <c r="D716" t="s">
        <v>40</v>
      </c>
      <c r="E716" t="s">
        <v>56</v>
      </c>
      <c r="F716" t="s">
        <v>73</v>
      </c>
      <c r="G716" t="s">
        <v>74</v>
      </c>
      <c r="H716" s="8">
        <v>4039.61</v>
      </c>
      <c r="I716" s="8">
        <v>-1079.53</v>
      </c>
      <c r="J716" s="8">
        <v>0.17</v>
      </c>
      <c r="K716" t="str">
        <f>IF(SalesData[[#This Row],[Profit]]&gt;0,"Profit","Loss")</f>
        <v>Loss</v>
      </c>
      <c r="L716" s="8">
        <f>SalesData[[#This Row],[Profit]]/SalesData[[#This Row],[Sales]]</f>
        <v>-0.26723619359294581</v>
      </c>
      <c r="M716" t="str">
        <f>TEXT(SalesData[[#This Row],[Order_Date]],"mmm")</f>
        <v>Nov</v>
      </c>
      <c r="N716">
        <f>YEAR(SalesData[[#This Row],[Order_Date]])</f>
        <v>2022</v>
      </c>
    </row>
    <row r="717" spans="1:14" x14ac:dyDescent="0.3">
      <c r="A717" t="s">
        <v>1602</v>
      </c>
      <c r="B717" s="1">
        <v>44670</v>
      </c>
      <c r="C717" t="s">
        <v>1603</v>
      </c>
      <c r="D717" t="s">
        <v>12</v>
      </c>
      <c r="E717" t="s">
        <v>19</v>
      </c>
      <c r="F717" t="s">
        <v>20</v>
      </c>
      <c r="G717" t="s">
        <v>1027</v>
      </c>
      <c r="H717" s="8">
        <v>737.36</v>
      </c>
      <c r="I717" s="8">
        <v>48.15</v>
      </c>
      <c r="J717" s="8">
        <v>0.14000000000000001</v>
      </c>
      <c r="K717" t="str">
        <f>IF(SalesData[[#This Row],[Profit]]&gt;0,"Profit","Loss")</f>
        <v>Profit</v>
      </c>
      <c r="L717" s="8">
        <f>SalesData[[#This Row],[Profit]]/SalesData[[#This Row],[Sales]]</f>
        <v>6.5300531626342626E-2</v>
      </c>
      <c r="M717" t="str">
        <f>TEXT(SalesData[[#This Row],[Order_Date]],"mmm")</f>
        <v>Apr</v>
      </c>
      <c r="N717">
        <f>YEAR(SalesData[[#This Row],[Order_Date]])</f>
        <v>2022</v>
      </c>
    </row>
    <row r="718" spans="1:14" x14ac:dyDescent="0.3">
      <c r="A718" t="s">
        <v>1604</v>
      </c>
      <c r="B718" s="1">
        <v>45268</v>
      </c>
      <c r="C718" t="s">
        <v>1605</v>
      </c>
      <c r="D718" t="s">
        <v>28</v>
      </c>
      <c r="E718" t="s">
        <v>19</v>
      </c>
      <c r="F718" t="s">
        <v>29</v>
      </c>
      <c r="G718" t="s">
        <v>254</v>
      </c>
      <c r="H718" s="8">
        <v>977.02</v>
      </c>
      <c r="I718" s="8">
        <v>-23.79</v>
      </c>
      <c r="J718" s="8">
        <v>0.18</v>
      </c>
      <c r="K718" t="str">
        <f>IF(SalesData[[#This Row],[Profit]]&gt;0,"Profit","Loss")</f>
        <v>Loss</v>
      </c>
      <c r="L718" s="8">
        <f>SalesData[[#This Row],[Profit]]/SalesData[[#This Row],[Sales]]</f>
        <v>-2.4349552721541011E-2</v>
      </c>
      <c r="M718" t="str">
        <f>TEXT(SalesData[[#This Row],[Order_Date]],"mmm")</f>
        <v>Dec</v>
      </c>
      <c r="N718">
        <f>YEAR(SalesData[[#This Row],[Order_Date]])</f>
        <v>2023</v>
      </c>
    </row>
    <row r="719" spans="1:14" x14ac:dyDescent="0.3">
      <c r="A719" t="s">
        <v>1606</v>
      </c>
      <c r="B719" s="1">
        <v>45108</v>
      </c>
      <c r="C719" t="s">
        <v>1607</v>
      </c>
      <c r="D719" t="s">
        <v>28</v>
      </c>
      <c r="E719" t="s">
        <v>19</v>
      </c>
      <c r="F719" t="s">
        <v>29</v>
      </c>
      <c r="G719" t="s">
        <v>1099</v>
      </c>
      <c r="H719" s="8">
        <v>1728.43</v>
      </c>
      <c r="I719" s="8">
        <v>337.12</v>
      </c>
      <c r="J719" s="8">
        <v>0.06</v>
      </c>
      <c r="K719" t="str">
        <f>IF(SalesData[[#This Row],[Profit]]&gt;0,"Profit","Loss")</f>
        <v>Profit</v>
      </c>
      <c r="L719" s="8">
        <f>SalesData[[#This Row],[Profit]]/SalesData[[#This Row],[Sales]]</f>
        <v>0.19504405732369839</v>
      </c>
      <c r="M719" t="str">
        <f>TEXT(SalesData[[#This Row],[Order_Date]],"mmm")</f>
        <v>Jul</v>
      </c>
      <c r="N719">
        <f>YEAR(SalesData[[#This Row],[Order_Date]])</f>
        <v>2023</v>
      </c>
    </row>
    <row r="720" spans="1:14" x14ac:dyDescent="0.3">
      <c r="A720" t="s">
        <v>1608</v>
      </c>
      <c r="B720" s="1">
        <v>45028</v>
      </c>
      <c r="C720" t="s">
        <v>1591</v>
      </c>
      <c r="D720" t="s">
        <v>28</v>
      </c>
      <c r="E720" t="s">
        <v>56</v>
      </c>
      <c r="F720" t="s">
        <v>57</v>
      </c>
      <c r="G720" t="s">
        <v>233</v>
      </c>
      <c r="H720" s="8">
        <v>4082.97</v>
      </c>
      <c r="I720" s="8">
        <v>-812.65</v>
      </c>
      <c r="J720" s="8">
        <v>0.28000000000000003</v>
      </c>
      <c r="K720" t="str">
        <f>IF(SalesData[[#This Row],[Profit]]&gt;0,"Profit","Loss")</f>
        <v>Loss</v>
      </c>
      <c r="L720" s="8">
        <f>SalesData[[#This Row],[Profit]]/SalesData[[#This Row],[Sales]]</f>
        <v>-0.19903403649794146</v>
      </c>
      <c r="M720" t="str">
        <f>TEXT(SalesData[[#This Row],[Order_Date]],"mmm")</f>
        <v>Apr</v>
      </c>
      <c r="N720">
        <f>YEAR(SalesData[[#This Row],[Order_Date]])</f>
        <v>2023</v>
      </c>
    </row>
    <row r="721" spans="1:14" x14ac:dyDescent="0.3">
      <c r="A721" t="s">
        <v>1609</v>
      </c>
      <c r="B721" s="1">
        <v>44934</v>
      </c>
      <c r="C721" t="s">
        <v>1610</v>
      </c>
      <c r="D721" t="s">
        <v>18</v>
      </c>
      <c r="E721" t="s">
        <v>56</v>
      </c>
      <c r="F721" t="s">
        <v>57</v>
      </c>
      <c r="G721" t="s">
        <v>306</v>
      </c>
      <c r="H721" s="8">
        <v>804.24</v>
      </c>
      <c r="I721" s="8">
        <v>-253.47</v>
      </c>
      <c r="J721" s="8">
        <v>0.27</v>
      </c>
      <c r="K721" t="str">
        <f>IF(SalesData[[#This Row],[Profit]]&gt;0,"Profit","Loss")</f>
        <v>Loss</v>
      </c>
      <c r="L721" s="8">
        <f>SalesData[[#This Row],[Profit]]/SalesData[[#This Row],[Sales]]</f>
        <v>-0.31516711429424055</v>
      </c>
      <c r="M721" t="str">
        <f>TEXT(SalesData[[#This Row],[Order_Date]],"mmm")</f>
        <v>Jan</v>
      </c>
      <c r="N721">
        <f>YEAR(SalesData[[#This Row],[Order_Date]])</f>
        <v>2023</v>
      </c>
    </row>
    <row r="722" spans="1:14" x14ac:dyDescent="0.3">
      <c r="A722" t="s">
        <v>1611</v>
      </c>
      <c r="B722" s="1">
        <v>44592</v>
      </c>
      <c r="C722" t="s">
        <v>1612</v>
      </c>
      <c r="D722" t="s">
        <v>28</v>
      </c>
      <c r="E722" t="s">
        <v>13</v>
      </c>
      <c r="F722" t="s">
        <v>36</v>
      </c>
      <c r="G722" t="s">
        <v>67</v>
      </c>
      <c r="H722" s="8">
        <v>3965.02</v>
      </c>
      <c r="I722" s="8">
        <v>-745.54</v>
      </c>
      <c r="J722" s="8">
        <v>0.26</v>
      </c>
      <c r="K722" t="str">
        <f>IF(SalesData[[#This Row],[Profit]]&gt;0,"Profit","Loss")</f>
        <v>Loss</v>
      </c>
      <c r="L722" s="8">
        <f>SalesData[[#This Row],[Profit]]/SalesData[[#This Row],[Sales]]</f>
        <v>-0.18802931637167025</v>
      </c>
      <c r="M722" t="str">
        <f>TEXT(SalesData[[#This Row],[Order_Date]],"mmm")</f>
        <v>Jan</v>
      </c>
      <c r="N722">
        <f>YEAR(SalesData[[#This Row],[Order_Date]])</f>
        <v>2022</v>
      </c>
    </row>
    <row r="723" spans="1:14" x14ac:dyDescent="0.3">
      <c r="A723" t="s">
        <v>1613</v>
      </c>
      <c r="B723" s="1">
        <v>45180</v>
      </c>
      <c r="C723" t="s">
        <v>1614</v>
      </c>
      <c r="D723" t="s">
        <v>18</v>
      </c>
      <c r="E723" t="s">
        <v>19</v>
      </c>
      <c r="F723" t="s">
        <v>29</v>
      </c>
      <c r="G723" t="s">
        <v>1615</v>
      </c>
      <c r="H723" s="8">
        <v>2360.08</v>
      </c>
      <c r="I723" s="8">
        <v>497.42</v>
      </c>
      <c r="J723" s="8">
        <v>0.05</v>
      </c>
      <c r="K723" t="str">
        <f>IF(SalesData[[#This Row],[Profit]]&gt;0,"Profit","Loss")</f>
        <v>Profit</v>
      </c>
      <c r="L723" s="8">
        <f>SalesData[[#This Row],[Profit]]/SalesData[[#This Row],[Sales]]</f>
        <v>0.21076404189688486</v>
      </c>
      <c r="M723" t="str">
        <f>TEXT(SalesData[[#This Row],[Order_Date]],"mmm")</f>
        <v>Sep</v>
      </c>
      <c r="N723">
        <f>YEAR(SalesData[[#This Row],[Order_Date]])</f>
        <v>2023</v>
      </c>
    </row>
    <row r="724" spans="1:14" x14ac:dyDescent="0.3">
      <c r="A724" t="s">
        <v>1616</v>
      </c>
      <c r="B724" s="1">
        <v>45227</v>
      </c>
      <c r="C724" t="s">
        <v>1617</v>
      </c>
      <c r="D724" t="s">
        <v>40</v>
      </c>
      <c r="E724" t="s">
        <v>56</v>
      </c>
      <c r="F724" t="s">
        <v>95</v>
      </c>
      <c r="G724" t="s">
        <v>1470</v>
      </c>
      <c r="H724" s="8">
        <v>4106.01</v>
      </c>
      <c r="I724" s="8">
        <v>-1003.83</v>
      </c>
      <c r="J724" s="8">
        <v>0.24</v>
      </c>
      <c r="K724" t="str">
        <f>IF(SalesData[[#This Row],[Profit]]&gt;0,"Profit","Loss")</f>
        <v>Loss</v>
      </c>
      <c r="L724" s="8">
        <f>SalesData[[#This Row],[Profit]]/SalesData[[#This Row],[Sales]]</f>
        <v>-0.24447821607838266</v>
      </c>
      <c r="M724" t="str">
        <f>TEXT(SalesData[[#This Row],[Order_Date]],"mmm")</f>
        <v>Oct</v>
      </c>
      <c r="N724">
        <f>YEAR(SalesData[[#This Row],[Order_Date]])</f>
        <v>2023</v>
      </c>
    </row>
    <row r="725" spans="1:14" x14ac:dyDescent="0.3">
      <c r="A725" t="s">
        <v>1618</v>
      </c>
      <c r="B725" s="1">
        <v>44724</v>
      </c>
      <c r="C725" t="s">
        <v>1619</v>
      </c>
      <c r="D725" t="s">
        <v>28</v>
      </c>
      <c r="E725" t="s">
        <v>19</v>
      </c>
      <c r="F725" t="s">
        <v>29</v>
      </c>
      <c r="G725" t="s">
        <v>520</v>
      </c>
      <c r="H725" s="8">
        <v>2993.63</v>
      </c>
      <c r="I725" s="8">
        <v>-370.57</v>
      </c>
      <c r="J725" s="8">
        <v>7.0000000000000007E-2</v>
      </c>
      <c r="K725" t="str">
        <f>IF(SalesData[[#This Row],[Profit]]&gt;0,"Profit","Loss")</f>
        <v>Loss</v>
      </c>
      <c r="L725" s="8">
        <f>SalesData[[#This Row],[Profit]]/SalesData[[#This Row],[Sales]]</f>
        <v>-0.12378617263990539</v>
      </c>
      <c r="M725" t="str">
        <f>TEXT(SalesData[[#This Row],[Order_Date]],"mmm")</f>
        <v>Jun</v>
      </c>
      <c r="N725">
        <f>YEAR(SalesData[[#This Row],[Order_Date]])</f>
        <v>2022</v>
      </c>
    </row>
    <row r="726" spans="1:14" x14ac:dyDescent="0.3">
      <c r="A726" t="s">
        <v>1620</v>
      </c>
      <c r="B726" s="1">
        <v>45007</v>
      </c>
      <c r="C726" t="s">
        <v>1276</v>
      </c>
      <c r="D726" t="s">
        <v>40</v>
      </c>
      <c r="E726" t="s">
        <v>19</v>
      </c>
      <c r="F726" t="s">
        <v>20</v>
      </c>
      <c r="G726" t="s">
        <v>1621</v>
      </c>
      <c r="H726" s="8">
        <v>4088.19</v>
      </c>
      <c r="I726" s="8">
        <v>370.34</v>
      </c>
      <c r="J726" s="8">
        <v>0.18</v>
      </c>
      <c r="K726" t="str">
        <f>IF(SalesData[[#This Row],[Profit]]&gt;0,"Profit","Loss")</f>
        <v>Profit</v>
      </c>
      <c r="L726" s="8">
        <f>SalesData[[#This Row],[Profit]]/SalesData[[#This Row],[Sales]]</f>
        <v>9.0587766224172542E-2</v>
      </c>
      <c r="M726" t="str">
        <f>TEXT(SalesData[[#This Row],[Order_Date]],"mmm")</f>
        <v>Mar</v>
      </c>
      <c r="N726">
        <f>YEAR(SalesData[[#This Row],[Order_Date]])</f>
        <v>2023</v>
      </c>
    </row>
    <row r="727" spans="1:14" x14ac:dyDescent="0.3">
      <c r="A727" t="s">
        <v>1622</v>
      </c>
      <c r="B727" s="1">
        <v>45290</v>
      </c>
      <c r="C727" t="s">
        <v>1623</v>
      </c>
      <c r="D727" t="s">
        <v>28</v>
      </c>
      <c r="E727" t="s">
        <v>13</v>
      </c>
      <c r="F727" t="s">
        <v>14</v>
      </c>
      <c r="G727" t="s">
        <v>457</v>
      </c>
      <c r="H727" s="8">
        <v>948.12</v>
      </c>
      <c r="I727" s="8">
        <v>41.36</v>
      </c>
      <c r="J727" s="8">
        <v>0.2</v>
      </c>
      <c r="K727" t="str">
        <f>IF(SalesData[[#This Row],[Profit]]&gt;0,"Profit","Loss")</f>
        <v>Profit</v>
      </c>
      <c r="L727" s="8">
        <f>SalesData[[#This Row],[Profit]]/SalesData[[#This Row],[Sales]]</f>
        <v>4.362317006286124E-2</v>
      </c>
      <c r="M727" t="str">
        <f>TEXT(SalesData[[#This Row],[Order_Date]],"mmm")</f>
        <v>Dec</v>
      </c>
      <c r="N727">
        <f>YEAR(SalesData[[#This Row],[Order_Date]])</f>
        <v>2023</v>
      </c>
    </row>
    <row r="728" spans="1:14" x14ac:dyDescent="0.3">
      <c r="A728" t="s">
        <v>1624</v>
      </c>
      <c r="B728" s="1">
        <v>44742</v>
      </c>
      <c r="C728" t="s">
        <v>475</v>
      </c>
      <c r="D728" t="s">
        <v>28</v>
      </c>
      <c r="E728" t="s">
        <v>13</v>
      </c>
      <c r="F728" t="s">
        <v>24</v>
      </c>
      <c r="G728" t="s">
        <v>1625</v>
      </c>
      <c r="H728" s="8">
        <v>2368.25</v>
      </c>
      <c r="I728" s="8">
        <v>291.8</v>
      </c>
      <c r="J728" s="8">
        <v>0.17</v>
      </c>
      <c r="K728" t="str">
        <f>IF(SalesData[[#This Row],[Profit]]&gt;0,"Profit","Loss")</f>
        <v>Profit</v>
      </c>
      <c r="L728" s="8">
        <f>SalesData[[#This Row],[Profit]]/SalesData[[#This Row],[Sales]]</f>
        <v>0.12321334318589676</v>
      </c>
      <c r="M728" t="str">
        <f>TEXT(SalesData[[#This Row],[Order_Date]],"mmm")</f>
        <v>Jun</v>
      </c>
      <c r="N728">
        <f>YEAR(SalesData[[#This Row],[Order_Date]])</f>
        <v>2022</v>
      </c>
    </row>
    <row r="729" spans="1:14" x14ac:dyDescent="0.3">
      <c r="A729" t="s">
        <v>1626</v>
      </c>
      <c r="B729" s="1">
        <v>44897</v>
      </c>
      <c r="C729" t="s">
        <v>1627</v>
      </c>
      <c r="D729" t="s">
        <v>12</v>
      </c>
      <c r="E729" t="s">
        <v>13</v>
      </c>
      <c r="F729" t="s">
        <v>14</v>
      </c>
      <c r="G729" t="s">
        <v>392</v>
      </c>
      <c r="H729" s="8">
        <v>3458.99</v>
      </c>
      <c r="I729" s="8">
        <v>387.13</v>
      </c>
      <c r="J729" s="8">
        <v>0.18</v>
      </c>
      <c r="K729" t="str">
        <f>IF(SalesData[[#This Row],[Profit]]&gt;0,"Profit","Loss")</f>
        <v>Profit</v>
      </c>
      <c r="L729" s="8">
        <f>SalesData[[#This Row],[Profit]]/SalesData[[#This Row],[Sales]]</f>
        <v>0.11191995351244149</v>
      </c>
      <c r="M729" t="str">
        <f>TEXT(SalesData[[#This Row],[Order_Date]],"mmm")</f>
        <v>Dec</v>
      </c>
      <c r="N729">
        <f>YEAR(SalesData[[#This Row],[Order_Date]])</f>
        <v>2022</v>
      </c>
    </row>
    <row r="730" spans="1:14" x14ac:dyDescent="0.3">
      <c r="A730" t="s">
        <v>1628</v>
      </c>
      <c r="B730" s="1">
        <v>44562</v>
      </c>
      <c r="C730" t="s">
        <v>727</v>
      </c>
      <c r="D730" t="s">
        <v>18</v>
      </c>
      <c r="E730" t="s">
        <v>56</v>
      </c>
      <c r="F730" t="s">
        <v>57</v>
      </c>
      <c r="G730" t="s">
        <v>248</v>
      </c>
      <c r="H730" s="8">
        <v>4447.58</v>
      </c>
      <c r="I730" s="8">
        <v>-392.81</v>
      </c>
      <c r="J730" s="8">
        <v>0.27</v>
      </c>
      <c r="K730" t="str">
        <f>IF(SalesData[[#This Row],[Profit]]&gt;0,"Profit","Loss")</f>
        <v>Loss</v>
      </c>
      <c r="L730" s="8">
        <f>SalesData[[#This Row],[Profit]]/SalesData[[#This Row],[Sales]]</f>
        <v>-8.8319940282130957E-2</v>
      </c>
      <c r="M730" t="str">
        <f>TEXT(SalesData[[#This Row],[Order_Date]],"mmm")</f>
        <v>Jan</v>
      </c>
      <c r="N730">
        <f>YEAR(SalesData[[#This Row],[Order_Date]])</f>
        <v>2022</v>
      </c>
    </row>
    <row r="731" spans="1:14" x14ac:dyDescent="0.3">
      <c r="A731" t="s">
        <v>1629</v>
      </c>
      <c r="B731" s="1">
        <v>44762</v>
      </c>
      <c r="C731" t="s">
        <v>1630</v>
      </c>
      <c r="D731" t="s">
        <v>40</v>
      </c>
      <c r="E731" t="s">
        <v>56</v>
      </c>
      <c r="F731" t="s">
        <v>95</v>
      </c>
      <c r="G731" t="s">
        <v>850</v>
      </c>
      <c r="H731" s="8">
        <v>2703.15</v>
      </c>
      <c r="I731" s="8">
        <v>72.33</v>
      </c>
      <c r="J731" s="8">
        <v>0.12</v>
      </c>
      <c r="K731" t="str">
        <f>IF(SalesData[[#This Row],[Profit]]&gt;0,"Profit","Loss")</f>
        <v>Profit</v>
      </c>
      <c r="L731" s="8">
        <f>SalesData[[#This Row],[Profit]]/SalesData[[#This Row],[Sales]]</f>
        <v>2.6757671605349313E-2</v>
      </c>
      <c r="M731" t="str">
        <f>TEXT(SalesData[[#This Row],[Order_Date]],"mmm")</f>
        <v>Jul</v>
      </c>
      <c r="N731">
        <f>YEAR(SalesData[[#This Row],[Order_Date]])</f>
        <v>2022</v>
      </c>
    </row>
    <row r="732" spans="1:14" x14ac:dyDescent="0.3">
      <c r="A732" t="s">
        <v>1631</v>
      </c>
      <c r="B732" s="1">
        <v>44914</v>
      </c>
      <c r="C732" t="s">
        <v>1410</v>
      </c>
      <c r="D732" t="s">
        <v>12</v>
      </c>
      <c r="E732" t="s">
        <v>13</v>
      </c>
      <c r="F732" t="s">
        <v>24</v>
      </c>
      <c r="G732" t="s">
        <v>600</v>
      </c>
      <c r="H732" s="8">
        <v>1592.3</v>
      </c>
      <c r="I732" s="8">
        <v>-348.97</v>
      </c>
      <c r="J732" s="8">
        <v>0.28000000000000003</v>
      </c>
      <c r="K732" t="str">
        <f>IF(SalesData[[#This Row],[Profit]]&gt;0,"Profit","Loss")</f>
        <v>Loss</v>
      </c>
      <c r="L732" s="8">
        <f>SalesData[[#This Row],[Profit]]/SalesData[[#This Row],[Sales]]</f>
        <v>-0.21916096213025185</v>
      </c>
      <c r="M732" t="str">
        <f>TEXT(SalesData[[#This Row],[Order_Date]],"mmm")</f>
        <v>Dec</v>
      </c>
      <c r="N732">
        <f>YEAR(SalesData[[#This Row],[Order_Date]])</f>
        <v>2022</v>
      </c>
    </row>
    <row r="733" spans="1:14" x14ac:dyDescent="0.3">
      <c r="A733" t="s">
        <v>1632</v>
      </c>
      <c r="B733" s="1">
        <v>45124</v>
      </c>
      <c r="C733" t="s">
        <v>823</v>
      </c>
      <c r="D733" t="s">
        <v>12</v>
      </c>
      <c r="E733" t="s">
        <v>13</v>
      </c>
      <c r="F733" t="s">
        <v>36</v>
      </c>
      <c r="G733" t="s">
        <v>682</v>
      </c>
      <c r="H733" s="8">
        <v>4253.42</v>
      </c>
      <c r="I733" s="8">
        <v>-1797.3</v>
      </c>
      <c r="J733" s="8">
        <v>0.26</v>
      </c>
      <c r="K733" t="str">
        <f>IF(SalesData[[#This Row],[Profit]]&gt;0,"Profit","Loss")</f>
        <v>Loss</v>
      </c>
      <c r="L733" s="8">
        <f>SalesData[[#This Row],[Profit]]/SalesData[[#This Row],[Sales]]</f>
        <v>-0.42255408588853205</v>
      </c>
      <c r="M733" t="str">
        <f>TEXT(SalesData[[#This Row],[Order_Date]],"mmm")</f>
        <v>Jul</v>
      </c>
      <c r="N733">
        <f>YEAR(SalesData[[#This Row],[Order_Date]])</f>
        <v>2023</v>
      </c>
    </row>
    <row r="734" spans="1:14" x14ac:dyDescent="0.3">
      <c r="A734" t="s">
        <v>1633</v>
      </c>
      <c r="B734" s="1">
        <v>45004</v>
      </c>
      <c r="C734" t="s">
        <v>1634</v>
      </c>
      <c r="D734" t="s">
        <v>28</v>
      </c>
      <c r="E734" t="s">
        <v>13</v>
      </c>
      <c r="F734" t="s">
        <v>36</v>
      </c>
      <c r="G734" t="s">
        <v>359</v>
      </c>
      <c r="H734" s="8">
        <v>637.52</v>
      </c>
      <c r="I734" s="8">
        <v>-166.58</v>
      </c>
      <c r="J734" s="8">
        <v>0.08</v>
      </c>
      <c r="K734" t="str">
        <f>IF(SalesData[[#This Row],[Profit]]&gt;0,"Profit","Loss")</f>
        <v>Loss</v>
      </c>
      <c r="L734" s="8">
        <f>SalesData[[#This Row],[Profit]]/SalesData[[#This Row],[Sales]]</f>
        <v>-0.2612937633329151</v>
      </c>
      <c r="M734" t="str">
        <f>TEXT(SalesData[[#This Row],[Order_Date]],"mmm")</f>
        <v>Mar</v>
      </c>
      <c r="N734">
        <f>YEAR(SalesData[[#This Row],[Order_Date]])</f>
        <v>2023</v>
      </c>
    </row>
    <row r="735" spans="1:14" x14ac:dyDescent="0.3">
      <c r="A735" t="s">
        <v>1635</v>
      </c>
      <c r="B735" s="1">
        <v>45240</v>
      </c>
      <c r="C735" t="s">
        <v>499</v>
      </c>
      <c r="D735" t="s">
        <v>28</v>
      </c>
      <c r="E735" t="s">
        <v>19</v>
      </c>
      <c r="F735" t="s">
        <v>141</v>
      </c>
      <c r="G735" t="s">
        <v>860</v>
      </c>
      <c r="H735" s="8">
        <v>1975.67</v>
      </c>
      <c r="I735" s="8">
        <v>33.729999999999997</v>
      </c>
      <c r="J735" s="8">
        <v>0.11</v>
      </c>
      <c r="K735" t="str">
        <f>IF(SalesData[[#This Row],[Profit]]&gt;0,"Profit","Loss")</f>
        <v>Profit</v>
      </c>
      <c r="L735" s="8">
        <f>SalesData[[#This Row],[Profit]]/SalesData[[#This Row],[Sales]]</f>
        <v>1.7072689264907598E-2</v>
      </c>
      <c r="M735" t="str">
        <f>TEXT(SalesData[[#This Row],[Order_Date]],"mmm")</f>
        <v>Nov</v>
      </c>
      <c r="N735">
        <f>YEAR(SalesData[[#This Row],[Order_Date]])</f>
        <v>2023</v>
      </c>
    </row>
    <row r="736" spans="1:14" x14ac:dyDescent="0.3">
      <c r="A736" t="s">
        <v>1636</v>
      </c>
      <c r="B736" s="1">
        <v>44719</v>
      </c>
      <c r="C736" t="s">
        <v>296</v>
      </c>
      <c r="D736" t="s">
        <v>18</v>
      </c>
      <c r="E736" t="s">
        <v>56</v>
      </c>
      <c r="F736" t="s">
        <v>73</v>
      </c>
      <c r="G736" t="s">
        <v>1637</v>
      </c>
      <c r="H736" s="8">
        <v>1984.52</v>
      </c>
      <c r="I736" s="8">
        <v>47.58</v>
      </c>
      <c r="J736" s="8">
        <v>0.28000000000000003</v>
      </c>
      <c r="K736" t="str">
        <f>IF(SalesData[[#This Row],[Profit]]&gt;0,"Profit","Loss")</f>
        <v>Profit</v>
      </c>
      <c r="L736" s="8">
        <f>SalesData[[#This Row],[Profit]]/SalesData[[#This Row],[Sales]]</f>
        <v>2.3975570918912382E-2</v>
      </c>
      <c r="M736" t="str">
        <f>TEXT(SalesData[[#This Row],[Order_Date]],"mmm")</f>
        <v>Jun</v>
      </c>
      <c r="N736">
        <f>YEAR(SalesData[[#This Row],[Order_Date]])</f>
        <v>2022</v>
      </c>
    </row>
    <row r="737" spans="1:14" x14ac:dyDescent="0.3">
      <c r="A737" t="s">
        <v>1638</v>
      </c>
      <c r="B737" s="1">
        <v>45235</v>
      </c>
      <c r="C737" t="s">
        <v>1639</v>
      </c>
      <c r="D737" t="s">
        <v>18</v>
      </c>
      <c r="E737" t="s">
        <v>56</v>
      </c>
      <c r="F737" t="s">
        <v>57</v>
      </c>
      <c r="G737" t="s">
        <v>285</v>
      </c>
      <c r="H737" s="8">
        <v>3277.11</v>
      </c>
      <c r="I737" s="8">
        <v>953.42</v>
      </c>
      <c r="J737" s="8">
        <v>0.04</v>
      </c>
      <c r="K737" t="str">
        <f>IF(SalesData[[#This Row],[Profit]]&gt;0,"Profit","Loss")</f>
        <v>Profit</v>
      </c>
      <c r="L737" s="8">
        <f>SalesData[[#This Row],[Profit]]/SalesData[[#This Row],[Sales]]</f>
        <v>0.29093316977458794</v>
      </c>
      <c r="M737" t="str">
        <f>TEXT(SalesData[[#This Row],[Order_Date]],"mmm")</f>
        <v>Nov</v>
      </c>
      <c r="N737">
        <f>YEAR(SalesData[[#This Row],[Order_Date]])</f>
        <v>2023</v>
      </c>
    </row>
    <row r="738" spans="1:14" x14ac:dyDescent="0.3">
      <c r="A738" t="s">
        <v>1640</v>
      </c>
      <c r="B738" s="1">
        <v>45274</v>
      </c>
      <c r="C738" t="s">
        <v>1310</v>
      </c>
      <c r="D738" t="s">
        <v>28</v>
      </c>
      <c r="E738" t="s">
        <v>56</v>
      </c>
      <c r="F738" t="s">
        <v>73</v>
      </c>
      <c r="G738" t="s">
        <v>357</v>
      </c>
      <c r="H738" s="8">
        <v>4049.11</v>
      </c>
      <c r="I738" s="8">
        <v>308.33999999999997</v>
      </c>
      <c r="J738" s="8">
        <v>0.26</v>
      </c>
      <c r="K738" t="str">
        <f>IF(SalesData[[#This Row],[Profit]]&gt;0,"Profit","Loss")</f>
        <v>Profit</v>
      </c>
      <c r="L738" s="8">
        <f>SalesData[[#This Row],[Profit]]/SalesData[[#This Row],[Sales]]</f>
        <v>7.6150067545707564E-2</v>
      </c>
      <c r="M738" t="str">
        <f>TEXT(SalesData[[#This Row],[Order_Date]],"mmm")</f>
        <v>Dec</v>
      </c>
      <c r="N738">
        <f>YEAR(SalesData[[#This Row],[Order_Date]])</f>
        <v>2023</v>
      </c>
    </row>
    <row r="739" spans="1:14" x14ac:dyDescent="0.3">
      <c r="A739" t="s">
        <v>1641</v>
      </c>
      <c r="B739" s="1">
        <v>44925</v>
      </c>
      <c r="C739" t="s">
        <v>287</v>
      </c>
      <c r="D739" t="s">
        <v>18</v>
      </c>
      <c r="E739" t="s">
        <v>56</v>
      </c>
      <c r="F739" t="s">
        <v>95</v>
      </c>
      <c r="G739" t="s">
        <v>300</v>
      </c>
      <c r="H739" s="8">
        <v>2596.13</v>
      </c>
      <c r="I739" s="8">
        <v>-259.54000000000002</v>
      </c>
      <c r="J739" s="8">
        <v>0.17</v>
      </c>
      <c r="K739" t="str">
        <f>IF(SalesData[[#This Row],[Profit]]&gt;0,"Profit","Loss")</f>
        <v>Loss</v>
      </c>
      <c r="L739" s="8">
        <f>SalesData[[#This Row],[Profit]]/SalesData[[#This Row],[Sales]]</f>
        <v>-9.9971881223205314E-2</v>
      </c>
      <c r="M739" t="str">
        <f>TEXT(SalesData[[#This Row],[Order_Date]],"mmm")</f>
        <v>Dec</v>
      </c>
      <c r="N739">
        <f>YEAR(SalesData[[#This Row],[Order_Date]])</f>
        <v>2022</v>
      </c>
    </row>
    <row r="740" spans="1:14" x14ac:dyDescent="0.3">
      <c r="A740" t="s">
        <v>1642</v>
      </c>
      <c r="B740" s="1">
        <v>45075</v>
      </c>
      <c r="C740" t="s">
        <v>1424</v>
      </c>
      <c r="D740" t="s">
        <v>28</v>
      </c>
      <c r="E740" t="s">
        <v>13</v>
      </c>
      <c r="F740" t="s">
        <v>14</v>
      </c>
      <c r="G740" t="s">
        <v>1535</v>
      </c>
      <c r="H740" s="8">
        <v>2931.9</v>
      </c>
      <c r="I740" s="8">
        <v>-902.88</v>
      </c>
      <c r="J740" s="8">
        <v>0.25</v>
      </c>
      <c r="K740" t="str">
        <f>IF(SalesData[[#This Row],[Profit]]&gt;0,"Profit","Loss")</f>
        <v>Loss</v>
      </c>
      <c r="L740" s="8">
        <f>SalesData[[#This Row],[Profit]]/SalesData[[#This Row],[Sales]]</f>
        <v>-0.30795047580067531</v>
      </c>
      <c r="M740" t="str">
        <f>TEXT(SalesData[[#This Row],[Order_Date]],"mmm")</f>
        <v>May</v>
      </c>
      <c r="N740">
        <f>YEAR(SalesData[[#This Row],[Order_Date]])</f>
        <v>2023</v>
      </c>
    </row>
    <row r="741" spans="1:14" x14ac:dyDescent="0.3">
      <c r="A741" t="s">
        <v>1643</v>
      </c>
      <c r="B741" s="1">
        <v>45283</v>
      </c>
      <c r="C741" t="s">
        <v>664</v>
      </c>
      <c r="D741" t="s">
        <v>12</v>
      </c>
      <c r="E741" t="s">
        <v>13</v>
      </c>
      <c r="F741" t="s">
        <v>24</v>
      </c>
      <c r="G741" t="s">
        <v>1644</v>
      </c>
      <c r="H741" s="8">
        <v>1898.15</v>
      </c>
      <c r="I741" s="8">
        <v>-283.02999999999997</v>
      </c>
      <c r="J741" s="8">
        <v>0.28999999999999998</v>
      </c>
      <c r="K741" t="str">
        <f>IF(SalesData[[#This Row],[Profit]]&gt;0,"Profit","Loss")</f>
        <v>Loss</v>
      </c>
      <c r="L741" s="8">
        <f>SalesData[[#This Row],[Profit]]/SalesData[[#This Row],[Sales]]</f>
        <v>-0.14910834233332454</v>
      </c>
      <c r="M741" t="str">
        <f>TEXT(SalesData[[#This Row],[Order_Date]],"mmm")</f>
        <v>Dec</v>
      </c>
      <c r="N741">
        <f>YEAR(SalesData[[#This Row],[Order_Date]])</f>
        <v>2023</v>
      </c>
    </row>
    <row r="742" spans="1:14" x14ac:dyDescent="0.3">
      <c r="A742" t="s">
        <v>1645</v>
      </c>
      <c r="B742" s="1">
        <v>44848</v>
      </c>
      <c r="C742" t="s">
        <v>1646</v>
      </c>
      <c r="D742" t="s">
        <v>12</v>
      </c>
      <c r="E742" t="s">
        <v>19</v>
      </c>
      <c r="F742" t="s">
        <v>141</v>
      </c>
      <c r="G742" t="s">
        <v>1326</v>
      </c>
      <c r="H742" s="8">
        <v>492.31</v>
      </c>
      <c r="I742" s="8">
        <v>-51.28</v>
      </c>
      <c r="J742" s="8">
        <v>0.22</v>
      </c>
      <c r="K742" t="str">
        <f>IF(SalesData[[#This Row],[Profit]]&gt;0,"Profit","Loss")</f>
        <v>Loss</v>
      </c>
      <c r="L742" s="8">
        <f>SalesData[[#This Row],[Profit]]/SalesData[[#This Row],[Sales]]</f>
        <v>-0.10416201174056997</v>
      </c>
      <c r="M742" t="str">
        <f>TEXT(SalesData[[#This Row],[Order_Date]],"mmm")</f>
        <v>Oct</v>
      </c>
      <c r="N742">
        <f>YEAR(SalesData[[#This Row],[Order_Date]])</f>
        <v>2022</v>
      </c>
    </row>
    <row r="743" spans="1:14" x14ac:dyDescent="0.3">
      <c r="A743" t="s">
        <v>1647</v>
      </c>
      <c r="B743" s="1">
        <v>45246</v>
      </c>
      <c r="C743" t="s">
        <v>1648</v>
      </c>
      <c r="D743" t="s">
        <v>40</v>
      </c>
      <c r="E743" t="s">
        <v>13</v>
      </c>
      <c r="F743" t="s">
        <v>14</v>
      </c>
      <c r="G743" t="s">
        <v>600</v>
      </c>
      <c r="H743" s="8">
        <v>1301.6300000000001</v>
      </c>
      <c r="I743" s="8">
        <v>10.73</v>
      </c>
      <c r="J743" s="8">
        <v>0.19</v>
      </c>
      <c r="K743" t="str">
        <f>IF(SalesData[[#This Row],[Profit]]&gt;0,"Profit","Loss")</f>
        <v>Profit</v>
      </c>
      <c r="L743" s="8">
        <f>SalesData[[#This Row],[Profit]]/SalesData[[#This Row],[Sales]]</f>
        <v>8.2435100604626495E-3</v>
      </c>
      <c r="M743" t="str">
        <f>TEXT(SalesData[[#This Row],[Order_Date]],"mmm")</f>
        <v>Nov</v>
      </c>
      <c r="N743">
        <f>YEAR(SalesData[[#This Row],[Order_Date]])</f>
        <v>2023</v>
      </c>
    </row>
    <row r="744" spans="1:14" x14ac:dyDescent="0.3">
      <c r="A744" t="s">
        <v>1649</v>
      </c>
      <c r="B744" s="1">
        <v>45042</v>
      </c>
      <c r="C744" t="s">
        <v>1623</v>
      </c>
      <c r="D744" t="s">
        <v>40</v>
      </c>
      <c r="E744" t="s">
        <v>56</v>
      </c>
      <c r="F744" t="s">
        <v>95</v>
      </c>
      <c r="G744" t="s">
        <v>1650</v>
      </c>
      <c r="H744" s="8">
        <v>2721.66</v>
      </c>
      <c r="I744" s="8">
        <v>197.1</v>
      </c>
      <c r="J744" s="8">
        <v>0</v>
      </c>
      <c r="K744" t="str">
        <f>IF(SalesData[[#This Row],[Profit]]&gt;0,"Profit","Loss")</f>
        <v>Profit</v>
      </c>
      <c r="L744" s="8">
        <f>SalesData[[#This Row],[Profit]]/SalesData[[#This Row],[Sales]]</f>
        <v>7.2419038380988079E-2</v>
      </c>
      <c r="M744" t="str">
        <f>TEXT(SalesData[[#This Row],[Order_Date]],"mmm")</f>
        <v>Apr</v>
      </c>
      <c r="N744">
        <f>YEAR(SalesData[[#This Row],[Order_Date]])</f>
        <v>2023</v>
      </c>
    </row>
    <row r="745" spans="1:14" x14ac:dyDescent="0.3">
      <c r="A745" t="s">
        <v>1651</v>
      </c>
      <c r="B745" s="1">
        <v>44873</v>
      </c>
      <c r="C745" t="s">
        <v>1652</v>
      </c>
      <c r="D745" t="s">
        <v>40</v>
      </c>
      <c r="E745" t="s">
        <v>19</v>
      </c>
      <c r="F745" t="s">
        <v>29</v>
      </c>
      <c r="G745" t="s">
        <v>720</v>
      </c>
      <c r="H745" s="8">
        <v>1517.12</v>
      </c>
      <c r="I745" s="8">
        <v>521.46</v>
      </c>
      <c r="J745" s="8">
        <v>0.01</v>
      </c>
      <c r="K745" t="str">
        <f>IF(SalesData[[#This Row],[Profit]]&gt;0,"Profit","Loss")</f>
        <v>Profit</v>
      </c>
      <c r="L745" s="8">
        <f>SalesData[[#This Row],[Profit]]/SalesData[[#This Row],[Sales]]</f>
        <v>0.34371704281797094</v>
      </c>
      <c r="M745" t="str">
        <f>TEXT(SalesData[[#This Row],[Order_Date]],"mmm")</f>
        <v>Nov</v>
      </c>
      <c r="N745">
        <f>YEAR(SalesData[[#This Row],[Order_Date]])</f>
        <v>2022</v>
      </c>
    </row>
    <row r="746" spans="1:14" x14ac:dyDescent="0.3">
      <c r="A746" t="s">
        <v>1653</v>
      </c>
      <c r="B746" s="1">
        <v>44860</v>
      </c>
      <c r="C746" t="s">
        <v>885</v>
      </c>
      <c r="D746" t="s">
        <v>12</v>
      </c>
      <c r="E746" t="s">
        <v>13</v>
      </c>
      <c r="F746" t="s">
        <v>36</v>
      </c>
      <c r="G746" t="s">
        <v>1654</v>
      </c>
      <c r="H746" s="8">
        <v>2932.89</v>
      </c>
      <c r="I746" s="8">
        <v>69.78</v>
      </c>
      <c r="J746" s="8">
        <v>0.17</v>
      </c>
      <c r="K746" t="str">
        <f>IF(SalesData[[#This Row],[Profit]]&gt;0,"Profit","Loss")</f>
        <v>Profit</v>
      </c>
      <c r="L746" s="8">
        <f>SalesData[[#This Row],[Profit]]/SalesData[[#This Row],[Sales]]</f>
        <v>2.3792232235099169E-2</v>
      </c>
      <c r="M746" t="str">
        <f>TEXT(SalesData[[#This Row],[Order_Date]],"mmm")</f>
        <v>Oct</v>
      </c>
      <c r="N746">
        <f>YEAR(SalesData[[#This Row],[Order_Date]])</f>
        <v>2022</v>
      </c>
    </row>
    <row r="747" spans="1:14" x14ac:dyDescent="0.3">
      <c r="A747" t="s">
        <v>1655</v>
      </c>
      <c r="B747" s="1">
        <v>44820</v>
      </c>
      <c r="C747" t="s">
        <v>835</v>
      </c>
      <c r="D747" t="s">
        <v>40</v>
      </c>
      <c r="E747" t="s">
        <v>19</v>
      </c>
      <c r="F747" t="s">
        <v>20</v>
      </c>
      <c r="G747" t="s">
        <v>211</v>
      </c>
      <c r="H747" s="8">
        <v>721.42</v>
      </c>
      <c r="I747" s="8">
        <v>180.54</v>
      </c>
      <c r="J747" s="8">
        <v>0.02</v>
      </c>
      <c r="K747" t="str">
        <f>IF(SalesData[[#This Row],[Profit]]&gt;0,"Profit","Loss")</f>
        <v>Profit</v>
      </c>
      <c r="L747" s="8">
        <f>SalesData[[#This Row],[Profit]]/SalesData[[#This Row],[Sales]]</f>
        <v>0.25025643869036068</v>
      </c>
      <c r="M747" t="str">
        <f>TEXT(SalesData[[#This Row],[Order_Date]],"mmm")</f>
        <v>Sep</v>
      </c>
      <c r="N747">
        <f>YEAR(SalesData[[#This Row],[Order_Date]])</f>
        <v>2022</v>
      </c>
    </row>
    <row r="748" spans="1:14" x14ac:dyDescent="0.3">
      <c r="A748" t="s">
        <v>1656</v>
      </c>
      <c r="B748" s="1">
        <v>44716</v>
      </c>
      <c r="C748" t="s">
        <v>189</v>
      </c>
      <c r="D748" t="s">
        <v>28</v>
      </c>
      <c r="E748" t="s">
        <v>19</v>
      </c>
      <c r="F748" t="s">
        <v>20</v>
      </c>
      <c r="G748" t="s">
        <v>1657</v>
      </c>
      <c r="H748" s="8">
        <v>3733</v>
      </c>
      <c r="I748" s="8">
        <v>619.97</v>
      </c>
      <c r="J748" s="8">
        <v>0.18</v>
      </c>
      <c r="K748" t="str">
        <f>IF(SalesData[[#This Row],[Profit]]&gt;0,"Profit","Loss")</f>
        <v>Profit</v>
      </c>
      <c r="L748" s="8">
        <f>SalesData[[#This Row],[Profit]]/SalesData[[#This Row],[Sales]]</f>
        <v>0.16607822126975624</v>
      </c>
      <c r="M748" t="str">
        <f>TEXT(SalesData[[#This Row],[Order_Date]],"mmm")</f>
        <v>Jun</v>
      </c>
      <c r="N748">
        <f>YEAR(SalesData[[#This Row],[Order_Date]])</f>
        <v>2022</v>
      </c>
    </row>
    <row r="749" spans="1:14" x14ac:dyDescent="0.3">
      <c r="A749" t="s">
        <v>1658</v>
      </c>
      <c r="B749" s="1">
        <v>45102</v>
      </c>
      <c r="C749" t="s">
        <v>910</v>
      </c>
      <c r="D749" t="s">
        <v>40</v>
      </c>
      <c r="E749" t="s">
        <v>56</v>
      </c>
      <c r="F749" t="s">
        <v>95</v>
      </c>
      <c r="G749" t="s">
        <v>285</v>
      </c>
      <c r="H749" s="8">
        <v>3934.39</v>
      </c>
      <c r="I749" s="8">
        <v>-635.46</v>
      </c>
      <c r="J749" s="8">
        <v>7.0000000000000007E-2</v>
      </c>
      <c r="K749" t="str">
        <f>IF(SalesData[[#This Row],[Profit]]&gt;0,"Profit","Loss")</f>
        <v>Loss</v>
      </c>
      <c r="L749" s="8">
        <f>SalesData[[#This Row],[Profit]]/SalesData[[#This Row],[Sales]]</f>
        <v>-0.16151423727693495</v>
      </c>
      <c r="M749" t="str">
        <f>TEXT(SalesData[[#This Row],[Order_Date]],"mmm")</f>
        <v>Jun</v>
      </c>
      <c r="N749">
        <f>YEAR(SalesData[[#This Row],[Order_Date]])</f>
        <v>2023</v>
      </c>
    </row>
    <row r="750" spans="1:14" x14ac:dyDescent="0.3">
      <c r="A750" t="s">
        <v>1659</v>
      </c>
      <c r="B750" s="1">
        <v>44984</v>
      </c>
      <c r="C750" t="s">
        <v>722</v>
      </c>
      <c r="D750" t="s">
        <v>28</v>
      </c>
      <c r="E750" t="s">
        <v>56</v>
      </c>
      <c r="F750" t="s">
        <v>73</v>
      </c>
      <c r="G750" t="s">
        <v>1056</v>
      </c>
      <c r="H750" s="8">
        <v>4676.32</v>
      </c>
      <c r="I750" s="8">
        <v>222.45</v>
      </c>
      <c r="J750" s="8">
        <v>0.05</v>
      </c>
      <c r="K750" t="str">
        <f>IF(SalesData[[#This Row],[Profit]]&gt;0,"Profit","Loss")</f>
        <v>Profit</v>
      </c>
      <c r="L750" s="8">
        <f>SalesData[[#This Row],[Profit]]/SalesData[[#This Row],[Sales]]</f>
        <v>4.7569456324631332E-2</v>
      </c>
      <c r="M750" t="str">
        <f>TEXT(SalesData[[#This Row],[Order_Date]],"mmm")</f>
        <v>Feb</v>
      </c>
      <c r="N750">
        <f>YEAR(SalesData[[#This Row],[Order_Date]])</f>
        <v>2023</v>
      </c>
    </row>
    <row r="751" spans="1:14" x14ac:dyDescent="0.3">
      <c r="A751" t="s">
        <v>1660</v>
      </c>
      <c r="B751" s="1">
        <v>44915</v>
      </c>
      <c r="C751" t="s">
        <v>1073</v>
      </c>
      <c r="D751" t="s">
        <v>40</v>
      </c>
      <c r="E751" t="s">
        <v>13</v>
      </c>
      <c r="F751" t="s">
        <v>36</v>
      </c>
      <c r="G751" t="s">
        <v>236</v>
      </c>
      <c r="H751" s="8">
        <v>3657.4</v>
      </c>
      <c r="I751" s="8">
        <v>353.5</v>
      </c>
      <c r="J751" s="8">
        <v>0.05</v>
      </c>
      <c r="K751" t="str">
        <f>IF(SalesData[[#This Row],[Profit]]&gt;0,"Profit","Loss")</f>
        <v>Profit</v>
      </c>
      <c r="L751" s="8">
        <f>SalesData[[#This Row],[Profit]]/SalesData[[#This Row],[Sales]]</f>
        <v>9.6653360310603162E-2</v>
      </c>
      <c r="M751" t="str">
        <f>TEXT(SalesData[[#This Row],[Order_Date]],"mmm")</f>
        <v>Dec</v>
      </c>
      <c r="N751">
        <f>YEAR(SalesData[[#This Row],[Order_Date]])</f>
        <v>2022</v>
      </c>
    </row>
    <row r="752" spans="1:14" x14ac:dyDescent="0.3">
      <c r="A752" t="s">
        <v>1661</v>
      </c>
      <c r="B752" s="1">
        <v>45107</v>
      </c>
      <c r="C752" t="s">
        <v>1299</v>
      </c>
      <c r="D752" t="s">
        <v>28</v>
      </c>
      <c r="E752" t="s">
        <v>56</v>
      </c>
      <c r="F752" t="s">
        <v>57</v>
      </c>
      <c r="G752" t="s">
        <v>1251</v>
      </c>
      <c r="H752" s="8">
        <v>921.24</v>
      </c>
      <c r="I752" s="8">
        <v>-128.22</v>
      </c>
      <c r="J752" s="8">
        <v>0.12</v>
      </c>
      <c r="K752" t="str">
        <f>IF(SalesData[[#This Row],[Profit]]&gt;0,"Profit","Loss")</f>
        <v>Loss</v>
      </c>
      <c r="L752" s="8">
        <f>SalesData[[#This Row],[Profit]]/SalesData[[#This Row],[Sales]]</f>
        <v>-0.13918197212452782</v>
      </c>
      <c r="M752" t="str">
        <f>TEXT(SalesData[[#This Row],[Order_Date]],"mmm")</f>
        <v>Jun</v>
      </c>
      <c r="N752">
        <f>YEAR(SalesData[[#This Row],[Order_Date]])</f>
        <v>2023</v>
      </c>
    </row>
    <row r="753" spans="1:14" x14ac:dyDescent="0.3">
      <c r="A753" t="s">
        <v>1662</v>
      </c>
      <c r="B753" s="1">
        <v>44574</v>
      </c>
      <c r="C753" t="s">
        <v>296</v>
      </c>
      <c r="D753" t="s">
        <v>28</v>
      </c>
      <c r="E753" t="s">
        <v>13</v>
      </c>
      <c r="F753" t="s">
        <v>36</v>
      </c>
      <c r="G753" t="s">
        <v>441</v>
      </c>
      <c r="H753" s="8">
        <v>2425.4899999999998</v>
      </c>
      <c r="I753" s="8">
        <v>684.39</v>
      </c>
      <c r="J753" s="8">
        <v>0.04</v>
      </c>
      <c r="K753" t="str">
        <f>IF(SalesData[[#This Row],[Profit]]&gt;0,"Profit","Loss")</f>
        <v>Profit</v>
      </c>
      <c r="L753" s="8">
        <f>SalesData[[#This Row],[Profit]]/SalesData[[#This Row],[Sales]]</f>
        <v>0.28216566549439498</v>
      </c>
      <c r="M753" t="str">
        <f>TEXT(SalesData[[#This Row],[Order_Date]],"mmm")</f>
        <v>Jan</v>
      </c>
      <c r="N753">
        <f>YEAR(SalesData[[#This Row],[Order_Date]])</f>
        <v>2022</v>
      </c>
    </row>
    <row r="754" spans="1:14" x14ac:dyDescent="0.3">
      <c r="A754" t="s">
        <v>1663</v>
      </c>
      <c r="B754" s="1">
        <v>45106</v>
      </c>
      <c r="C754" t="s">
        <v>1664</v>
      </c>
      <c r="D754" t="s">
        <v>40</v>
      </c>
      <c r="E754" t="s">
        <v>13</v>
      </c>
      <c r="F754" t="s">
        <v>36</v>
      </c>
      <c r="G754" t="s">
        <v>1665</v>
      </c>
      <c r="H754" s="8">
        <v>4812.6400000000003</v>
      </c>
      <c r="I754" s="8">
        <v>-1806.61</v>
      </c>
      <c r="J754" s="8">
        <v>0.2</v>
      </c>
      <c r="K754" t="str">
        <f>IF(SalesData[[#This Row],[Profit]]&gt;0,"Profit","Loss")</f>
        <v>Loss</v>
      </c>
      <c r="L754" s="8">
        <f>SalesData[[#This Row],[Profit]]/SalesData[[#This Row],[Sales]]</f>
        <v>-0.3753885601250041</v>
      </c>
      <c r="M754" t="str">
        <f>TEXT(SalesData[[#This Row],[Order_Date]],"mmm")</f>
        <v>Jun</v>
      </c>
      <c r="N754">
        <f>YEAR(SalesData[[#This Row],[Order_Date]])</f>
        <v>2023</v>
      </c>
    </row>
    <row r="755" spans="1:14" x14ac:dyDescent="0.3">
      <c r="A755" t="s">
        <v>1666</v>
      </c>
      <c r="B755" s="1">
        <v>44835</v>
      </c>
      <c r="C755" t="s">
        <v>1278</v>
      </c>
      <c r="D755" t="s">
        <v>40</v>
      </c>
      <c r="E755" t="s">
        <v>19</v>
      </c>
      <c r="F755" t="s">
        <v>141</v>
      </c>
      <c r="G755" t="s">
        <v>1132</v>
      </c>
      <c r="H755" s="8">
        <v>4598.41</v>
      </c>
      <c r="I755" s="8">
        <v>-1191.08</v>
      </c>
      <c r="J755" s="8">
        <v>0.26</v>
      </c>
      <c r="K755" t="str">
        <f>IF(SalesData[[#This Row],[Profit]]&gt;0,"Profit","Loss")</f>
        <v>Loss</v>
      </c>
      <c r="L755" s="8">
        <f>SalesData[[#This Row],[Profit]]/SalesData[[#This Row],[Sales]]</f>
        <v>-0.25901996559680412</v>
      </c>
      <c r="M755" t="str">
        <f>TEXT(SalesData[[#This Row],[Order_Date]],"mmm")</f>
        <v>Oct</v>
      </c>
      <c r="N755">
        <f>YEAR(SalesData[[#This Row],[Order_Date]])</f>
        <v>2022</v>
      </c>
    </row>
    <row r="756" spans="1:14" x14ac:dyDescent="0.3">
      <c r="A756" t="s">
        <v>1667</v>
      </c>
      <c r="B756" s="1">
        <v>45250</v>
      </c>
      <c r="C756" t="s">
        <v>430</v>
      </c>
      <c r="D756" t="s">
        <v>18</v>
      </c>
      <c r="E756" t="s">
        <v>13</v>
      </c>
      <c r="F756" t="s">
        <v>36</v>
      </c>
      <c r="G756" t="s">
        <v>1539</v>
      </c>
      <c r="H756" s="8">
        <v>2359.4299999999998</v>
      </c>
      <c r="I756" s="8">
        <v>-601.47</v>
      </c>
      <c r="J756" s="8">
        <v>0.2</v>
      </c>
      <c r="K756" t="str">
        <f>IF(SalesData[[#This Row],[Profit]]&gt;0,"Profit","Loss")</f>
        <v>Loss</v>
      </c>
      <c r="L756" s="8">
        <f>SalesData[[#This Row],[Profit]]/SalesData[[#This Row],[Sales]]</f>
        <v>-0.25492173957269343</v>
      </c>
      <c r="M756" t="str">
        <f>TEXT(SalesData[[#This Row],[Order_Date]],"mmm")</f>
        <v>Nov</v>
      </c>
      <c r="N756">
        <f>YEAR(SalesData[[#This Row],[Order_Date]])</f>
        <v>2023</v>
      </c>
    </row>
    <row r="757" spans="1:14" x14ac:dyDescent="0.3">
      <c r="A757" t="s">
        <v>1668</v>
      </c>
      <c r="B757" s="1">
        <v>45250</v>
      </c>
      <c r="C757" t="s">
        <v>134</v>
      </c>
      <c r="D757" t="s">
        <v>12</v>
      </c>
      <c r="E757" t="s">
        <v>19</v>
      </c>
      <c r="F757" t="s">
        <v>141</v>
      </c>
      <c r="G757" t="s">
        <v>1234</v>
      </c>
      <c r="H757" s="8">
        <v>3482.36</v>
      </c>
      <c r="I757" s="8">
        <v>273.60000000000002</v>
      </c>
      <c r="J757" s="8">
        <v>0.05</v>
      </c>
      <c r="K757" t="str">
        <f>IF(SalesData[[#This Row],[Profit]]&gt;0,"Profit","Loss")</f>
        <v>Profit</v>
      </c>
      <c r="L757" s="8">
        <f>SalesData[[#This Row],[Profit]]/SalesData[[#This Row],[Sales]]</f>
        <v>7.8567408309307488E-2</v>
      </c>
      <c r="M757" t="str">
        <f>TEXT(SalesData[[#This Row],[Order_Date]],"mmm")</f>
        <v>Nov</v>
      </c>
      <c r="N757">
        <f>YEAR(SalesData[[#This Row],[Order_Date]])</f>
        <v>2023</v>
      </c>
    </row>
    <row r="758" spans="1:14" x14ac:dyDescent="0.3">
      <c r="A758" t="s">
        <v>1669</v>
      </c>
      <c r="B758" s="1">
        <v>44852</v>
      </c>
      <c r="C758" t="s">
        <v>845</v>
      </c>
      <c r="D758" t="s">
        <v>18</v>
      </c>
      <c r="E758" t="s">
        <v>19</v>
      </c>
      <c r="F758" t="s">
        <v>20</v>
      </c>
      <c r="G758" t="s">
        <v>1025</v>
      </c>
      <c r="H758" s="8">
        <v>2673.79</v>
      </c>
      <c r="I758" s="8">
        <v>-532.33000000000004</v>
      </c>
      <c r="J758" s="8">
        <v>0.21</v>
      </c>
      <c r="K758" t="str">
        <f>IF(SalesData[[#This Row],[Profit]]&gt;0,"Profit","Loss")</f>
        <v>Loss</v>
      </c>
      <c r="L758" s="8">
        <f>SalesData[[#This Row],[Profit]]/SalesData[[#This Row],[Sales]]</f>
        <v>-0.19909192569349127</v>
      </c>
      <c r="M758" t="str">
        <f>TEXT(SalesData[[#This Row],[Order_Date]],"mmm")</f>
        <v>Oct</v>
      </c>
      <c r="N758">
        <f>YEAR(SalesData[[#This Row],[Order_Date]])</f>
        <v>2022</v>
      </c>
    </row>
    <row r="759" spans="1:14" x14ac:dyDescent="0.3">
      <c r="A759" t="s">
        <v>1670</v>
      </c>
      <c r="B759" s="1">
        <v>44784</v>
      </c>
      <c r="C759" t="s">
        <v>1671</v>
      </c>
      <c r="D759" t="s">
        <v>12</v>
      </c>
      <c r="E759" t="s">
        <v>56</v>
      </c>
      <c r="F759" t="s">
        <v>73</v>
      </c>
      <c r="G759" t="s">
        <v>800</v>
      </c>
      <c r="H759" s="8">
        <v>550.51</v>
      </c>
      <c r="I759" s="8">
        <v>-47.36</v>
      </c>
      <c r="J759" s="8">
        <v>0.28000000000000003</v>
      </c>
      <c r="K759" t="str">
        <f>IF(SalesData[[#This Row],[Profit]]&gt;0,"Profit","Loss")</f>
        <v>Loss</v>
      </c>
      <c r="L759" s="8">
        <f>SalesData[[#This Row],[Profit]]/SalesData[[#This Row],[Sales]]</f>
        <v>-8.6029318268514648E-2</v>
      </c>
      <c r="M759" t="str">
        <f>TEXT(SalesData[[#This Row],[Order_Date]],"mmm")</f>
        <v>Aug</v>
      </c>
      <c r="N759">
        <f>YEAR(SalesData[[#This Row],[Order_Date]])</f>
        <v>2022</v>
      </c>
    </row>
    <row r="760" spans="1:14" x14ac:dyDescent="0.3">
      <c r="A760" t="s">
        <v>1672</v>
      </c>
      <c r="B760" s="1">
        <v>45225</v>
      </c>
      <c r="C760" t="s">
        <v>1673</v>
      </c>
      <c r="D760" t="s">
        <v>18</v>
      </c>
      <c r="E760" t="s">
        <v>56</v>
      </c>
      <c r="F760" t="s">
        <v>57</v>
      </c>
      <c r="G760" t="s">
        <v>581</v>
      </c>
      <c r="H760" s="8">
        <v>4296.5600000000004</v>
      </c>
      <c r="I760" s="8">
        <v>660.97</v>
      </c>
      <c r="J760" s="8">
        <v>0.04</v>
      </c>
      <c r="K760" t="str">
        <f>IF(SalesData[[#This Row],[Profit]]&gt;0,"Profit","Loss")</f>
        <v>Profit</v>
      </c>
      <c r="L760" s="8">
        <f>SalesData[[#This Row],[Profit]]/SalesData[[#This Row],[Sales]]</f>
        <v>0.15383702310685757</v>
      </c>
      <c r="M760" t="str">
        <f>TEXT(SalesData[[#This Row],[Order_Date]],"mmm")</f>
        <v>Oct</v>
      </c>
      <c r="N760">
        <f>YEAR(SalesData[[#This Row],[Order_Date]])</f>
        <v>2023</v>
      </c>
    </row>
    <row r="761" spans="1:14" x14ac:dyDescent="0.3">
      <c r="A761" t="s">
        <v>1674</v>
      </c>
      <c r="B761" s="1">
        <v>44639</v>
      </c>
      <c r="C761" t="s">
        <v>1675</v>
      </c>
      <c r="D761" t="s">
        <v>28</v>
      </c>
      <c r="E761" t="s">
        <v>56</v>
      </c>
      <c r="F761" t="s">
        <v>73</v>
      </c>
      <c r="G761" t="s">
        <v>774</v>
      </c>
      <c r="H761" s="8">
        <v>1002.89</v>
      </c>
      <c r="I761" s="8">
        <v>106.59</v>
      </c>
      <c r="J761" s="8">
        <v>0.09</v>
      </c>
      <c r="K761" t="str">
        <f>IF(SalesData[[#This Row],[Profit]]&gt;0,"Profit","Loss")</f>
        <v>Profit</v>
      </c>
      <c r="L761" s="8">
        <f>SalesData[[#This Row],[Profit]]/SalesData[[#This Row],[Sales]]</f>
        <v>0.10628284258492955</v>
      </c>
      <c r="M761" t="str">
        <f>TEXT(SalesData[[#This Row],[Order_Date]],"mmm")</f>
        <v>Mar</v>
      </c>
      <c r="N761">
        <f>YEAR(SalesData[[#This Row],[Order_Date]])</f>
        <v>2022</v>
      </c>
    </row>
    <row r="762" spans="1:14" x14ac:dyDescent="0.3">
      <c r="A762" t="s">
        <v>1676</v>
      </c>
      <c r="B762" s="1">
        <v>44825</v>
      </c>
      <c r="C762" t="s">
        <v>1677</v>
      </c>
      <c r="D762" t="s">
        <v>12</v>
      </c>
      <c r="E762" t="s">
        <v>19</v>
      </c>
      <c r="F762" t="s">
        <v>29</v>
      </c>
      <c r="G762" t="s">
        <v>1678</v>
      </c>
      <c r="H762" s="8">
        <v>3491.89</v>
      </c>
      <c r="I762" s="8">
        <v>216.75</v>
      </c>
      <c r="J762" s="8">
        <v>0.2</v>
      </c>
      <c r="K762" t="str">
        <f>IF(SalesData[[#This Row],[Profit]]&gt;0,"Profit","Loss")</f>
        <v>Profit</v>
      </c>
      <c r="L762" s="8">
        <f>SalesData[[#This Row],[Profit]]/SalesData[[#This Row],[Sales]]</f>
        <v>6.207240205161102E-2</v>
      </c>
      <c r="M762" t="str">
        <f>TEXT(SalesData[[#This Row],[Order_Date]],"mmm")</f>
        <v>Sep</v>
      </c>
      <c r="N762">
        <f>YEAR(SalesData[[#This Row],[Order_Date]])</f>
        <v>2022</v>
      </c>
    </row>
    <row r="763" spans="1:14" x14ac:dyDescent="0.3">
      <c r="A763" t="s">
        <v>1679</v>
      </c>
      <c r="B763" s="1">
        <v>44833</v>
      </c>
      <c r="C763" t="s">
        <v>1680</v>
      </c>
      <c r="D763" t="s">
        <v>28</v>
      </c>
      <c r="E763" t="s">
        <v>56</v>
      </c>
      <c r="F763" t="s">
        <v>95</v>
      </c>
      <c r="G763" t="s">
        <v>1625</v>
      </c>
      <c r="H763" s="8">
        <v>2004.09</v>
      </c>
      <c r="I763" s="8">
        <v>-691.52</v>
      </c>
      <c r="J763" s="8">
        <v>0.3</v>
      </c>
      <c r="K763" t="str">
        <f>IF(SalesData[[#This Row],[Profit]]&gt;0,"Profit","Loss")</f>
        <v>Loss</v>
      </c>
      <c r="L763" s="8">
        <f>SalesData[[#This Row],[Profit]]/SalesData[[#This Row],[Sales]]</f>
        <v>-0.34505436382597587</v>
      </c>
      <c r="M763" t="str">
        <f>TEXT(SalesData[[#This Row],[Order_Date]],"mmm")</f>
        <v>Sep</v>
      </c>
      <c r="N763">
        <f>YEAR(SalesData[[#This Row],[Order_Date]])</f>
        <v>2022</v>
      </c>
    </row>
    <row r="764" spans="1:14" x14ac:dyDescent="0.3">
      <c r="A764" t="s">
        <v>1681</v>
      </c>
      <c r="B764" s="1">
        <v>44709</v>
      </c>
      <c r="C764" t="s">
        <v>107</v>
      </c>
      <c r="D764" t="s">
        <v>28</v>
      </c>
      <c r="E764" t="s">
        <v>19</v>
      </c>
      <c r="F764" t="s">
        <v>20</v>
      </c>
      <c r="G764" t="s">
        <v>927</v>
      </c>
      <c r="H764" s="8">
        <v>3090.48</v>
      </c>
      <c r="I764" s="8">
        <v>139.80000000000001</v>
      </c>
      <c r="J764" s="8">
        <v>0.05</v>
      </c>
      <c r="K764" t="str">
        <f>IF(SalesData[[#This Row],[Profit]]&gt;0,"Profit","Loss")</f>
        <v>Profit</v>
      </c>
      <c r="L764" s="8">
        <f>SalesData[[#This Row],[Profit]]/SalesData[[#This Row],[Sales]]</f>
        <v>4.5235691543061278E-2</v>
      </c>
      <c r="M764" t="str">
        <f>TEXT(SalesData[[#This Row],[Order_Date]],"mmm")</f>
        <v>May</v>
      </c>
      <c r="N764">
        <f>YEAR(SalesData[[#This Row],[Order_Date]])</f>
        <v>2022</v>
      </c>
    </row>
    <row r="765" spans="1:14" x14ac:dyDescent="0.3">
      <c r="A765" t="s">
        <v>1682</v>
      </c>
      <c r="B765" s="1">
        <v>44597</v>
      </c>
      <c r="C765" t="s">
        <v>634</v>
      </c>
      <c r="D765" t="s">
        <v>12</v>
      </c>
      <c r="E765" t="s">
        <v>13</v>
      </c>
      <c r="F765" t="s">
        <v>24</v>
      </c>
      <c r="G765" t="s">
        <v>840</v>
      </c>
      <c r="H765" s="8">
        <v>620.62</v>
      </c>
      <c r="I765" s="8">
        <v>-108.36</v>
      </c>
      <c r="J765" s="8">
        <v>0.13</v>
      </c>
      <c r="K765" t="str">
        <f>IF(SalesData[[#This Row],[Profit]]&gt;0,"Profit","Loss")</f>
        <v>Loss</v>
      </c>
      <c r="L765" s="8">
        <f>SalesData[[#This Row],[Profit]]/SalesData[[#This Row],[Sales]]</f>
        <v>-0.17459959395443267</v>
      </c>
      <c r="M765" t="str">
        <f>TEXT(SalesData[[#This Row],[Order_Date]],"mmm")</f>
        <v>Feb</v>
      </c>
      <c r="N765">
        <f>YEAR(SalesData[[#This Row],[Order_Date]])</f>
        <v>2022</v>
      </c>
    </row>
    <row r="766" spans="1:14" x14ac:dyDescent="0.3">
      <c r="A766" t="s">
        <v>1683</v>
      </c>
      <c r="B766" s="1">
        <v>45230</v>
      </c>
      <c r="C766" t="s">
        <v>46</v>
      </c>
      <c r="D766" t="s">
        <v>12</v>
      </c>
      <c r="E766" t="s">
        <v>13</v>
      </c>
      <c r="F766" t="s">
        <v>36</v>
      </c>
      <c r="G766" t="s">
        <v>135</v>
      </c>
      <c r="H766" s="8">
        <v>3908.46</v>
      </c>
      <c r="I766" s="8">
        <v>346.37</v>
      </c>
      <c r="J766" s="8">
        <v>0.01</v>
      </c>
      <c r="K766" t="str">
        <f>IF(SalesData[[#This Row],[Profit]]&gt;0,"Profit","Loss")</f>
        <v>Profit</v>
      </c>
      <c r="L766" s="8">
        <f>SalesData[[#This Row],[Profit]]/SalesData[[#This Row],[Sales]]</f>
        <v>8.8620582019516642E-2</v>
      </c>
      <c r="M766" t="str">
        <f>TEXT(SalesData[[#This Row],[Order_Date]],"mmm")</f>
        <v>Oct</v>
      </c>
      <c r="N766">
        <f>YEAR(SalesData[[#This Row],[Order_Date]])</f>
        <v>2023</v>
      </c>
    </row>
    <row r="767" spans="1:14" x14ac:dyDescent="0.3">
      <c r="A767" t="s">
        <v>1684</v>
      </c>
      <c r="B767" s="1">
        <v>44962</v>
      </c>
      <c r="C767" t="s">
        <v>1614</v>
      </c>
      <c r="D767" t="s">
        <v>12</v>
      </c>
      <c r="E767" t="s">
        <v>56</v>
      </c>
      <c r="F767" t="s">
        <v>73</v>
      </c>
      <c r="G767" t="s">
        <v>92</v>
      </c>
      <c r="H767" s="8">
        <v>2013.37</v>
      </c>
      <c r="I767" s="8">
        <v>-104.9</v>
      </c>
      <c r="J767" s="8">
        <v>0.05</v>
      </c>
      <c r="K767" t="str">
        <f>IF(SalesData[[#This Row],[Profit]]&gt;0,"Profit","Loss")</f>
        <v>Loss</v>
      </c>
      <c r="L767" s="8">
        <f>SalesData[[#This Row],[Profit]]/SalesData[[#This Row],[Sales]]</f>
        <v>-5.2101700134600207E-2</v>
      </c>
      <c r="M767" t="str">
        <f>TEXT(SalesData[[#This Row],[Order_Date]],"mmm")</f>
        <v>Feb</v>
      </c>
      <c r="N767">
        <f>YEAR(SalesData[[#This Row],[Order_Date]])</f>
        <v>2023</v>
      </c>
    </row>
    <row r="768" spans="1:14" x14ac:dyDescent="0.3">
      <c r="A768" t="s">
        <v>1685</v>
      </c>
      <c r="B768" s="1">
        <v>44633</v>
      </c>
      <c r="C768" t="s">
        <v>107</v>
      </c>
      <c r="D768" t="s">
        <v>18</v>
      </c>
      <c r="E768" t="s">
        <v>13</v>
      </c>
      <c r="F768" t="s">
        <v>36</v>
      </c>
      <c r="G768" t="s">
        <v>1074</v>
      </c>
      <c r="H768" s="8">
        <v>2442.88</v>
      </c>
      <c r="I768" s="8">
        <v>284.99</v>
      </c>
      <c r="J768" s="8">
        <v>0.12</v>
      </c>
      <c r="K768" t="str">
        <f>IF(SalesData[[#This Row],[Profit]]&gt;0,"Profit","Loss")</f>
        <v>Profit</v>
      </c>
      <c r="L768" s="8">
        <f>SalesData[[#This Row],[Profit]]/SalesData[[#This Row],[Sales]]</f>
        <v>0.11666148152999738</v>
      </c>
      <c r="M768" t="str">
        <f>TEXT(SalesData[[#This Row],[Order_Date]],"mmm")</f>
        <v>Mar</v>
      </c>
      <c r="N768">
        <f>YEAR(SalesData[[#This Row],[Order_Date]])</f>
        <v>2022</v>
      </c>
    </row>
    <row r="769" spans="1:14" x14ac:dyDescent="0.3">
      <c r="A769" t="s">
        <v>1686</v>
      </c>
      <c r="B769" s="1">
        <v>44929</v>
      </c>
      <c r="C769" t="s">
        <v>1687</v>
      </c>
      <c r="D769" t="s">
        <v>40</v>
      </c>
      <c r="E769" t="s">
        <v>19</v>
      </c>
      <c r="F769" t="s">
        <v>141</v>
      </c>
      <c r="G769" t="s">
        <v>651</v>
      </c>
      <c r="H769" s="8">
        <v>4108.09</v>
      </c>
      <c r="I769" s="8">
        <v>1.42</v>
      </c>
      <c r="J769" s="8">
        <v>0.14000000000000001</v>
      </c>
      <c r="K769" t="str">
        <f>IF(SalesData[[#This Row],[Profit]]&gt;0,"Profit","Loss")</f>
        <v>Profit</v>
      </c>
      <c r="L769" s="8">
        <f>SalesData[[#This Row],[Profit]]/SalesData[[#This Row],[Sales]]</f>
        <v>3.4565941836717305E-4</v>
      </c>
      <c r="M769" t="str">
        <f>TEXT(SalesData[[#This Row],[Order_Date]],"mmm")</f>
        <v>Jan</v>
      </c>
      <c r="N769">
        <f>YEAR(SalesData[[#This Row],[Order_Date]])</f>
        <v>2023</v>
      </c>
    </row>
    <row r="770" spans="1:14" x14ac:dyDescent="0.3">
      <c r="A770" t="s">
        <v>1688</v>
      </c>
      <c r="B770" s="1">
        <v>44910</v>
      </c>
      <c r="C770" t="s">
        <v>213</v>
      </c>
      <c r="D770" t="s">
        <v>28</v>
      </c>
      <c r="E770" t="s">
        <v>56</v>
      </c>
      <c r="F770" t="s">
        <v>73</v>
      </c>
      <c r="G770" t="s">
        <v>500</v>
      </c>
      <c r="H770" s="8">
        <v>4985.38</v>
      </c>
      <c r="I770" s="8">
        <v>-851.44</v>
      </c>
      <c r="J770" s="8">
        <v>0.19</v>
      </c>
      <c r="K770" t="str">
        <f>IF(SalesData[[#This Row],[Profit]]&gt;0,"Profit","Loss")</f>
        <v>Loss</v>
      </c>
      <c r="L770" s="8">
        <f>SalesData[[#This Row],[Profit]]/SalesData[[#This Row],[Sales]]</f>
        <v>-0.17078738230586235</v>
      </c>
      <c r="M770" t="str">
        <f>TEXT(SalesData[[#This Row],[Order_Date]],"mmm")</f>
        <v>Dec</v>
      </c>
      <c r="N770">
        <f>YEAR(SalesData[[#This Row],[Order_Date]])</f>
        <v>2022</v>
      </c>
    </row>
    <row r="771" spans="1:14" x14ac:dyDescent="0.3">
      <c r="A771" t="s">
        <v>1689</v>
      </c>
      <c r="B771" s="1">
        <v>45238</v>
      </c>
      <c r="C771" t="s">
        <v>1155</v>
      </c>
      <c r="D771" t="s">
        <v>40</v>
      </c>
      <c r="E771" t="s">
        <v>19</v>
      </c>
      <c r="F771" t="s">
        <v>141</v>
      </c>
      <c r="G771" t="s">
        <v>942</v>
      </c>
      <c r="H771" s="8">
        <v>1095.29</v>
      </c>
      <c r="I771" s="8">
        <v>230.57</v>
      </c>
      <c r="J771" s="8">
        <v>0.17</v>
      </c>
      <c r="K771" t="str">
        <f>IF(SalesData[[#This Row],[Profit]]&gt;0,"Profit","Loss")</f>
        <v>Profit</v>
      </c>
      <c r="L771" s="8">
        <f>SalesData[[#This Row],[Profit]]/SalesData[[#This Row],[Sales]]</f>
        <v>0.21051045841740543</v>
      </c>
      <c r="M771" t="str">
        <f>TEXT(SalesData[[#This Row],[Order_Date]],"mmm")</f>
        <v>Nov</v>
      </c>
      <c r="N771">
        <f>YEAR(SalesData[[#This Row],[Order_Date]])</f>
        <v>2023</v>
      </c>
    </row>
    <row r="772" spans="1:14" x14ac:dyDescent="0.3">
      <c r="A772" t="s">
        <v>1690</v>
      </c>
      <c r="B772" s="1">
        <v>45209</v>
      </c>
      <c r="C772" t="s">
        <v>1691</v>
      </c>
      <c r="D772" t="s">
        <v>18</v>
      </c>
      <c r="E772" t="s">
        <v>19</v>
      </c>
      <c r="F772" t="s">
        <v>20</v>
      </c>
      <c r="G772" t="s">
        <v>860</v>
      </c>
      <c r="H772" s="8">
        <v>3190.02</v>
      </c>
      <c r="I772" s="8">
        <v>-826.48</v>
      </c>
      <c r="J772" s="8">
        <v>0.11</v>
      </c>
      <c r="K772" t="str">
        <f>IF(SalesData[[#This Row],[Profit]]&gt;0,"Profit","Loss")</f>
        <v>Loss</v>
      </c>
      <c r="L772" s="8">
        <f>SalesData[[#This Row],[Profit]]/SalesData[[#This Row],[Sales]]</f>
        <v>-0.25908301515351001</v>
      </c>
      <c r="M772" t="str">
        <f>TEXT(SalesData[[#This Row],[Order_Date]],"mmm")</f>
        <v>Oct</v>
      </c>
      <c r="N772">
        <f>YEAR(SalesData[[#This Row],[Order_Date]])</f>
        <v>2023</v>
      </c>
    </row>
    <row r="773" spans="1:14" x14ac:dyDescent="0.3">
      <c r="A773" t="s">
        <v>1692</v>
      </c>
      <c r="B773" s="1">
        <v>44960</v>
      </c>
      <c r="C773" t="s">
        <v>571</v>
      </c>
      <c r="D773" t="s">
        <v>40</v>
      </c>
      <c r="E773" t="s">
        <v>56</v>
      </c>
      <c r="F773" t="s">
        <v>57</v>
      </c>
      <c r="G773" t="s">
        <v>598</v>
      </c>
      <c r="H773" s="8">
        <v>224.29</v>
      </c>
      <c r="I773" s="8">
        <v>-80.05</v>
      </c>
      <c r="J773" s="8">
        <v>0.3</v>
      </c>
      <c r="K773" t="str">
        <f>IF(SalesData[[#This Row],[Profit]]&gt;0,"Profit","Loss")</f>
        <v>Loss</v>
      </c>
      <c r="L773" s="8">
        <f>SalesData[[#This Row],[Profit]]/SalesData[[#This Row],[Sales]]</f>
        <v>-0.35690400820366491</v>
      </c>
      <c r="M773" t="str">
        <f>TEXT(SalesData[[#This Row],[Order_Date]],"mmm")</f>
        <v>Feb</v>
      </c>
      <c r="N773">
        <f>YEAR(SalesData[[#This Row],[Order_Date]])</f>
        <v>2023</v>
      </c>
    </row>
    <row r="774" spans="1:14" x14ac:dyDescent="0.3">
      <c r="A774" t="s">
        <v>1693</v>
      </c>
      <c r="B774" s="1">
        <v>44907</v>
      </c>
      <c r="C774" t="s">
        <v>467</v>
      </c>
      <c r="D774" t="s">
        <v>12</v>
      </c>
      <c r="E774" t="s">
        <v>13</v>
      </c>
      <c r="F774" t="s">
        <v>36</v>
      </c>
      <c r="G774" t="s">
        <v>488</v>
      </c>
      <c r="H774" s="8">
        <v>4836.21</v>
      </c>
      <c r="I774" s="8">
        <v>17.27</v>
      </c>
      <c r="J774" s="8">
        <v>0</v>
      </c>
      <c r="K774" t="str">
        <f>IF(SalesData[[#This Row],[Profit]]&gt;0,"Profit","Loss")</f>
        <v>Profit</v>
      </c>
      <c r="L774" s="8">
        <f>SalesData[[#This Row],[Profit]]/SalesData[[#This Row],[Sales]]</f>
        <v>3.5709781006201136E-3</v>
      </c>
      <c r="M774" t="str">
        <f>TEXT(SalesData[[#This Row],[Order_Date]],"mmm")</f>
        <v>Dec</v>
      </c>
      <c r="N774">
        <f>YEAR(SalesData[[#This Row],[Order_Date]])</f>
        <v>2022</v>
      </c>
    </row>
    <row r="775" spans="1:14" x14ac:dyDescent="0.3">
      <c r="A775" t="s">
        <v>1694</v>
      </c>
      <c r="B775" s="1">
        <v>45256</v>
      </c>
      <c r="C775" t="s">
        <v>732</v>
      </c>
      <c r="D775" t="s">
        <v>18</v>
      </c>
      <c r="E775" t="s">
        <v>56</v>
      </c>
      <c r="F775" t="s">
        <v>57</v>
      </c>
      <c r="G775" t="s">
        <v>1695</v>
      </c>
      <c r="H775" s="8">
        <v>4054.81</v>
      </c>
      <c r="I775" s="8">
        <v>-506.76</v>
      </c>
      <c r="J775" s="8">
        <v>0.2</v>
      </c>
      <c r="K775" t="str">
        <f>IF(SalesData[[#This Row],[Profit]]&gt;0,"Profit","Loss")</f>
        <v>Loss</v>
      </c>
      <c r="L775" s="8">
        <f>SalesData[[#This Row],[Profit]]/SalesData[[#This Row],[Sales]]</f>
        <v>-0.12497749586293809</v>
      </c>
      <c r="M775" t="str">
        <f>TEXT(SalesData[[#This Row],[Order_Date]],"mmm")</f>
        <v>Nov</v>
      </c>
      <c r="N775">
        <f>YEAR(SalesData[[#This Row],[Order_Date]])</f>
        <v>2023</v>
      </c>
    </row>
    <row r="776" spans="1:14" x14ac:dyDescent="0.3">
      <c r="A776" t="s">
        <v>1696</v>
      </c>
      <c r="B776" s="1">
        <v>45231</v>
      </c>
      <c r="C776" t="s">
        <v>1289</v>
      </c>
      <c r="D776" t="s">
        <v>28</v>
      </c>
      <c r="E776" t="s">
        <v>13</v>
      </c>
      <c r="F776" t="s">
        <v>14</v>
      </c>
      <c r="G776" t="s">
        <v>1697</v>
      </c>
      <c r="H776" s="8">
        <v>4631.6000000000004</v>
      </c>
      <c r="I776" s="8">
        <v>-579.16</v>
      </c>
      <c r="J776" s="8">
        <v>0.01</v>
      </c>
      <c r="K776" t="str">
        <f>IF(SalesData[[#This Row],[Profit]]&gt;0,"Profit","Loss")</f>
        <v>Loss</v>
      </c>
      <c r="L776" s="8">
        <f>SalesData[[#This Row],[Profit]]/SalesData[[#This Row],[Sales]]</f>
        <v>-0.12504534070299678</v>
      </c>
      <c r="M776" t="str">
        <f>TEXT(SalesData[[#This Row],[Order_Date]],"mmm")</f>
        <v>Nov</v>
      </c>
      <c r="N776">
        <f>YEAR(SalesData[[#This Row],[Order_Date]])</f>
        <v>2023</v>
      </c>
    </row>
    <row r="777" spans="1:14" x14ac:dyDescent="0.3">
      <c r="A777" t="s">
        <v>1698</v>
      </c>
      <c r="B777" s="1">
        <v>45209</v>
      </c>
      <c r="C777" t="s">
        <v>201</v>
      </c>
      <c r="D777" t="s">
        <v>40</v>
      </c>
      <c r="E777" t="s">
        <v>13</v>
      </c>
      <c r="F777" t="s">
        <v>14</v>
      </c>
      <c r="G777" t="s">
        <v>282</v>
      </c>
      <c r="H777" s="8">
        <v>1289.1400000000001</v>
      </c>
      <c r="I777" s="8">
        <v>-491.65</v>
      </c>
      <c r="J777" s="8">
        <v>0.19</v>
      </c>
      <c r="K777" t="str">
        <f>IF(SalesData[[#This Row],[Profit]]&gt;0,"Profit","Loss")</f>
        <v>Loss</v>
      </c>
      <c r="L777" s="8">
        <f>SalesData[[#This Row],[Profit]]/SalesData[[#This Row],[Sales]]</f>
        <v>-0.38137828319654959</v>
      </c>
      <c r="M777" t="str">
        <f>TEXT(SalesData[[#This Row],[Order_Date]],"mmm")</f>
        <v>Oct</v>
      </c>
      <c r="N777">
        <f>YEAR(SalesData[[#This Row],[Order_Date]])</f>
        <v>2023</v>
      </c>
    </row>
    <row r="778" spans="1:14" x14ac:dyDescent="0.3">
      <c r="A778" t="s">
        <v>1699</v>
      </c>
      <c r="B778" s="1">
        <v>44670</v>
      </c>
      <c r="C778" t="s">
        <v>1700</v>
      </c>
      <c r="D778" t="s">
        <v>28</v>
      </c>
      <c r="E778" t="s">
        <v>56</v>
      </c>
      <c r="F778" t="s">
        <v>95</v>
      </c>
      <c r="G778" t="s">
        <v>1165</v>
      </c>
      <c r="H778" s="8">
        <v>3095.01</v>
      </c>
      <c r="I778" s="8">
        <v>-1273.98</v>
      </c>
      <c r="J778" s="8">
        <v>0.25</v>
      </c>
      <c r="K778" t="str">
        <f>IF(SalesData[[#This Row],[Profit]]&gt;0,"Profit","Loss")</f>
        <v>Loss</v>
      </c>
      <c r="L778" s="8">
        <f>SalesData[[#This Row],[Profit]]/SalesData[[#This Row],[Sales]]</f>
        <v>-0.41162387197456551</v>
      </c>
      <c r="M778" t="str">
        <f>TEXT(SalesData[[#This Row],[Order_Date]],"mmm")</f>
        <v>Apr</v>
      </c>
      <c r="N778">
        <f>YEAR(SalesData[[#This Row],[Order_Date]])</f>
        <v>2022</v>
      </c>
    </row>
    <row r="779" spans="1:14" x14ac:dyDescent="0.3">
      <c r="A779" t="s">
        <v>1701</v>
      </c>
      <c r="B779" s="1">
        <v>45256</v>
      </c>
      <c r="C779" t="s">
        <v>658</v>
      </c>
      <c r="D779" t="s">
        <v>40</v>
      </c>
      <c r="E779" t="s">
        <v>13</v>
      </c>
      <c r="F779" t="s">
        <v>14</v>
      </c>
      <c r="G779" t="s">
        <v>987</v>
      </c>
      <c r="H779" s="8">
        <v>409.24</v>
      </c>
      <c r="I779" s="8">
        <v>-23.57</v>
      </c>
      <c r="J779" s="8">
        <v>0.06</v>
      </c>
      <c r="K779" t="str">
        <f>IF(SalesData[[#This Row],[Profit]]&gt;0,"Profit","Loss")</f>
        <v>Loss</v>
      </c>
      <c r="L779" s="8">
        <f>SalesData[[#This Row],[Profit]]/SalesData[[#This Row],[Sales]]</f>
        <v>-5.7594565536115729E-2</v>
      </c>
      <c r="M779" t="str">
        <f>TEXT(SalesData[[#This Row],[Order_Date]],"mmm")</f>
        <v>Nov</v>
      </c>
      <c r="N779">
        <f>YEAR(SalesData[[#This Row],[Order_Date]])</f>
        <v>2023</v>
      </c>
    </row>
    <row r="780" spans="1:14" x14ac:dyDescent="0.3">
      <c r="A780" t="s">
        <v>1702</v>
      </c>
      <c r="B780" s="1">
        <v>44780</v>
      </c>
      <c r="C780" t="s">
        <v>478</v>
      </c>
      <c r="D780" t="s">
        <v>12</v>
      </c>
      <c r="E780" t="s">
        <v>13</v>
      </c>
      <c r="F780" t="s">
        <v>24</v>
      </c>
      <c r="G780" t="s">
        <v>1703</v>
      </c>
      <c r="H780" s="8">
        <v>2774.84</v>
      </c>
      <c r="I780" s="8">
        <v>773.67</v>
      </c>
      <c r="J780" s="8">
        <v>0.1</v>
      </c>
      <c r="K780" t="str">
        <f>IF(SalesData[[#This Row],[Profit]]&gt;0,"Profit","Loss")</f>
        <v>Profit</v>
      </c>
      <c r="L780" s="8">
        <f>SalesData[[#This Row],[Profit]]/SalesData[[#This Row],[Sales]]</f>
        <v>0.27881607588185264</v>
      </c>
      <c r="M780" t="str">
        <f>TEXT(SalesData[[#This Row],[Order_Date]],"mmm")</f>
        <v>Aug</v>
      </c>
      <c r="N780">
        <f>YEAR(SalesData[[#This Row],[Order_Date]])</f>
        <v>2022</v>
      </c>
    </row>
    <row r="781" spans="1:14" x14ac:dyDescent="0.3">
      <c r="A781" t="s">
        <v>1704</v>
      </c>
      <c r="B781" s="1">
        <v>44734</v>
      </c>
      <c r="C781" t="s">
        <v>113</v>
      </c>
      <c r="D781" t="s">
        <v>40</v>
      </c>
      <c r="E781" t="s">
        <v>56</v>
      </c>
      <c r="F781" t="s">
        <v>95</v>
      </c>
      <c r="G781" t="s">
        <v>1084</v>
      </c>
      <c r="H781" s="8">
        <v>409.79</v>
      </c>
      <c r="I781" s="8">
        <v>71.52</v>
      </c>
      <c r="J781" s="8">
        <v>0.08</v>
      </c>
      <c r="K781" t="str">
        <f>IF(SalesData[[#This Row],[Profit]]&gt;0,"Profit","Loss")</f>
        <v>Profit</v>
      </c>
      <c r="L781" s="8">
        <f>SalesData[[#This Row],[Profit]]/SalesData[[#This Row],[Sales]]</f>
        <v>0.17452841699407012</v>
      </c>
      <c r="M781" t="str">
        <f>TEXT(SalesData[[#This Row],[Order_Date]],"mmm")</f>
        <v>Jun</v>
      </c>
      <c r="N781">
        <f>YEAR(SalesData[[#This Row],[Order_Date]])</f>
        <v>2022</v>
      </c>
    </row>
    <row r="782" spans="1:14" x14ac:dyDescent="0.3">
      <c r="A782" t="s">
        <v>1705</v>
      </c>
      <c r="B782" s="1">
        <v>45209</v>
      </c>
      <c r="C782" t="s">
        <v>1601</v>
      </c>
      <c r="D782" t="s">
        <v>28</v>
      </c>
      <c r="E782" t="s">
        <v>56</v>
      </c>
      <c r="F782" t="s">
        <v>95</v>
      </c>
      <c r="G782" t="s">
        <v>241</v>
      </c>
      <c r="H782" s="8">
        <v>1293.8599999999999</v>
      </c>
      <c r="I782" s="8">
        <v>-375.19</v>
      </c>
      <c r="J782" s="8">
        <v>0.17</v>
      </c>
      <c r="K782" t="str">
        <f>IF(SalesData[[#This Row],[Profit]]&gt;0,"Profit","Loss")</f>
        <v>Loss</v>
      </c>
      <c r="L782" s="8">
        <f>SalesData[[#This Row],[Profit]]/SalesData[[#This Row],[Sales]]</f>
        <v>-0.28997727729429773</v>
      </c>
      <c r="M782" t="str">
        <f>TEXT(SalesData[[#This Row],[Order_Date]],"mmm")</f>
        <v>Oct</v>
      </c>
      <c r="N782">
        <f>YEAR(SalesData[[#This Row],[Order_Date]])</f>
        <v>2023</v>
      </c>
    </row>
    <row r="783" spans="1:14" x14ac:dyDescent="0.3">
      <c r="A783" t="s">
        <v>1706</v>
      </c>
      <c r="B783" s="1">
        <v>44653</v>
      </c>
      <c r="C783" t="s">
        <v>1451</v>
      </c>
      <c r="D783" t="s">
        <v>40</v>
      </c>
      <c r="E783" t="s">
        <v>56</v>
      </c>
      <c r="F783" t="s">
        <v>57</v>
      </c>
      <c r="G783" t="s">
        <v>1489</v>
      </c>
      <c r="H783" s="8">
        <v>4410.17</v>
      </c>
      <c r="I783" s="8">
        <v>-951.12</v>
      </c>
      <c r="J783" s="8">
        <v>0.02</v>
      </c>
      <c r="K783" t="str">
        <f>IF(SalesData[[#This Row],[Profit]]&gt;0,"Profit","Loss")</f>
        <v>Loss</v>
      </c>
      <c r="L783" s="8">
        <f>SalesData[[#This Row],[Profit]]/SalesData[[#This Row],[Sales]]</f>
        <v>-0.2156651557649705</v>
      </c>
      <c r="M783" t="str">
        <f>TEXT(SalesData[[#This Row],[Order_Date]],"mmm")</f>
        <v>Apr</v>
      </c>
      <c r="N783">
        <f>YEAR(SalesData[[#This Row],[Order_Date]])</f>
        <v>2022</v>
      </c>
    </row>
    <row r="784" spans="1:14" x14ac:dyDescent="0.3">
      <c r="A784" t="s">
        <v>1707</v>
      </c>
      <c r="B784" s="1">
        <v>45097</v>
      </c>
      <c r="C784" t="s">
        <v>1708</v>
      </c>
      <c r="D784" t="s">
        <v>28</v>
      </c>
      <c r="E784" t="s">
        <v>13</v>
      </c>
      <c r="F784" t="s">
        <v>36</v>
      </c>
      <c r="G784" t="s">
        <v>1709</v>
      </c>
      <c r="H784" s="8">
        <v>3492.56</v>
      </c>
      <c r="I784" s="8">
        <v>432.71</v>
      </c>
      <c r="J784" s="8">
        <v>0.06</v>
      </c>
      <c r="K784" t="str">
        <f>IF(SalesData[[#This Row],[Profit]]&gt;0,"Profit","Loss")</f>
        <v>Profit</v>
      </c>
      <c r="L784" s="8">
        <f>SalesData[[#This Row],[Profit]]/SalesData[[#This Row],[Sales]]</f>
        <v>0.12389479350390543</v>
      </c>
      <c r="M784" t="str">
        <f>TEXT(SalesData[[#This Row],[Order_Date]],"mmm")</f>
        <v>Jun</v>
      </c>
      <c r="N784">
        <f>YEAR(SalesData[[#This Row],[Order_Date]])</f>
        <v>2023</v>
      </c>
    </row>
    <row r="785" spans="1:14" x14ac:dyDescent="0.3">
      <c r="A785" t="s">
        <v>1710</v>
      </c>
      <c r="B785" s="1">
        <v>45188</v>
      </c>
      <c r="C785" t="s">
        <v>1711</v>
      </c>
      <c r="D785" t="s">
        <v>40</v>
      </c>
      <c r="E785" t="s">
        <v>56</v>
      </c>
      <c r="F785" t="s">
        <v>73</v>
      </c>
      <c r="G785" t="s">
        <v>1712</v>
      </c>
      <c r="H785" s="8">
        <v>3489.2</v>
      </c>
      <c r="I785" s="8">
        <v>175.57</v>
      </c>
      <c r="J785" s="8">
        <v>0.18</v>
      </c>
      <c r="K785" t="str">
        <f>IF(SalesData[[#This Row],[Profit]]&gt;0,"Profit","Loss")</f>
        <v>Profit</v>
      </c>
      <c r="L785" s="8">
        <f>SalesData[[#This Row],[Profit]]/SalesData[[#This Row],[Sales]]</f>
        <v>5.0318124498452368E-2</v>
      </c>
      <c r="M785" t="str">
        <f>TEXT(SalesData[[#This Row],[Order_Date]],"mmm")</f>
        <v>Sep</v>
      </c>
      <c r="N785">
        <f>YEAR(SalesData[[#This Row],[Order_Date]])</f>
        <v>2023</v>
      </c>
    </row>
    <row r="786" spans="1:14" x14ac:dyDescent="0.3">
      <c r="A786" t="s">
        <v>1713</v>
      </c>
      <c r="B786" s="1">
        <v>44659</v>
      </c>
      <c r="C786" t="s">
        <v>1368</v>
      </c>
      <c r="D786" t="s">
        <v>40</v>
      </c>
      <c r="E786" t="s">
        <v>19</v>
      </c>
      <c r="F786" t="s">
        <v>20</v>
      </c>
      <c r="G786" t="s">
        <v>1148</v>
      </c>
      <c r="H786" s="8">
        <v>2832.78</v>
      </c>
      <c r="I786" s="8">
        <v>940.38</v>
      </c>
      <c r="J786" s="8">
        <v>0.06</v>
      </c>
      <c r="K786" t="str">
        <f>IF(SalesData[[#This Row],[Profit]]&gt;0,"Profit","Loss")</f>
        <v>Profit</v>
      </c>
      <c r="L786" s="8">
        <f>SalesData[[#This Row],[Profit]]/SalesData[[#This Row],[Sales]]</f>
        <v>0.33196365407832584</v>
      </c>
      <c r="M786" t="str">
        <f>TEXT(SalesData[[#This Row],[Order_Date]],"mmm")</f>
        <v>Apr</v>
      </c>
      <c r="N786">
        <f>YEAR(SalesData[[#This Row],[Order_Date]])</f>
        <v>2022</v>
      </c>
    </row>
    <row r="787" spans="1:14" x14ac:dyDescent="0.3">
      <c r="A787" t="s">
        <v>1714</v>
      </c>
      <c r="B787" s="1">
        <v>44845</v>
      </c>
      <c r="C787" t="s">
        <v>823</v>
      </c>
      <c r="D787" t="s">
        <v>18</v>
      </c>
      <c r="E787" t="s">
        <v>13</v>
      </c>
      <c r="F787" t="s">
        <v>24</v>
      </c>
      <c r="G787" t="s">
        <v>67</v>
      </c>
      <c r="H787" s="8">
        <v>1174.45</v>
      </c>
      <c r="I787" s="8">
        <v>-40.409999999999997</v>
      </c>
      <c r="J787" s="8">
        <v>0.23</v>
      </c>
      <c r="K787" t="str">
        <f>IF(SalesData[[#This Row],[Profit]]&gt;0,"Profit","Loss")</f>
        <v>Loss</v>
      </c>
      <c r="L787" s="8">
        <f>SalesData[[#This Row],[Profit]]/SalesData[[#This Row],[Sales]]</f>
        <v>-3.4407595044488905E-2</v>
      </c>
      <c r="M787" t="str">
        <f>TEXT(SalesData[[#This Row],[Order_Date]],"mmm")</f>
        <v>Oct</v>
      </c>
      <c r="N787">
        <f>YEAR(SalesData[[#This Row],[Order_Date]])</f>
        <v>2022</v>
      </c>
    </row>
    <row r="788" spans="1:14" x14ac:dyDescent="0.3">
      <c r="A788" t="s">
        <v>1715</v>
      </c>
      <c r="B788" s="1">
        <v>44725</v>
      </c>
      <c r="C788" t="s">
        <v>1058</v>
      </c>
      <c r="D788" t="s">
        <v>12</v>
      </c>
      <c r="E788" t="s">
        <v>56</v>
      </c>
      <c r="F788" t="s">
        <v>73</v>
      </c>
      <c r="G788" t="s">
        <v>1492</v>
      </c>
      <c r="H788" s="8">
        <v>4234.53</v>
      </c>
      <c r="I788" s="8">
        <v>-726.18</v>
      </c>
      <c r="J788" s="8">
        <v>0.27</v>
      </c>
      <c r="K788" t="str">
        <f>IF(SalesData[[#This Row],[Profit]]&gt;0,"Profit","Loss")</f>
        <v>Loss</v>
      </c>
      <c r="L788" s="8">
        <f>SalesData[[#This Row],[Profit]]/SalesData[[#This Row],[Sales]]</f>
        <v>-0.17149010634001885</v>
      </c>
      <c r="M788" t="str">
        <f>TEXT(SalesData[[#This Row],[Order_Date]],"mmm")</f>
        <v>Jun</v>
      </c>
      <c r="N788">
        <f>YEAR(SalesData[[#This Row],[Order_Date]])</f>
        <v>2022</v>
      </c>
    </row>
    <row r="789" spans="1:14" x14ac:dyDescent="0.3">
      <c r="A789" t="s">
        <v>1716</v>
      </c>
      <c r="B789" s="1">
        <v>45026</v>
      </c>
      <c r="C789" t="s">
        <v>435</v>
      </c>
      <c r="D789" t="s">
        <v>12</v>
      </c>
      <c r="E789" t="s">
        <v>13</v>
      </c>
      <c r="F789" t="s">
        <v>36</v>
      </c>
      <c r="G789" t="s">
        <v>1695</v>
      </c>
      <c r="H789" s="8">
        <v>1496.82</v>
      </c>
      <c r="I789" s="8">
        <v>-193.72</v>
      </c>
      <c r="J789" s="8">
        <v>0.13</v>
      </c>
      <c r="K789" t="str">
        <f>IF(SalesData[[#This Row],[Profit]]&gt;0,"Profit","Loss")</f>
        <v>Loss</v>
      </c>
      <c r="L789" s="8">
        <f>SalesData[[#This Row],[Profit]]/SalesData[[#This Row],[Sales]]</f>
        <v>-0.12942103926991891</v>
      </c>
      <c r="M789" t="str">
        <f>TEXT(SalesData[[#This Row],[Order_Date]],"mmm")</f>
        <v>Apr</v>
      </c>
      <c r="N789">
        <f>YEAR(SalesData[[#This Row],[Order_Date]])</f>
        <v>2023</v>
      </c>
    </row>
    <row r="790" spans="1:14" x14ac:dyDescent="0.3">
      <c r="A790" t="s">
        <v>1717</v>
      </c>
      <c r="B790" s="1">
        <v>44680</v>
      </c>
      <c r="C790" t="s">
        <v>1617</v>
      </c>
      <c r="D790" t="s">
        <v>18</v>
      </c>
      <c r="E790" t="s">
        <v>56</v>
      </c>
      <c r="F790" t="s">
        <v>73</v>
      </c>
      <c r="G790" t="s">
        <v>534</v>
      </c>
      <c r="H790" s="8">
        <v>961.85</v>
      </c>
      <c r="I790" s="8">
        <v>-143.28</v>
      </c>
      <c r="J790" s="8">
        <v>0.24</v>
      </c>
      <c r="K790" t="str">
        <f>IF(SalesData[[#This Row],[Profit]]&gt;0,"Profit","Loss")</f>
        <v>Loss</v>
      </c>
      <c r="L790" s="8">
        <f>SalesData[[#This Row],[Profit]]/SalesData[[#This Row],[Sales]]</f>
        <v>-0.14896293600873317</v>
      </c>
      <c r="M790" t="str">
        <f>TEXT(SalesData[[#This Row],[Order_Date]],"mmm")</f>
        <v>Apr</v>
      </c>
      <c r="N790">
        <f>YEAR(SalesData[[#This Row],[Order_Date]])</f>
        <v>2022</v>
      </c>
    </row>
    <row r="791" spans="1:14" x14ac:dyDescent="0.3">
      <c r="A791" t="s">
        <v>1718</v>
      </c>
      <c r="B791" s="1">
        <v>44895</v>
      </c>
      <c r="C791" t="s">
        <v>1719</v>
      </c>
      <c r="D791" t="s">
        <v>12</v>
      </c>
      <c r="E791" t="s">
        <v>19</v>
      </c>
      <c r="F791" t="s">
        <v>141</v>
      </c>
      <c r="G791" t="s">
        <v>1376</v>
      </c>
      <c r="H791" s="8">
        <v>2940.83</v>
      </c>
      <c r="I791" s="8">
        <v>347.76</v>
      </c>
      <c r="J791" s="8">
        <v>0.13</v>
      </c>
      <c r="K791" t="str">
        <f>IF(SalesData[[#This Row],[Profit]]&gt;0,"Profit","Loss")</f>
        <v>Profit</v>
      </c>
      <c r="L791" s="8">
        <f>SalesData[[#This Row],[Profit]]/SalesData[[#This Row],[Sales]]</f>
        <v>0.11825233012448866</v>
      </c>
      <c r="M791" t="str">
        <f>TEXT(SalesData[[#This Row],[Order_Date]],"mmm")</f>
        <v>Nov</v>
      </c>
      <c r="N791">
        <f>YEAR(SalesData[[#This Row],[Order_Date]])</f>
        <v>2022</v>
      </c>
    </row>
    <row r="792" spans="1:14" x14ac:dyDescent="0.3">
      <c r="A792" t="s">
        <v>1720</v>
      </c>
      <c r="B792" s="1">
        <v>44787</v>
      </c>
      <c r="C792" t="s">
        <v>615</v>
      </c>
      <c r="D792" t="s">
        <v>28</v>
      </c>
      <c r="E792" t="s">
        <v>56</v>
      </c>
      <c r="F792" t="s">
        <v>57</v>
      </c>
      <c r="G792" t="s">
        <v>1128</v>
      </c>
      <c r="H792" s="8">
        <v>1261.8800000000001</v>
      </c>
      <c r="I792" s="8">
        <v>-252.41</v>
      </c>
      <c r="J792" s="8">
        <v>0.12</v>
      </c>
      <c r="K792" t="str">
        <f>IF(SalesData[[#This Row],[Profit]]&gt;0,"Profit","Loss")</f>
        <v>Loss</v>
      </c>
      <c r="L792" s="8">
        <f>SalesData[[#This Row],[Profit]]/SalesData[[#This Row],[Sales]]</f>
        <v>-0.20002694392493736</v>
      </c>
      <c r="M792" t="str">
        <f>TEXT(SalesData[[#This Row],[Order_Date]],"mmm")</f>
        <v>Aug</v>
      </c>
      <c r="N792">
        <f>YEAR(SalesData[[#This Row],[Order_Date]])</f>
        <v>2022</v>
      </c>
    </row>
    <row r="793" spans="1:14" x14ac:dyDescent="0.3">
      <c r="A793" t="s">
        <v>1721</v>
      </c>
      <c r="B793" s="1">
        <v>45027</v>
      </c>
      <c r="C793" t="s">
        <v>1680</v>
      </c>
      <c r="D793" t="s">
        <v>28</v>
      </c>
      <c r="E793" t="s">
        <v>19</v>
      </c>
      <c r="F793" t="s">
        <v>20</v>
      </c>
      <c r="G793" t="s">
        <v>656</v>
      </c>
      <c r="H793" s="8">
        <v>4463.3999999999996</v>
      </c>
      <c r="I793" s="8">
        <v>1413.7</v>
      </c>
      <c r="J793" s="8">
        <v>0.04</v>
      </c>
      <c r="K793" t="str">
        <f>IF(SalesData[[#This Row],[Profit]]&gt;0,"Profit","Loss")</f>
        <v>Profit</v>
      </c>
      <c r="L793" s="8">
        <f>SalesData[[#This Row],[Profit]]/SalesData[[#This Row],[Sales]]</f>
        <v>0.31673163955728822</v>
      </c>
      <c r="M793" t="str">
        <f>TEXT(SalesData[[#This Row],[Order_Date]],"mmm")</f>
        <v>Apr</v>
      </c>
      <c r="N793">
        <f>YEAR(SalesData[[#This Row],[Order_Date]])</f>
        <v>2023</v>
      </c>
    </row>
    <row r="794" spans="1:14" x14ac:dyDescent="0.3">
      <c r="A794" t="s">
        <v>1722</v>
      </c>
      <c r="B794" s="1">
        <v>44769</v>
      </c>
      <c r="C794" t="s">
        <v>550</v>
      </c>
      <c r="D794" t="s">
        <v>18</v>
      </c>
      <c r="E794" t="s">
        <v>56</v>
      </c>
      <c r="F794" t="s">
        <v>95</v>
      </c>
      <c r="G794" t="s">
        <v>671</v>
      </c>
      <c r="H794" s="8">
        <v>3627.12</v>
      </c>
      <c r="I794" s="8">
        <v>708.5</v>
      </c>
      <c r="J794" s="8">
        <v>0.19</v>
      </c>
      <c r="K794" t="str">
        <f>IF(SalesData[[#This Row],[Profit]]&gt;0,"Profit","Loss")</f>
        <v>Profit</v>
      </c>
      <c r="L794" s="8">
        <f>SalesData[[#This Row],[Profit]]/SalesData[[#This Row],[Sales]]</f>
        <v>0.19533403912746203</v>
      </c>
      <c r="M794" t="str">
        <f>TEXT(SalesData[[#This Row],[Order_Date]],"mmm")</f>
        <v>Jul</v>
      </c>
      <c r="N794">
        <f>YEAR(SalesData[[#This Row],[Order_Date]])</f>
        <v>2022</v>
      </c>
    </row>
    <row r="795" spans="1:14" x14ac:dyDescent="0.3">
      <c r="A795" t="s">
        <v>1723</v>
      </c>
      <c r="B795" s="1">
        <v>45031</v>
      </c>
      <c r="C795" t="s">
        <v>541</v>
      </c>
      <c r="D795" t="s">
        <v>18</v>
      </c>
      <c r="E795" t="s">
        <v>13</v>
      </c>
      <c r="F795" t="s">
        <v>24</v>
      </c>
      <c r="G795" t="s">
        <v>500</v>
      </c>
      <c r="H795" s="8">
        <v>392.29</v>
      </c>
      <c r="I795" s="8">
        <v>106.31</v>
      </c>
      <c r="J795" s="8">
        <v>0.04</v>
      </c>
      <c r="K795" t="str">
        <f>IF(SalesData[[#This Row],[Profit]]&gt;0,"Profit","Loss")</f>
        <v>Profit</v>
      </c>
      <c r="L795" s="8">
        <f>SalesData[[#This Row],[Profit]]/SalesData[[#This Row],[Sales]]</f>
        <v>0.27099849601060438</v>
      </c>
      <c r="M795" t="str">
        <f>TEXT(SalesData[[#This Row],[Order_Date]],"mmm")</f>
        <v>Apr</v>
      </c>
      <c r="N795">
        <f>YEAR(SalesData[[#This Row],[Order_Date]])</f>
        <v>2023</v>
      </c>
    </row>
    <row r="796" spans="1:14" x14ac:dyDescent="0.3">
      <c r="A796" t="s">
        <v>1724</v>
      </c>
      <c r="B796" s="1">
        <v>45215</v>
      </c>
      <c r="C796" t="s">
        <v>1552</v>
      </c>
      <c r="D796" t="s">
        <v>18</v>
      </c>
      <c r="E796" t="s">
        <v>19</v>
      </c>
      <c r="F796" t="s">
        <v>20</v>
      </c>
      <c r="G796" t="s">
        <v>1389</v>
      </c>
      <c r="H796" s="8">
        <v>4443.3999999999996</v>
      </c>
      <c r="I796" s="8">
        <v>416.47</v>
      </c>
      <c r="J796" s="8">
        <v>0.18</v>
      </c>
      <c r="K796" t="str">
        <f>IF(SalesData[[#This Row],[Profit]]&gt;0,"Profit","Loss")</f>
        <v>Profit</v>
      </c>
      <c r="L796" s="8">
        <f>SalesData[[#This Row],[Profit]]/SalesData[[#This Row],[Sales]]</f>
        <v>9.3727776027366441E-2</v>
      </c>
      <c r="M796" t="str">
        <f>TEXT(SalesData[[#This Row],[Order_Date]],"mmm")</f>
        <v>Oct</v>
      </c>
      <c r="N796">
        <f>YEAR(SalesData[[#This Row],[Order_Date]])</f>
        <v>2023</v>
      </c>
    </row>
    <row r="797" spans="1:14" x14ac:dyDescent="0.3">
      <c r="A797" t="s">
        <v>1725</v>
      </c>
      <c r="B797" s="1">
        <v>44783</v>
      </c>
      <c r="C797" t="s">
        <v>763</v>
      </c>
      <c r="D797" t="s">
        <v>28</v>
      </c>
      <c r="E797" t="s">
        <v>13</v>
      </c>
      <c r="F797" t="s">
        <v>14</v>
      </c>
      <c r="G797" t="s">
        <v>342</v>
      </c>
      <c r="H797" s="8">
        <v>523.72</v>
      </c>
      <c r="I797" s="8">
        <v>-87.18</v>
      </c>
      <c r="J797" s="8">
        <v>0.26</v>
      </c>
      <c r="K797" t="str">
        <f>IF(SalesData[[#This Row],[Profit]]&gt;0,"Profit","Loss")</f>
        <v>Loss</v>
      </c>
      <c r="L797" s="8">
        <f>SalesData[[#This Row],[Profit]]/SalesData[[#This Row],[Sales]]</f>
        <v>-0.1664629954937753</v>
      </c>
      <c r="M797" t="str">
        <f>TEXT(SalesData[[#This Row],[Order_Date]],"mmm")</f>
        <v>Aug</v>
      </c>
      <c r="N797">
        <f>YEAR(SalesData[[#This Row],[Order_Date]])</f>
        <v>2022</v>
      </c>
    </row>
    <row r="798" spans="1:14" x14ac:dyDescent="0.3">
      <c r="A798" t="s">
        <v>1726</v>
      </c>
      <c r="B798" s="1">
        <v>44815</v>
      </c>
      <c r="C798" t="s">
        <v>230</v>
      </c>
      <c r="D798" t="s">
        <v>28</v>
      </c>
      <c r="E798" t="s">
        <v>19</v>
      </c>
      <c r="F798" t="s">
        <v>29</v>
      </c>
      <c r="G798" t="s">
        <v>122</v>
      </c>
      <c r="H798" s="8">
        <v>171.07</v>
      </c>
      <c r="I798" s="8">
        <v>33.11</v>
      </c>
      <c r="J798" s="8">
        <v>0.13</v>
      </c>
      <c r="K798" t="str">
        <f>IF(SalesData[[#This Row],[Profit]]&gt;0,"Profit","Loss")</f>
        <v>Profit</v>
      </c>
      <c r="L798" s="8">
        <f>SalesData[[#This Row],[Profit]]/SalesData[[#This Row],[Sales]]</f>
        <v>0.19354650143216229</v>
      </c>
      <c r="M798" t="str">
        <f>TEXT(SalesData[[#This Row],[Order_Date]],"mmm")</f>
        <v>Sep</v>
      </c>
      <c r="N798">
        <f>YEAR(SalesData[[#This Row],[Order_Date]])</f>
        <v>2022</v>
      </c>
    </row>
    <row r="799" spans="1:14" x14ac:dyDescent="0.3">
      <c r="A799" t="s">
        <v>1727</v>
      </c>
      <c r="B799" s="1">
        <v>44989</v>
      </c>
      <c r="C799" t="s">
        <v>1728</v>
      </c>
      <c r="D799" t="s">
        <v>12</v>
      </c>
      <c r="E799" t="s">
        <v>56</v>
      </c>
      <c r="F799" t="s">
        <v>73</v>
      </c>
      <c r="G799" t="s">
        <v>233</v>
      </c>
      <c r="H799" s="8">
        <v>4736.6400000000003</v>
      </c>
      <c r="I799" s="8">
        <v>326.60000000000002</v>
      </c>
      <c r="J799" s="8">
        <v>0.27</v>
      </c>
      <c r="K799" t="str">
        <f>IF(SalesData[[#This Row],[Profit]]&gt;0,"Profit","Loss")</f>
        <v>Profit</v>
      </c>
      <c r="L799" s="8">
        <f>SalesData[[#This Row],[Profit]]/SalesData[[#This Row],[Sales]]</f>
        <v>6.8951830833671124E-2</v>
      </c>
      <c r="M799" t="str">
        <f>TEXT(SalesData[[#This Row],[Order_Date]],"mmm")</f>
        <v>Mar</v>
      </c>
      <c r="N799">
        <f>YEAR(SalesData[[#This Row],[Order_Date]])</f>
        <v>2023</v>
      </c>
    </row>
    <row r="800" spans="1:14" x14ac:dyDescent="0.3">
      <c r="A800" t="s">
        <v>1729</v>
      </c>
      <c r="B800" s="1">
        <v>45275</v>
      </c>
      <c r="C800" t="s">
        <v>1278</v>
      </c>
      <c r="D800" t="s">
        <v>28</v>
      </c>
      <c r="E800" t="s">
        <v>13</v>
      </c>
      <c r="F800" t="s">
        <v>24</v>
      </c>
      <c r="G800" t="s">
        <v>351</v>
      </c>
      <c r="H800" s="8">
        <v>264.74</v>
      </c>
      <c r="I800" s="8">
        <v>-19.18</v>
      </c>
      <c r="J800" s="8">
        <v>0.16</v>
      </c>
      <c r="K800" t="str">
        <f>IF(SalesData[[#This Row],[Profit]]&gt;0,"Profit","Loss")</f>
        <v>Loss</v>
      </c>
      <c r="L800" s="8">
        <f>SalesData[[#This Row],[Profit]]/SalesData[[#This Row],[Sales]]</f>
        <v>-7.2448439978847173E-2</v>
      </c>
      <c r="M800" t="str">
        <f>TEXT(SalesData[[#This Row],[Order_Date]],"mmm")</f>
        <v>Dec</v>
      </c>
      <c r="N800">
        <f>YEAR(SalesData[[#This Row],[Order_Date]])</f>
        <v>2023</v>
      </c>
    </row>
    <row r="801" spans="1:14" x14ac:dyDescent="0.3">
      <c r="A801" t="s">
        <v>1730</v>
      </c>
      <c r="B801" s="1">
        <v>44785</v>
      </c>
      <c r="C801" t="s">
        <v>835</v>
      </c>
      <c r="D801" t="s">
        <v>40</v>
      </c>
      <c r="E801" t="s">
        <v>56</v>
      </c>
      <c r="F801" t="s">
        <v>57</v>
      </c>
      <c r="G801" t="s">
        <v>789</v>
      </c>
      <c r="H801" s="8">
        <v>2836.59</v>
      </c>
      <c r="I801" s="8">
        <v>678.15</v>
      </c>
      <c r="J801" s="8">
        <v>0</v>
      </c>
      <c r="K801" t="str">
        <f>IF(SalesData[[#This Row],[Profit]]&gt;0,"Profit","Loss")</f>
        <v>Profit</v>
      </c>
      <c r="L801" s="8">
        <f>SalesData[[#This Row],[Profit]]/SalesData[[#This Row],[Sales]]</f>
        <v>0.23907226634797413</v>
      </c>
      <c r="M801" t="str">
        <f>TEXT(SalesData[[#This Row],[Order_Date]],"mmm")</f>
        <v>Aug</v>
      </c>
      <c r="N801">
        <f>YEAR(SalesData[[#This Row],[Order_Date]])</f>
        <v>2022</v>
      </c>
    </row>
    <row r="802" spans="1:14" x14ac:dyDescent="0.3">
      <c r="A802" t="s">
        <v>1731</v>
      </c>
      <c r="B802" s="1">
        <v>44727</v>
      </c>
      <c r="C802" t="s">
        <v>940</v>
      </c>
      <c r="D802" t="s">
        <v>28</v>
      </c>
      <c r="E802" t="s">
        <v>56</v>
      </c>
      <c r="F802" t="s">
        <v>73</v>
      </c>
      <c r="G802" t="s">
        <v>1732</v>
      </c>
      <c r="H802" s="8">
        <v>4994.8599999999997</v>
      </c>
      <c r="I802" s="8">
        <v>1006.07</v>
      </c>
      <c r="J802" s="8">
        <v>0</v>
      </c>
      <c r="K802" t="str">
        <f>IF(SalesData[[#This Row],[Profit]]&gt;0,"Profit","Loss")</f>
        <v>Profit</v>
      </c>
      <c r="L802" s="8">
        <f>SalesData[[#This Row],[Profit]]/SalesData[[#This Row],[Sales]]</f>
        <v>0.20142106085055439</v>
      </c>
      <c r="M802" t="str">
        <f>TEXT(SalesData[[#This Row],[Order_Date]],"mmm")</f>
        <v>Jun</v>
      </c>
      <c r="N802">
        <f>YEAR(SalesData[[#This Row],[Order_Date]])</f>
        <v>2022</v>
      </c>
    </row>
    <row r="803" spans="1:14" x14ac:dyDescent="0.3">
      <c r="A803" t="s">
        <v>1733</v>
      </c>
      <c r="B803" s="1">
        <v>44703</v>
      </c>
      <c r="C803" t="s">
        <v>940</v>
      </c>
      <c r="D803" t="s">
        <v>28</v>
      </c>
      <c r="E803" t="s">
        <v>13</v>
      </c>
      <c r="F803" t="s">
        <v>24</v>
      </c>
      <c r="G803" t="s">
        <v>714</v>
      </c>
      <c r="H803" s="8">
        <v>2959.93</v>
      </c>
      <c r="I803" s="8">
        <v>-626.75</v>
      </c>
      <c r="J803" s="8">
        <v>0.28999999999999998</v>
      </c>
      <c r="K803" t="str">
        <f>IF(SalesData[[#This Row],[Profit]]&gt;0,"Profit","Loss")</f>
        <v>Loss</v>
      </c>
      <c r="L803" s="8">
        <f>SalesData[[#This Row],[Profit]]/SalesData[[#This Row],[Sales]]</f>
        <v>-0.21174487234495412</v>
      </c>
      <c r="M803" t="str">
        <f>TEXT(SalesData[[#This Row],[Order_Date]],"mmm")</f>
        <v>May</v>
      </c>
      <c r="N803">
        <f>YEAR(SalesData[[#This Row],[Order_Date]])</f>
        <v>2022</v>
      </c>
    </row>
    <row r="804" spans="1:14" x14ac:dyDescent="0.3">
      <c r="A804" t="s">
        <v>1734</v>
      </c>
      <c r="B804" s="1">
        <v>44634</v>
      </c>
      <c r="C804" t="s">
        <v>1735</v>
      </c>
      <c r="D804" t="s">
        <v>40</v>
      </c>
      <c r="E804" t="s">
        <v>19</v>
      </c>
      <c r="F804" t="s">
        <v>141</v>
      </c>
      <c r="G804" t="s">
        <v>1033</v>
      </c>
      <c r="H804" s="8">
        <v>2375.0500000000002</v>
      </c>
      <c r="I804" s="8">
        <v>299.8</v>
      </c>
      <c r="J804" s="8">
        <v>0.19</v>
      </c>
      <c r="K804" t="str">
        <f>IF(SalesData[[#This Row],[Profit]]&gt;0,"Profit","Loss")</f>
        <v>Profit</v>
      </c>
      <c r="L804" s="8">
        <f>SalesData[[#This Row],[Profit]]/SalesData[[#This Row],[Sales]]</f>
        <v>0.12622892149638953</v>
      </c>
      <c r="M804" t="str">
        <f>TEXT(SalesData[[#This Row],[Order_Date]],"mmm")</f>
        <v>Mar</v>
      </c>
      <c r="N804">
        <f>YEAR(SalesData[[#This Row],[Order_Date]])</f>
        <v>2022</v>
      </c>
    </row>
    <row r="805" spans="1:14" x14ac:dyDescent="0.3">
      <c r="A805" t="s">
        <v>1736</v>
      </c>
      <c r="B805" s="1">
        <v>45117</v>
      </c>
      <c r="C805" t="s">
        <v>1334</v>
      </c>
      <c r="D805" t="s">
        <v>18</v>
      </c>
      <c r="E805" t="s">
        <v>56</v>
      </c>
      <c r="F805" t="s">
        <v>95</v>
      </c>
      <c r="G805" t="s">
        <v>1737</v>
      </c>
      <c r="H805" s="8">
        <v>2186.92</v>
      </c>
      <c r="I805" s="8">
        <v>629.08000000000004</v>
      </c>
      <c r="J805" s="8">
        <v>0.08</v>
      </c>
      <c r="K805" t="str">
        <f>IF(SalesData[[#This Row],[Profit]]&gt;0,"Profit","Loss")</f>
        <v>Profit</v>
      </c>
      <c r="L805" s="8">
        <f>SalesData[[#This Row],[Profit]]/SalesData[[#This Row],[Sales]]</f>
        <v>0.28765569842518246</v>
      </c>
      <c r="M805" t="str">
        <f>TEXT(SalesData[[#This Row],[Order_Date]],"mmm")</f>
        <v>Jul</v>
      </c>
      <c r="N805">
        <f>YEAR(SalesData[[#This Row],[Order_Date]])</f>
        <v>2023</v>
      </c>
    </row>
    <row r="806" spans="1:14" x14ac:dyDescent="0.3">
      <c r="A806" t="s">
        <v>1738</v>
      </c>
      <c r="B806" s="1">
        <v>45089</v>
      </c>
      <c r="C806" t="s">
        <v>710</v>
      </c>
      <c r="D806" t="s">
        <v>40</v>
      </c>
      <c r="E806" t="s">
        <v>13</v>
      </c>
      <c r="F806" t="s">
        <v>14</v>
      </c>
      <c r="G806" t="s">
        <v>1067</v>
      </c>
      <c r="H806" s="8">
        <v>3140.23</v>
      </c>
      <c r="I806" s="8">
        <v>814.41</v>
      </c>
      <c r="J806" s="8">
        <v>0.1</v>
      </c>
      <c r="K806" t="str">
        <f>IF(SalesData[[#This Row],[Profit]]&gt;0,"Profit","Loss")</f>
        <v>Profit</v>
      </c>
      <c r="L806" s="8">
        <f>SalesData[[#This Row],[Profit]]/SalesData[[#This Row],[Sales]]</f>
        <v>0.25934724526547415</v>
      </c>
      <c r="M806" t="str">
        <f>TEXT(SalesData[[#This Row],[Order_Date]],"mmm")</f>
        <v>Jun</v>
      </c>
      <c r="N806">
        <f>YEAR(SalesData[[#This Row],[Order_Date]])</f>
        <v>2023</v>
      </c>
    </row>
    <row r="807" spans="1:14" x14ac:dyDescent="0.3">
      <c r="A807" t="s">
        <v>1739</v>
      </c>
      <c r="B807" s="1">
        <v>44937</v>
      </c>
      <c r="C807" t="s">
        <v>1740</v>
      </c>
      <c r="D807" t="s">
        <v>12</v>
      </c>
      <c r="E807" t="s">
        <v>56</v>
      </c>
      <c r="F807" t="s">
        <v>57</v>
      </c>
      <c r="G807" t="s">
        <v>1741</v>
      </c>
      <c r="H807" s="8">
        <v>1976.48</v>
      </c>
      <c r="I807" s="8">
        <v>-623.53</v>
      </c>
      <c r="J807" s="8">
        <v>0.14000000000000001</v>
      </c>
      <c r="K807" t="str">
        <f>IF(SalesData[[#This Row],[Profit]]&gt;0,"Profit","Loss")</f>
        <v>Loss</v>
      </c>
      <c r="L807" s="8">
        <f>SalesData[[#This Row],[Profit]]/SalesData[[#This Row],[Sales]]</f>
        <v>-0.31547498583340078</v>
      </c>
      <c r="M807" t="str">
        <f>TEXT(SalesData[[#This Row],[Order_Date]],"mmm")</f>
        <v>Jan</v>
      </c>
      <c r="N807">
        <f>YEAR(SalesData[[#This Row],[Order_Date]])</f>
        <v>2023</v>
      </c>
    </row>
    <row r="808" spans="1:14" x14ac:dyDescent="0.3">
      <c r="A808" t="s">
        <v>1742</v>
      </c>
      <c r="B808" s="1">
        <v>45226</v>
      </c>
      <c r="C808" t="s">
        <v>281</v>
      </c>
      <c r="D808" t="s">
        <v>18</v>
      </c>
      <c r="E808" t="s">
        <v>13</v>
      </c>
      <c r="F808" t="s">
        <v>14</v>
      </c>
      <c r="G808" t="s">
        <v>537</v>
      </c>
      <c r="H808" s="8">
        <v>778.19</v>
      </c>
      <c r="I808" s="8">
        <v>18.510000000000002</v>
      </c>
      <c r="J808" s="8">
        <v>0.1</v>
      </c>
      <c r="K808" t="str">
        <f>IF(SalesData[[#This Row],[Profit]]&gt;0,"Profit","Loss")</f>
        <v>Profit</v>
      </c>
      <c r="L808" s="8">
        <f>SalesData[[#This Row],[Profit]]/SalesData[[#This Row],[Sales]]</f>
        <v>2.3785964867191818E-2</v>
      </c>
      <c r="M808" t="str">
        <f>TEXT(SalesData[[#This Row],[Order_Date]],"mmm")</f>
        <v>Oct</v>
      </c>
      <c r="N808">
        <f>YEAR(SalesData[[#This Row],[Order_Date]])</f>
        <v>2023</v>
      </c>
    </row>
    <row r="809" spans="1:14" x14ac:dyDescent="0.3">
      <c r="A809" t="s">
        <v>1743</v>
      </c>
      <c r="B809" s="1">
        <v>44995</v>
      </c>
      <c r="C809" t="s">
        <v>1131</v>
      </c>
      <c r="D809" t="s">
        <v>12</v>
      </c>
      <c r="E809" t="s">
        <v>13</v>
      </c>
      <c r="F809" t="s">
        <v>14</v>
      </c>
      <c r="G809" t="s">
        <v>843</v>
      </c>
      <c r="H809" s="8">
        <v>1670.27</v>
      </c>
      <c r="I809" s="8">
        <v>-280.37</v>
      </c>
      <c r="J809" s="8">
        <v>0.27</v>
      </c>
      <c r="K809" t="str">
        <f>IF(SalesData[[#This Row],[Profit]]&gt;0,"Profit","Loss")</f>
        <v>Loss</v>
      </c>
      <c r="L809" s="8">
        <f>SalesData[[#This Row],[Profit]]/SalesData[[#This Row],[Sales]]</f>
        <v>-0.16785908865033797</v>
      </c>
      <c r="M809" t="str">
        <f>TEXT(SalesData[[#This Row],[Order_Date]],"mmm")</f>
        <v>Mar</v>
      </c>
      <c r="N809">
        <f>YEAR(SalesData[[#This Row],[Order_Date]])</f>
        <v>2023</v>
      </c>
    </row>
    <row r="810" spans="1:14" x14ac:dyDescent="0.3">
      <c r="A810" t="s">
        <v>1744</v>
      </c>
      <c r="B810" s="1">
        <v>45043</v>
      </c>
      <c r="C810" t="s">
        <v>330</v>
      </c>
      <c r="D810" t="s">
        <v>40</v>
      </c>
      <c r="E810" t="s">
        <v>19</v>
      </c>
      <c r="F810" t="s">
        <v>29</v>
      </c>
      <c r="G810" t="s">
        <v>1064</v>
      </c>
      <c r="H810" s="8">
        <v>2316.81</v>
      </c>
      <c r="I810" s="8">
        <v>342.28</v>
      </c>
      <c r="J810" s="8">
        <v>0.15</v>
      </c>
      <c r="K810" t="str">
        <f>IF(SalesData[[#This Row],[Profit]]&gt;0,"Profit","Loss")</f>
        <v>Profit</v>
      </c>
      <c r="L810" s="8">
        <f>SalesData[[#This Row],[Profit]]/SalesData[[#This Row],[Sales]]</f>
        <v>0.14773762198885534</v>
      </c>
      <c r="M810" t="str">
        <f>TEXT(SalesData[[#This Row],[Order_Date]],"mmm")</f>
        <v>Apr</v>
      </c>
      <c r="N810">
        <f>YEAR(SalesData[[#This Row],[Order_Date]])</f>
        <v>2023</v>
      </c>
    </row>
    <row r="811" spans="1:14" x14ac:dyDescent="0.3">
      <c r="A811" t="s">
        <v>1745</v>
      </c>
      <c r="B811" s="1">
        <v>44629</v>
      </c>
      <c r="C811" t="s">
        <v>1422</v>
      </c>
      <c r="D811" t="s">
        <v>28</v>
      </c>
      <c r="E811" t="s">
        <v>13</v>
      </c>
      <c r="F811" t="s">
        <v>36</v>
      </c>
      <c r="G811" t="s">
        <v>1027</v>
      </c>
      <c r="H811" s="8">
        <v>4019.53</v>
      </c>
      <c r="I811" s="8">
        <v>21.21</v>
      </c>
      <c r="J811" s="8">
        <v>0.28000000000000003</v>
      </c>
      <c r="K811" t="str">
        <f>IF(SalesData[[#This Row],[Profit]]&gt;0,"Profit","Loss")</f>
        <v>Profit</v>
      </c>
      <c r="L811" s="8">
        <f>SalesData[[#This Row],[Profit]]/SalesData[[#This Row],[Sales]]</f>
        <v>5.2767363348451184E-3</v>
      </c>
      <c r="M811" t="str">
        <f>TEXT(SalesData[[#This Row],[Order_Date]],"mmm")</f>
        <v>Mar</v>
      </c>
      <c r="N811">
        <f>YEAR(SalesData[[#This Row],[Order_Date]])</f>
        <v>2022</v>
      </c>
    </row>
    <row r="812" spans="1:14" x14ac:dyDescent="0.3">
      <c r="A812" t="s">
        <v>1746</v>
      </c>
      <c r="B812" s="1">
        <v>44673</v>
      </c>
      <c r="C812" t="s">
        <v>1161</v>
      </c>
      <c r="D812" t="s">
        <v>40</v>
      </c>
      <c r="E812" t="s">
        <v>56</v>
      </c>
      <c r="F812" t="s">
        <v>95</v>
      </c>
      <c r="G812" t="s">
        <v>67</v>
      </c>
      <c r="H812" s="8">
        <v>4499.93</v>
      </c>
      <c r="I812" s="8">
        <v>1277.8699999999999</v>
      </c>
      <c r="J812" s="8">
        <v>0.09</v>
      </c>
      <c r="K812" t="str">
        <f>IF(SalesData[[#This Row],[Profit]]&gt;0,"Profit","Loss")</f>
        <v>Profit</v>
      </c>
      <c r="L812" s="8">
        <f>SalesData[[#This Row],[Profit]]/SalesData[[#This Row],[Sales]]</f>
        <v>0.28397552850822122</v>
      </c>
      <c r="M812" t="str">
        <f>TEXT(SalesData[[#This Row],[Order_Date]],"mmm")</f>
        <v>Apr</v>
      </c>
      <c r="N812">
        <f>YEAR(SalesData[[#This Row],[Order_Date]])</f>
        <v>2022</v>
      </c>
    </row>
    <row r="813" spans="1:14" x14ac:dyDescent="0.3">
      <c r="A813" t="s">
        <v>1747</v>
      </c>
      <c r="B813" s="1">
        <v>45204</v>
      </c>
      <c r="C813" t="s">
        <v>1748</v>
      </c>
      <c r="D813" t="s">
        <v>40</v>
      </c>
      <c r="E813" t="s">
        <v>13</v>
      </c>
      <c r="F813" t="s">
        <v>14</v>
      </c>
      <c r="G813" t="s">
        <v>1489</v>
      </c>
      <c r="H813" s="8">
        <v>2532.0100000000002</v>
      </c>
      <c r="I813" s="8">
        <v>-373.69</v>
      </c>
      <c r="J813" s="8">
        <v>0.26</v>
      </c>
      <c r="K813" t="str">
        <f>IF(SalesData[[#This Row],[Profit]]&gt;0,"Profit","Loss")</f>
        <v>Loss</v>
      </c>
      <c r="L813" s="8">
        <f>SalesData[[#This Row],[Profit]]/SalesData[[#This Row],[Sales]]</f>
        <v>-0.14758630495140224</v>
      </c>
      <c r="M813" t="str">
        <f>TEXT(SalesData[[#This Row],[Order_Date]],"mmm")</f>
        <v>Oct</v>
      </c>
      <c r="N813">
        <f>YEAR(SalesData[[#This Row],[Order_Date]])</f>
        <v>2023</v>
      </c>
    </row>
    <row r="814" spans="1:14" x14ac:dyDescent="0.3">
      <c r="A814" t="s">
        <v>1749</v>
      </c>
      <c r="B814" s="1">
        <v>45222</v>
      </c>
      <c r="C814" t="s">
        <v>1750</v>
      </c>
      <c r="D814" t="s">
        <v>40</v>
      </c>
      <c r="E814" t="s">
        <v>13</v>
      </c>
      <c r="F814" t="s">
        <v>24</v>
      </c>
      <c r="G814" t="s">
        <v>1109</v>
      </c>
      <c r="H814" s="8">
        <v>4665.4399999999996</v>
      </c>
      <c r="I814" s="8">
        <v>-410.19</v>
      </c>
      <c r="J814" s="8">
        <v>0.14000000000000001</v>
      </c>
      <c r="K814" t="str">
        <f>IF(SalesData[[#This Row],[Profit]]&gt;0,"Profit","Loss")</f>
        <v>Loss</v>
      </c>
      <c r="L814" s="8">
        <f>SalesData[[#This Row],[Profit]]/SalesData[[#This Row],[Sales]]</f>
        <v>-8.7920967797249575E-2</v>
      </c>
      <c r="M814" t="str">
        <f>TEXT(SalesData[[#This Row],[Order_Date]],"mmm")</f>
        <v>Oct</v>
      </c>
      <c r="N814">
        <f>YEAR(SalesData[[#This Row],[Order_Date]])</f>
        <v>2023</v>
      </c>
    </row>
    <row r="815" spans="1:14" x14ac:dyDescent="0.3">
      <c r="A815" t="s">
        <v>1751</v>
      </c>
      <c r="B815" s="1">
        <v>45222</v>
      </c>
      <c r="C815" t="s">
        <v>550</v>
      </c>
      <c r="D815" t="s">
        <v>28</v>
      </c>
      <c r="E815" t="s">
        <v>56</v>
      </c>
      <c r="F815" t="s">
        <v>57</v>
      </c>
      <c r="G815" t="s">
        <v>122</v>
      </c>
      <c r="H815" s="8">
        <v>4371.79</v>
      </c>
      <c r="I815" s="8">
        <v>1304.8399999999999</v>
      </c>
      <c r="J815" s="8">
        <v>7.0000000000000007E-2</v>
      </c>
      <c r="K815" t="str">
        <f>IF(SalesData[[#This Row],[Profit]]&gt;0,"Profit","Loss")</f>
        <v>Profit</v>
      </c>
      <c r="L815" s="8">
        <f>SalesData[[#This Row],[Profit]]/SalesData[[#This Row],[Sales]]</f>
        <v>0.29846813319029503</v>
      </c>
      <c r="M815" t="str">
        <f>TEXT(SalesData[[#This Row],[Order_Date]],"mmm")</f>
        <v>Oct</v>
      </c>
      <c r="N815">
        <f>YEAR(SalesData[[#This Row],[Order_Date]])</f>
        <v>2023</v>
      </c>
    </row>
    <row r="816" spans="1:14" x14ac:dyDescent="0.3">
      <c r="A816" t="s">
        <v>1752</v>
      </c>
      <c r="B816" s="1">
        <v>45275</v>
      </c>
      <c r="C816" t="s">
        <v>1332</v>
      </c>
      <c r="D816" t="s">
        <v>28</v>
      </c>
      <c r="E816" t="s">
        <v>19</v>
      </c>
      <c r="F816" t="s">
        <v>141</v>
      </c>
      <c r="G816" t="s">
        <v>436</v>
      </c>
      <c r="H816" s="8">
        <v>3265.65</v>
      </c>
      <c r="I816" s="8">
        <v>182.92</v>
      </c>
      <c r="J816" s="8">
        <v>0.1</v>
      </c>
      <c r="K816" t="str">
        <f>IF(SalesData[[#This Row],[Profit]]&gt;0,"Profit","Loss")</f>
        <v>Profit</v>
      </c>
      <c r="L816" s="8">
        <f>SalesData[[#This Row],[Profit]]/SalesData[[#This Row],[Sales]]</f>
        <v>5.601335109396291E-2</v>
      </c>
      <c r="M816" t="str">
        <f>TEXT(SalesData[[#This Row],[Order_Date]],"mmm")</f>
        <v>Dec</v>
      </c>
      <c r="N816">
        <f>YEAR(SalesData[[#This Row],[Order_Date]])</f>
        <v>2023</v>
      </c>
    </row>
    <row r="817" spans="1:14" x14ac:dyDescent="0.3">
      <c r="A817" t="s">
        <v>1753</v>
      </c>
      <c r="B817" s="1">
        <v>44828</v>
      </c>
      <c r="C817" t="s">
        <v>1521</v>
      </c>
      <c r="D817" t="s">
        <v>28</v>
      </c>
      <c r="E817" t="s">
        <v>19</v>
      </c>
      <c r="F817" t="s">
        <v>141</v>
      </c>
      <c r="G817" t="s">
        <v>1143</v>
      </c>
      <c r="H817" s="8">
        <v>746.58</v>
      </c>
      <c r="I817" s="8">
        <v>-251.57</v>
      </c>
      <c r="J817" s="8">
        <v>0.24</v>
      </c>
      <c r="K817" t="str">
        <f>IF(SalesData[[#This Row],[Profit]]&gt;0,"Profit","Loss")</f>
        <v>Loss</v>
      </c>
      <c r="L817" s="8">
        <f>SalesData[[#This Row],[Profit]]/SalesData[[#This Row],[Sales]]</f>
        <v>-0.3369632189450561</v>
      </c>
      <c r="M817" t="str">
        <f>TEXT(SalesData[[#This Row],[Order_Date]],"mmm")</f>
        <v>Sep</v>
      </c>
      <c r="N817">
        <f>YEAR(SalesData[[#This Row],[Order_Date]])</f>
        <v>2022</v>
      </c>
    </row>
    <row r="818" spans="1:14" x14ac:dyDescent="0.3">
      <c r="A818" t="s">
        <v>1754</v>
      </c>
      <c r="B818" s="1">
        <v>45195</v>
      </c>
      <c r="C818" t="s">
        <v>1755</v>
      </c>
      <c r="D818" t="s">
        <v>40</v>
      </c>
      <c r="E818" t="s">
        <v>19</v>
      </c>
      <c r="F818" t="s">
        <v>20</v>
      </c>
      <c r="G818" t="s">
        <v>1371</v>
      </c>
      <c r="H818" s="8">
        <v>826.86</v>
      </c>
      <c r="I818" s="8">
        <v>234.6</v>
      </c>
      <c r="J818" s="8">
        <v>0.09</v>
      </c>
      <c r="K818" t="str">
        <f>IF(SalesData[[#This Row],[Profit]]&gt;0,"Profit","Loss")</f>
        <v>Profit</v>
      </c>
      <c r="L818" s="8">
        <f>SalesData[[#This Row],[Profit]]/SalesData[[#This Row],[Sales]]</f>
        <v>0.28372396778172848</v>
      </c>
      <c r="M818" t="str">
        <f>TEXT(SalesData[[#This Row],[Order_Date]],"mmm")</f>
        <v>Sep</v>
      </c>
      <c r="N818">
        <f>YEAR(SalesData[[#This Row],[Order_Date]])</f>
        <v>2023</v>
      </c>
    </row>
    <row r="819" spans="1:14" x14ac:dyDescent="0.3">
      <c r="A819" t="s">
        <v>1756</v>
      </c>
      <c r="B819" s="1">
        <v>44805</v>
      </c>
      <c r="C819" t="s">
        <v>1757</v>
      </c>
      <c r="D819" t="s">
        <v>12</v>
      </c>
      <c r="E819" t="s">
        <v>56</v>
      </c>
      <c r="F819" t="s">
        <v>73</v>
      </c>
      <c r="G819" t="s">
        <v>1004</v>
      </c>
      <c r="H819" s="8">
        <v>3495.01</v>
      </c>
      <c r="I819" s="8">
        <v>-1076.1500000000001</v>
      </c>
      <c r="J819" s="8">
        <v>0.2</v>
      </c>
      <c r="K819" t="str">
        <f>IF(SalesData[[#This Row],[Profit]]&gt;0,"Profit","Loss")</f>
        <v>Loss</v>
      </c>
      <c r="L819" s="8">
        <f>SalesData[[#This Row],[Profit]]/SalesData[[#This Row],[Sales]]</f>
        <v>-0.30791042085716491</v>
      </c>
      <c r="M819" t="str">
        <f>TEXT(SalesData[[#This Row],[Order_Date]],"mmm")</f>
        <v>Sep</v>
      </c>
      <c r="N819">
        <f>YEAR(SalesData[[#This Row],[Order_Date]])</f>
        <v>2022</v>
      </c>
    </row>
    <row r="820" spans="1:14" x14ac:dyDescent="0.3">
      <c r="A820" t="s">
        <v>1758</v>
      </c>
      <c r="B820" s="1">
        <v>45286</v>
      </c>
      <c r="C820" t="s">
        <v>1759</v>
      </c>
      <c r="D820" t="s">
        <v>40</v>
      </c>
      <c r="E820" t="s">
        <v>13</v>
      </c>
      <c r="F820" t="s">
        <v>14</v>
      </c>
      <c r="G820" t="s">
        <v>473</v>
      </c>
      <c r="H820" s="8">
        <v>2260.35</v>
      </c>
      <c r="I820" s="8">
        <v>-422.47</v>
      </c>
      <c r="J820" s="8">
        <v>0.11</v>
      </c>
      <c r="K820" t="str">
        <f>IF(SalesData[[#This Row],[Profit]]&gt;0,"Profit","Loss")</f>
        <v>Loss</v>
      </c>
      <c r="L820" s="8">
        <f>SalesData[[#This Row],[Profit]]/SalesData[[#This Row],[Sales]]</f>
        <v>-0.18690468290309026</v>
      </c>
      <c r="M820" t="str">
        <f>TEXT(SalesData[[#This Row],[Order_Date]],"mmm")</f>
        <v>Dec</v>
      </c>
      <c r="N820">
        <f>YEAR(SalesData[[#This Row],[Order_Date]])</f>
        <v>2023</v>
      </c>
    </row>
    <row r="821" spans="1:14" x14ac:dyDescent="0.3">
      <c r="A821" t="s">
        <v>1760</v>
      </c>
      <c r="B821" s="1">
        <v>44686</v>
      </c>
      <c r="C821" t="s">
        <v>1761</v>
      </c>
      <c r="D821" t="s">
        <v>28</v>
      </c>
      <c r="E821" t="s">
        <v>56</v>
      </c>
      <c r="F821" t="s">
        <v>95</v>
      </c>
      <c r="G821" t="s">
        <v>882</v>
      </c>
      <c r="H821" s="8">
        <v>2297.3000000000002</v>
      </c>
      <c r="I821" s="8">
        <v>-390.11</v>
      </c>
      <c r="J821" s="8">
        <v>0.28999999999999998</v>
      </c>
      <c r="K821" t="str">
        <f>IF(SalesData[[#This Row],[Profit]]&gt;0,"Profit","Loss")</f>
        <v>Loss</v>
      </c>
      <c r="L821" s="8">
        <f>SalesData[[#This Row],[Profit]]/SalesData[[#This Row],[Sales]]</f>
        <v>-0.16981238845601357</v>
      </c>
      <c r="M821" t="str">
        <f>TEXT(SalesData[[#This Row],[Order_Date]],"mmm")</f>
        <v>May</v>
      </c>
      <c r="N821">
        <f>YEAR(SalesData[[#This Row],[Order_Date]])</f>
        <v>2022</v>
      </c>
    </row>
    <row r="822" spans="1:14" x14ac:dyDescent="0.3">
      <c r="A822" t="s">
        <v>1762</v>
      </c>
      <c r="B822" s="1">
        <v>45121</v>
      </c>
      <c r="C822" t="s">
        <v>1763</v>
      </c>
      <c r="D822" t="s">
        <v>40</v>
      </c>
      <c r="E822" t="s">
        <v>19</v>
      </c>
      <c r="F822" t="s">
        <v>20</v>
      </c>
      <c r="G822" t="s">
        <v>334</v>
      </c>
      <c r="H822" s="8">
        <v>4744.17</v>
      </c>
      <c r="I822" s="8">
        <v>-1833</v>
      </c>
      <c r="J822" s="8">
        <v>0.28000000000000003</v>
      </c>
      <c r="K822" t="str">
        <f>IF(SalesData[[#This Row],[Profit]]&gt;0,"Profit","Loss")</f>
        <v>Loss</v>
      </c>
      <c r="L822" s="8">
        <f>SalesData[[#This Row],[Profit]]/SalesData[[#This Row],[Sales]]</f>
        <v>-0.3863689538949911</v>
      </c>
      <c r="M822" t="str">
        <f>TEXT(SalesData[[#This Row],[Order_Date]],"mmm")</f>
        <v>Jul</v>
      </c>
      <c r="N822">
        <f>YEAR(SalesData[[#This Row],[Order_Date]])</f>
        <v>2023</v>
      </c>
    </row>
    <row r="823" spans="1:14" x14ac:dyDescent="0.3">
      <c r="A823" t="s">
        <v>1764</v>
      </c>
      <c r="B823" s="1">
        <v>45149</v>
      </c>
      <c r="C823" t="s">
        <v>802</v>
      </c>
      <c r="D823" t="s">
        <v>18</v>
      </c>
      <c r="E823" t="s">
        <v>13</v>
      </c>
      <c r="F823" t="s">
        <v>36</v>
      </c>
      <c r="G823" t="s">
        <v>102</v>
      </c>
      <c r="H823" s="8">
        <v>2422.16</v>
      </c>
      <c r="I823" s="8">
        <v>669.5</v>
      </c>
      <c r="J823" s="8">
        <v>0.09</v>
      </c>
      <c r="K823" t="str">
        <f>IF(SalesData[[#This Row],[Profit]]&gt;0,"Profit","Loss")</f>
        <v>Profit</v>
      </c>
      <c r="L823" s="8">
        <f>SalesData[[#This Row],[Profit]]/SalesData[[#This Row],[Sales]]</f>
        <v>0.27640618291112068</v>
      </c>
      <c r="M823" t="str">
        <f>TEXT(SalesData[[#This Row],[Order_Date]],"mmm")</f>
        <v>Aug</v>
      </c>
      <c r="N823">
        <f>YEAR(SalesData[[#This Row],[Order_Date]])</f>
        <v>2023</v>
      </c>
    </row>
    <row r="824" spans="1:14" x14ac:dyDescent="0.3">
      <c r="A824" t="s">
        <v>1765</v>
      </c>
      <c r="B824" s="1">
        <v>45052</v>
      </c>
      <c r="C824" t="s">
        <v>1239</v>
      </c>
      <c r="D824" t="s">
        <v>18</v>
      </c>
      <c r="E824" t="s">
        <v>13</v>
      </c>
      <c r="F824" t="s">
        <v>24</v>
      </c>
      <c r="G824" t="s">
        <v>169</v>
      </c>
      <c r="H824" s="8">
        <v>4543.72</v>
      </c>
      <c r="I824" s="8">
        <v>379.35</v>
      </c>
      <c r="J824" s="8">
        <v>0.13</v>
      </c>
      <c r="K824" t="str">
        <f>IF(SalesData[[#This Row],[Profit]]&gt;0,"Profit","Loss")</f>
        <v>Profit</v>
      </c>
      <c r="L824" s="8">
        <f>SalesData[[#This Row],[Profit]]/SalesData[[#This Row],[Sales]]</f>
        <v>8.3488859348727476E-2</v>
      </c>
      <c r="M824" t="str">
        <f>TEXT(SalesData[[#This Row],[Order_Date]],"mmm")</f>
        <v>May</v>
      </c>
      <c r="N824">
        <f>YEAR(SalesData[[#This Row],[Order_Date]])</f>
        <v>2023</v>
      </c>
    </row>
    <row r="825" spans="1:14" x14ac:dyDescent="0.3">
      <c r="A825" t="s">
        <v>1766</v>
      </c>
      <c r="B825" s="1">
        <v>45018</v>
      </c>
      <c r="C825" t="s">
        <v>1767</v>
      </c>
      <c r="D825" t="s">
        <v>12</v>
      </c>
      <c r="E825" t="s">
        <v>13</v>
      </c>
      <c r="F825" t="s">
        <v>14</v>
      </c>
      <c r="G825" t="s">
        <v>660</v>
      </c>
      <c r="H825" s="8">
        <v>1609.6</v>
      </c>
      <c r="I825" s="8">
        <v>297.01</v>
      </c>
      <c r="J825" s="8">
        <v>0.12</v>
      </c>
      <c r="K825" t="str">
        <f>IF(SalesData[[#This Row],[Profit]]&gt;0,"Profit","Loss")</f>
        <v>Profit</v>
      </c>
      <c r="L825" s="8">
        <f>SalesData[[#This Row],[Profit]]/SalesData[[#This Row],[Sales]]</f>
        <v>0.18452410536779323</v>
      </c>
      <c r="M825" t="str">
        <f>TEXT(SalesData[[#This Row],[Order_Date]],"mmm")</f>
        <v>Apr</v>
      </c>
      <c r="N825">
        <f>YEAR(SalesData[[#This Row],[Order_Date]])</f>
        <v>2023</v>
      </c>
    </row>
    <row r="826" spans="1:14" x14ac:dyDescent="0.3">
      <c r="A826" t="s">
        <v>1768</v>
      </c>
      <c r="B826" s="1">
        <v>44846</v>
      </c>
      <c r="C826" t="s">
        <v>1769</v>
      </c>
      <c r="D826" t="s">
        <v>12</v>
      </c>
      <c r="E826" t="s">
        <v>56</v>
      </c>
      <c r="F826" t="s">
        <v>73</v>
      </c>
      <c r="G826" t="s">
        <v>228</v>
      </c>
      <c r="H826" s="8">
        <v>3242.43</v>
      </c>
      <c r="I826" s="8">
        <v>-799.95</v>
      </c>
      <c r="J826" s="8">
        <v>0.18</v>
      </c>
      <c r="K826" t="str">
        <f>IF(SalesData[[#This Row],[Profit]]&gt;0,"Profit","Loss")</f>
        <v>Loss</v>
      </c>
      <c r="L826" s="8">
        <f>SalesData[[#This Row],[Profit]]/SalesData[[#This Row],[Sales]]</f>
        <v>-0.24671311331316331</v>
      </c>
      <c r="M826" t="str">
        <f>TEXT(SalesData[[#This Row],[Order_Date]],"mmm")</f>
        <v>Oct</v>
      </c>
      <c r="N826">
        <f>YEAR(SalesData[[#This Row],[Order_Date]])</f>
        <v>2022</v>
      </c>
    </row>
    <row r="827" spans="1:14" x14ac:dyDescent="0.3">
      <c r="A827" t="s">
        <v>1770</v>
      </c>
      <c r="B827" s="1">
        <v>44965</v>
      </c>
      <c r="C827" t="s">
        <v>1771</v>
      </c>
      <c r="D827" t="s">
        <v>28</v>
      </c>
      <c r="E827" t="s">
        <v>13</v>
      </c>
      <c r="F827" t="s">
        <v>36</v>
      </c>
      <c r="G827" t="s">
        <v>1004</v>
      </c>
      <c r="H827" s="8">
        <v>3417.61</v>
      </c>
      <c r="I827" s="8">
        <v>326.39</v>
      </c>
      <c r="J827" s="8">
        <v>0.28999999999999998</v>
      </c>
      <c r="K827" t="str">
        <f>IF(SalesData[[#This Row],[Profit]]&gt;0,"Profit","Loss")</f>
        <v>Profit</v>
      </c>
      <c r="L827" s="8">
        <f>SalesData[[#This Row],[Profit]]/SalesData[[#This Row],[Sales]]</f>
        <v>9.5502412504645057E-2</v>
      </c>
      <c r="M827" t="str">
        <f>TEXT(SalesData[[#This Row],[Order_Date]],"mmm")</f>
        <v>Feb</v>
      </c>
      <c r="N827">
        <f>YEAR(SalesData[[#This Row],[Order_Date]])</f>
        <v>2023</v>
      </c>
    </row>
    <row r="828" spans="1:14" x14ac:dyDescent="0.3">
      <c r="A828" t="s">
        <v>1772</v>
      </c>
      <c r="B828" s="1">
        <v>44969</v>
      </c>
      <c r="C828" t="s">
        <v>198</v>
      </c>
      <c r="D828" t="s">
        <v>28</v>
      </c>
      <c r="E828" t="s">
        <v>13</v>
      </c>
      <c r="F828" t="s">
        <v>24</v>
      </c>
      <c r="G828" t="s">
        <v>1657</v>
      </c>
      <c r="H828" s="8">
        <v>2606.62</v>
      </c>
      <c r="I828" s="8">
        <v>469.35</v>
      </c>
      <c r="J828" s="8">
        <v>0.02</v>
      </c>
      <c r="K828" t="str">
        <f>IF(SalesData[[#This Row],[Profit]]&gt;0,"Profit","Loss")</f>
        <v>Profit</v>
      </c>
      <c r="L828" s="8">
        <f>SalesData[[#This Row],[Profit]]/SalesData[[#This Row],[Sales]]</f>
        <v>0.18006076835135157</v>
      </c>
      <c r="M828" t="str">
        <f>TEXT(SalesData[[#This Row],[Order_Date]],"mmm")</f>
        <v>Feb</v>
      </c>
      <c r="N828">
        <f>YEAR(SalesData[[#This Row],[Order_Date]])</f>
        <v>2023</v>
      </c>
    </row>
    <row r="829" spans="1:14" x14ac:dyDescent="0.3">
      <c r="A829" t="s">
        <v>1773</v>
      </c>
      <c r="B829" s="1">
        <v>45018</v>
      </c>
      <c r="C829" t="s">
        <v>17</v>
      </c>
      <c r="D829" t="s">
        <v>12</v>
      </c>
      <c r="E829" t="s">
        <v>19</v>
      </c>
      <c r="F829" t="s">
        <v>29</v>
      </c>
      <c r="G829" t="s">
        <v>1009</v>
      </c>
      <c r="H829" s="8">
        <v>159.72999999999999</v>
      </c>
      <c r="I829" s="8">
        <v>-18.39</v>
      </c>
      <c r="J829" s="8">
        <v>0.1</v>
      </c>
      <c r="K829" t="str">
        <f>IF(SalesData[[#This Row],[Profit]]&gt;0,"Profit","Loss")</f>
        <v>Loss</v>
      </c>
      <c r="L829" s="8">
        <f>SalesData[[#This Row],[Profit]]/SalesData[[#This Row],[Sales]]</f>
        <v>-0.11513178488699682</v>
      </c>
      <c r="M829" t="str">
        <f>TEXT(SalesData[[#This Row],[Order_Date]],"mmm")</f>
        <v>Apr</v>
      </c>
      <c r="N829">
        <f>YEAR(SalesData[[#This Row],[Order_Date]])</f>
        <v>2023</v>
      </c>
    </row>
    <row r="830" spans="1:14" x14ac:dyDescent="0.3">
      <c r="A830" t="s">
        <v>1774</v>
      </c>
      <c r="B830" s="1">
        <v>44729</v>
      </c>
      <c r="C830" t="s">
        <v>101</v>
      </c>
      <c r="D830" t="s">
        <v>28</v>
      </c>
      <c r="E830" t="s">
        <v>13</v>
      </c>
      <c r="F830" t="s">
        <v>36</v>
      </c>
      <c r="G830" t="s">
        <v>966</v>
      </c>
      <c r="H830" s="8">
        <v>3733.49</v>
      </c>
      <c r="I830" s="8">
        <v>-203.47</v>
      </c>
      <c r="J830" s="8">
        <v>0.12</v>
      </c>
      <c r="K830" t="str">
        <f>IF(SalesData[[#This Row],[Profit]]&gt;0,"Profit","Loss")</f>
        <v>Loss</v>
      </c>
      <c r="L830" s="8">
        <f>SalesData[[#This Row],[Profit]]/SalesData[[#This Row],[Sales]]</f>
        <v>-5.449860586207543E-2</v>
      </c>
      <c r="M830" t="str">
        <f>TEXT(SalesData[[#This Row],[Order_Date]],"mmm")</f>
        <v>Jun</v>
      </c>
      <c r="N830">
        <f>YEAR(SalesData[[#This Row],[Order_Date]])</f>
        <v>2022</v>
      </c>
    </row>
    <row r="831" spans="1:14" x14ac:dyDescent="0.3">
      <c r="A831" t="s">
        <v>1775</v>
      </c>
      <c r="B831" s="1">
        <v>44872</v>
      </c>
      <c r="C831" t="s">
        <v>1776</v>
      </c>
      <c r="D831" t="s">
        <v>40</v>
      </c>
      <c r="E831" t="s">
        <v>19</v>
      </c>
      <c r="F831" t="s">
        <v>20</v>
      </c>
      <c r="G831" t="s">
        <v>520</v>
      </c>
      <c r="H831" s="8">
        <v>4194.01</v>
      </c>
      <c r="I831" s="8">
        <v>-1232.27</v>
      </c>
      <c r="J831" s="8">
        <v>0.18</v>
      </c>
      <c r="K831" t="str">
        <f>IF(SalesData[[#This Row],[Profit]]&gt;0,"Profit","Loss")</f>
        <v>Loss</v>
      </c>
      <c r="L831" s="8">
        <f>SalesData[[#This Row],[Profit]]/SalesData[[#This Row],[Sales]]</f>
        <v>-0.29381665756638631</v>
      </c>
      <c r="M831" t="str">
        <f>TEXT(SalesData[[#This Row],[Order_Date]],"mmm")</f>
        <v>Nov</v>
      </c>
      <c r="N831">
        <f>YEAR(SalesData[[#This Row],[Order_Date]])</f>
        <v>2022</v>
      </c>
    </row>
    <row r="832" spans="1:14" x14ac:dyDescent="0.3">
      <c r="A832" t="s">
        <v>1777</v>
      </c>
      <c r="B832" s="1">
        <v>44986</v>
      </c>
      <c r="C832" t="s">
        <v>1740</v>
      </c>
      <c r="D832" t="s">
        <v>28</v>
      </c>
      <c r="E832" t="s">
        <v>13</v>
      </c>
      <c r="F832" t="s">
        <v>36</v>
      </c>
      <c r="G832" t="s">
        <v>606</v>
      </c>
      <c r="H832" s="8">
        <v>533.4</v>
      </c>
      <c r="I832" s="8">
        <v>121.96</v>
      </c>
      <c r="J832" s="8">
        <v>0.12</v>
      </c>
      <c r="K832" t="str">
        <f>IF(SalesData[[#This Row],[Profit]]&gt;0,"Profit","Loss")</f>
        <v>Profit</v>
      </c>
      <c r="L832" s="8">
        <f>SalesData[[#This Row],[Profit]]/SalesData[[#This Row],[Sales]]</f>
        <v>0.22864641919760029</v>
      </c>
      <c r="M832" t="str">
        <f>TEXT(SalesData[[#This Row],[Order_Date]],"mmm")</f>
        <v>Mar</v>
      </c>
      <c r="N832">
        <f>YEAR(SalesData[[#This Row],[Order_Date]])</f>
        <v>2023</v>
      </c>
    </row>
    <row r="833" spans="1:14" x14ac:dyDescent="0.3">
      <c r="A833" t="s">
        <v>1778</v>
      </c>
      <c r="B833" s="1">
        <v>45064</v>
      </c>
      <c r="C833" t="s">
        <v>1779</v>
      </c>
      <c r="D833" t="s">
        <v>40</v>
      </c>
      <c r="E833" t="s">
        <v>13</v>
      </c>
      <c r="F833" t="s">
        <v>14</v>
      </c>
      <c r="G833" t="s">
        <v>1780</v>
      </c>
      <c r="H833" s="8">
        <v>1076.3599999999999</v>
      </c>
      <c r="I833" s="8">
        <v>-297.42</v>
      </c>
      <c r="J833" s="8">
        <v>0.25</v>
      </c>
      <c r="K833" t="str">
        <f>IF(SalesData[[#This Row],[Profit]]&gt;0,"Profit","Loss")</f>
        <v>Loss</v>
      </c>
      <c r="L833" s="8">
        <f>SalesData[[#This Row],[Profit]]/SalesData[[#This Row],[Sales]]</f>
        <v>-0.27632019027091309</v>
      </c>
      <c r="M833" t="str">
        <f>TEXT(SalesData[[#This Row],[Order_Date]],"mmm")</f>
        <v>May</v>
      </c>
      <c r="N833">
        <f>YEAR(SalesData[[#This Row],[Order_Date]])</f>
        <v>2023</v>
      </c>
    </row>
    <row r="834" spans="1:14" x14ac:dyDescent="0.3">
      <c r="A834" t="s">
        <v>1781</v>
      </c>
      <c r="B834" s="1">
        <v>44564</v>
      </c>
      <c r="C834" t="s">
        <v>1259</v>
      </c>
      <c r="D834" t="s">
        <v>40</v>
      </c>
      <c r="E834" t="s">
        <v>13</v>
      </c>
      <c r="F834" t="s">
        <v>36</v>
      </c>
      <c r="G834" t="s">
        <v>850</v>
      </c>
      <c r="H834" s="8">
        <v>2521.09</v>
      </c>
      <c r="I834" s="8">
        <v>-719.24</v>
      </c>
      <c r="J834" s="8">
        <v>0.22</v>
      </c>
      <c r="K834" t="str">
        <f>IF(SalesData[[#This Row],[Profit]]&gt;0,"Profit","Loss")</f>
        <v>Loss</v>
      </c>
      <c r="L834" s="8">
        <f>SalesData[[#This Row],[Profit]]/SalesData[[#This Row],[Sales]]</f>
        <v>-0.2852892994696738</v>
      </c>
      <c r="M834" t="str">
        <f>TEXT(SalesData[[#This Row],[Order_Date]],"mmm")</f>
        <v>Jan</v>
      </c>
      <c r="N834">
        <f>YEAR(SalesData[[#This Row],[Order_Date]])</f>
        <v>2022</v>
      </c>
    </row>
    <row r="835" spans="1:14" x14ac:dyDescent="0.3">
      <c r="A835" t="s">
        <v>1782</v>
      </c>
      <c r="B835" s="1">
        <v>44989</v>
      </c>
      <c r="C835" t="s">
        <v>159</v>
      </c>
      <c r="D835" t="s">
        <v>28</v>
      </c>
      <c r="E835" t="s">
        <v>13</v>
      </c>
      <c r="F835" t="s">
        <v>24</v>
      </c>
      <c r="G835" t="s">
        <v>1697</v>
      </c>
      <c r="H835" s="8">
        <v>2415.4499999999998</v>
      </c>
      <c r="I835" s="8">
        <v>327.56</v>
      </c>
      <c r="J835" s="8">
        <v>0.2</v>
      </c>
      <c r="K835" t="str">
        <f>IF(SalesData[[#This Row],[Profit]]&gt;0,"Profit","Loss")</f>
        <v>Profit</v>
      </c>
      <c r="L835" s="8">
        <f>SalesData[[#This Row],[Profit]]/SalesData[[#This Row],[Sales]]</f>
        <v>0.13561034175826453</v>
      </c>
      <c r="M835" t="str">
        <f>TEXT(SalesData[[#This Row],[Order_Date]],"mmm")</f>
        <v>Mar</v>
      </c>
      <c r="N835">
        <f>YEAR(SalesData[[#This Row],[Order_Date]])</f>
        <v>2023</v>
      </c>
    </row>
    <row r="836" spans="1:14" x14ac:dyDescent="0.3">
      <c r="A836" t="s">
        <v>1783</v>
      </c>
      <c r="B836" s="1">
        <v>44630</v>
      </c>
      <c r="C836" t="s">
        <v>1671</v>
      </c>
      <c r="D836" t="s">
        <v>40</v>
      </c>
      <c r="E836" t="s">
        <v>13</v>
      </c>
      <c r="F836" t="s">
        <v>24</v>
      </c>
      <c r="G836" t="s">
        <v>1644</v>
      </c>
      <c r="H836" s="8">
        <v>1299.28</v>
      </c>
      <c r="I836" s="8">
        <v>-95.72</v>
      </c>
      <c r="J836" s="8">
        <v>0.04</v>
      </c>
      <c r="K836" t="str">
        <f>IF(SalesData[[#This Row],[Profit]]&gt;0,"Profit","Loss")</f>
        <v>Loss</v>
      </c>
      <c r="L836" s="8">
        <f>SalesData[[#This Row],[Profit]]/SalesData[[#This Row],[Sales]]</f>
        <v>-7.3671571947540176E-2</v>
      </c>
      <c r="M836" t="str">
        <f>TEXT(SalesData[[#This Row],[Order_Date]],"mmm")</f>
        <v>Mar</v>
      </c>
      <c r="N836">
        <f>YEAR(SalesData[[#This Row],[Order_Date]])</f>
        <v>2022</v>
      </c>
    </row>
    <row r="837" spans="1:14" x14ac:dyDescent="0.3">
      <c r="A837" t="s">
        <v>1784</v>
      </c>
      <c r="B837" s="1">
        <v>45272</v>
      </c>
      <c r="C837" t="s">
        <v>1785</v>
      </c>
      <c r="D837" t="s">
        <v>40</v>
      </c>
      <c r="E837" t="s">
        <v>19</v>
      </c>
      <c r="F837" t="s">
        <v>141</v>
      </c>
      <c r="G837" t="s">
        <v>1786</v>
      </c>
      <c r="H837" s="8">
        <v>2236.7399999999998</v>
      </c>
      <c r="I837" s="8">
        <v>294.24</v>
      </c>
      <c r="J837" s="8">
        <v>0.08</v>
      </c>
      <c r="K837" t="str">
        <f>IF(SalesData[[#This Row],[Profit]]&gt;0,"Profit","Loss")</f>
        <v>Profit</v>
      </c>
      <c r="L837" s="8">
        <f>SalesData[[#This Row],[Profit]]/SalesData[[#This Row],[Sales]]</f>
        <v>0.13154859304165886</v>
      </c>
      <c r="M837" t="str">
        <f>TEXT(SalesData[[#This Row],[Order_Date]],"mmm")</f>
        <v>Dec</v>
      </c>
      <c r="N837">
        <f>YEAR(SalesData[[#This Row],[Order_Date]])</f>
        <v>2023</v>
      </c>
    </row>
    <row r="838" spans="1:14" x14ac:dyDescent="0.3">
      <c r="A838" t="s">
        <v>1787</v>
      </c>
      <c r="B838" s="1">
        <v>44711</v>
      </c>
      <c r="C838" t="s">
        <v>1788</v>
      </c>
      <c r="D838" t="s">
        <v>28</v>
      </c>
      <c r="E838" t="s">
        <v>13</v>
      </c>
      <c r="F838" t="s">
        <v>24</v>
      </c>
      <c r="G838" t="s">
        <v>989</v>
      </c>
      <c r="H838" s="8">
        <v>185.97</v>
      </c>
      <c r="I838" s="8">
        <v>12.83</v>
      </c>
      <c r="J838" s="8">
        <v>0.08</v>
      </c>
      <c r="K838" t="str">
        <f>IF(SalesData[[#This Row],[Profit]]&gt;0,"Profit","Loss")</f>
        <v>Profit</v>
      </c>
      <c r="L838" s="8">
        <f>SalesData[[#This Row],[Profit]]/SalesData[[#This Row],[Sales]]</f>
        <v>6.8989621982040117E-2</v>
      </c>
      <c r="M838" t="str">
        <f>TEXT(SalesData[[#This Row],[Order_Date]],"mmm")</f>
        <v>May</v>
      </c>
      <c r="N838">
        <f>YEAR(SalesData[[#This Row],[Order_Date]])</f>
        <v>2022</v>
      </c>
    </row>
    <row r="839" spans="1:14" x14ac:dyDescent="0.3">
      <c r="A839" t="s">
        <v>1789</v>
      </c>
      <c r="B839" s="1">
        <v>45213</v>
      </c>
      <c r="C839" t="s">
        <v>1790</v>
      </c>
      <c r="D839" t="s">
        <v>12</v>
      </c>
      <c r="E839" t="s">
        <v>13</v>
      </c>
      <c r="F839" t="s">
        <v>14</v>
      </c>
      <c r="G839" t="s">
        <v>479</v>
      </c>
      <c r="H839" s="8">
        <v>1851.19</v>
      </c>
      <c r="I839" s="8">
        <v>-6.11</v>
      </c>
      <c r="J839" s="8">
        <v>0.02</v>
      </c>
      <c r="K839" t="str">
        <f>IF(SalesData[[#This Row],[Profit]]&gt;0,"Profit","Loss")</f>
        <v>Loss</v>
      </c>
      <c r="L839" s="8">
        <f>SalesData[[#This Row],[Profit]]/SalesData[[#This Row],[Sales]]</f>
        <v>-3.3005796271587465E-3</v>
      </c>
      <c r="M839" t="str">
        <f>TEXT(SalesData[[#This Row],[Order_Date]],"mmm")</f>
        <v>Oct</v>
      </c>
      <c r="N839">
        <f>YEAR(SalesData[[#This Row],[Order_Date]])</f>
        <v>2023</v>
      </c>
    </row>
    <row r="840" spans="1:14" x14ac:dyDescent="0.3">
      <c r="A840" t="s">
        <v>1791</v>
      </c>
      <c r="B840" s="1">
        <v>45205</v>
      </c>
      <c r="C840" t="s">
        <v>1792</v>
      </c>
      <c r="D840" t="s">
        <v>12</v>
      </c>
      <c r="E840" t="s">
        <v>19</v>
      </c>
      <c r="F840" t="s">
        <v>141</v>
      </c>
      <c r="G840" t="s">
        <v>862</v>
      </c>
      <c r="H840" s="8">
        <v>3230.84</v>
      </c>
      <c r="I840" s="8">
        <v>-335.07</v>
      </c>
      <c r="J840" s="8">
        <v>0.02</v>
      </c>
      <c r="K840" t="str">
        <f>IF(SalesData[[#This Row],[Profit]]&gt;0,"Profit","Loss")</f>
        <v>Loss</v>
      </c>
      <c r="L840" s="8">
        <f>SalesData[[#This Row],[Profit]]/SalesData[[#This Row],[Sales]]</f>
        <v>-0.10370987111710886</v>
      </c>
      <c r="M840" t="str">
        <f>TEXT(SalesData[[#This Row],[Order_Date]],"mmm")</f>
        <v>Oct</v>
      </c>
      <c r="N840">
        <f>YEAR(SalesData[[#This Row],[Order_Date]])</f>
        <v>2023</v>
      </c>
    </row>
    <row r="841" spans="1:14" x14ac:dyDescent="0.3">
      <c r="A841" t="s">
        <v>1793</v>
      </c>
      <c r="B841" s="1">
        <v>44870</v>
      </c>
      <c r="C841" t="s">
        <v>1794</v>
      </c>
      <c r="D841" t="s">
        <v>40</v>
      </c>
      <c r="E841" t="s">
        <v>56</v>
      </c>
      <c r="F841" t="s">
        <v>73</v>
      </c>
      <c r="G841" t="s">
        <v>30</v>
      </c>
      <c r="H841" s="8">
        <v>1680.77</v>
      </c>
      <c r="I841" s="8">
        <v>364.72</v>
      </c>
      <c r="J841" s="8">
        <v>0.09</v>
      </c>
      <c r="K841" t="str">
        <f>IF(SalesData[[#This Row],[Profit]]&gt;0,"Profit","Loss")</f>
        <v>Profit</v>
      </c>
      <c r="L841" s="8">
        <f>SalesData[[#This Row],[Profit]]/SalesData[[#This Row],[Sales]]</f>
        <v>0.21699578169529443</v>
      </c>
      <c r="M841" t="str">
        <f>TEXT(SalesData[[#This Row],[Order_Date]],"mmm")</f>
        <v>Nov</v>
      </c>
      <c r="N841">
        <f>YEAR(SalesData[[#This Row],[Order_Date]])</f>
        <v>2022</v>
      </c>
    </row>
    <row r="842" spans="1:14" x14ac:dyDescent="0.3">
      <c r="A842" t="s">
        <v>1795</v>
      </c>
      <c r="B842" s="1">
        <v>44850</v>
      </c>
      <c r="C842" t="s">
        <v>1796</v>
      </c>
      <c r="D842" t="s">
        <v>28</v>
      </c>
      <c r="E842" t="s">
        <v>13</v>
      </c>
      <c r="F842" t="s">
        <v>24</v>
      </c>
      <c r="G842" t="s">
        <v>674</v>
      </c>
      <c r="H842" s="8">
        <v>1822.98</v>
      </c>
      <c r="I842" s="8">
        <v>-287.72000000000003</v>
      </c>
      <c r="J842" s="8">
        <v>0.04</v>
      </c>
      <c r="K842" t="str">
        <f>IF(SalesData[[#This Row],[Profit]]&gt;0,"Profit","Loss")</f>
        <v>Loss</v>
      </c>
      <c r="L842" s="8">
        <f>SalesData[[#This Row],[Profit]]/SalesData[[#This Row],[Sales]]</f>
        <v>-0.15782948798121757</v>
      </c>
      <c r="M842" t="str">
        <f>TEXT(SalesData[[#This Row],[Order_Date]],"mmm")</f>
        <v>Oct</v>
      </c>
      <c r="N842">
        <f>YEAR(SalesData[[#This Row],[Order_Date]])</f>
        <v>2022</v>
      </c>
    </row>
    <row r="843" spans="1:14" x14ac:dyDescent="0.3">
      <c r="A843" t="s">
        <v>1797</v>
      </c>
      <c r="B843" s="1">
        <v>44754</v>
      </c>
      <c r="C843" t="s">
        <v>1798</v>
      </c>
      <c r="D843" t="s">
        <v>12</v>
      </c>
      <c r="E843" t="s">
        <v>19</v>
      </c>
      <c r="F843" t="s">
        <v>20</v>
      </c>
      <c r="G843" t="s">
        <v>1489</v>
      </c>
      <c r="H843" s="8">
        <v>601.85</v>
      </c>
      <c r="I843" s="8">
        <v>-70.62</v>
      </c>
      <c r="J843" s="8">
        <v>0.05</v>
      </c>
      <c r="K843" t="str">
        <f>IF(SalesData[[#This Row],[Profit]]&gt;0,"Profit","Loss")</f>
        <v>Loss</v>
      </c>
      <c r="L843" s="8">
        <f>SalesData[[#This Row],[Profit]]/SalesData[[#This Row],[Sales]]</f>
        <v>-0.11733820719448368</v>
      </c>
      <c r="M843" t="str">
        <f>TEXT(SalesData[[#This Row],[Order_Date]],"mmm")</f>
        <v>Jul</v>
      </c>
      <c r="N843">
        <f>YEAR(SalesData[[#This Row],[Order_Date]])</f>
        <v>2022</v>
      </c>
    </row>
    <row r="844" spans="1:14" x14ac:dyDescent="0.3">
      <c r="A844" t="s">
        <v>1799</v>
      </c>
      <c r="B844" s="1">
        <v>44918</v>
      </c>
      <c r="C844" t="s">
        <v>1800</v>
      </c>
      <c r="D844" t="s">
        <v>40</v>
      </c>
      <c r="E844" t="s">
        <v>19</v>
      </c>
      <c r="F844" t="s">
        <v>20</v>
      </c>
      <c r="G844" t="s">
        <v>860</v>
      </c>
      <c r="H844" s="8">
        <v>671.17</v>
      </c>
      <c r="I844" s="8">
        <v>-154.08000000000001</v>
      </c>
      <c r="J844" s="8">
        <v>0.04</v>
      </c>
      <c r="K844" t="str">
        <f>IF(SalesData[[#This Row],[Profit]]&gt;0,"Profit","Loss")</f>
        <v>Loss</v>
      </c>
      <c r="L844" s="8">
        <f>SalesData[[#This Row],[Profit]]/SalesData[[#This Row],[Sales]]</f>
        <v>-0.22956925965105715</v>
      </c>
      <c r="M844" t="str">
        <f>TEXT(SalesData[[#This Row],[Order_Date]],"mmm")</f>
        <v>Dec</v>
      </c>
      <c r="N844">
        <f>YEAR(SalesData[[#This Row],[Order_Date]])</f>
        <v>2022</v>
      </c>
    </row>
    <row r="845" spans="1:14" x14ac:dyDescent="0.3">
      <c r="A845" t="s">
        <v>1801</v>
      </c>
      <c r="B845" s="1">
        <v>44873</v>
      </c>
      <c r="C845" t="s">
        <v>259</v>
      </c>
      <c r="D845" t="s">
        <v>12</v>
      </c>
      <c r="E845" t="s">
        <v>19</v>
      </c>
      <c r="F845" t="s">
        <v>141</v>
      </c>
      <c r="G845" t="s">
        <v>494</v>
      </c>
      <c r="H845" s="8">
        <v>2663.29</v>
      </c>
      <c r="I845" s="8">
        <v>-1029.83</v>
      </c>
      <c r="J845" s="8">
        <v>0.28999999999999998</v>
      </c>
      <c r="K845" t="str">
        <f>IF(SalesData[[#This Row],[Profit]]&gt;0,"Profit","Loss")</f>
        <v>Loss</v>
      </c>
      <c r="L845" s="8">
        <f>SalesData[[#This Row],[Profit]]/SalesData[[#This Row],[Sales]]</f>
        <v>-0.38667587833093653</v>
      </c>
      <c r="M845" t="str">
        <f>TEXT(SalesData[[#This Row],[Order_Date]],"mmm")</f>
        <v>Nov</v>
      </c>
      <c r="N845">
        <f>YEAR(SalesData[[#This Row],[Order_Date]])</f>
        <v>2022</v>
      </c>
    </row>
    <row r="846" spans="1:14" x14ac:dyDescent="0.3">
      <c r="A846" t="s">
        <v>1802</v>
      </c>
      <c r="B846" s="1">
        <v>44695</v>
      </c>
      <c r="C846" t="s">
        <v>1607</v>
      </c>
      <c r="D846" t="s">
        <v>28</v>
      </c>
      <c r="E846" t="s">
        <v>56</v>
      </c>
      <c r="F846" t="s">
        <v>73</v>
      </c>
      <c r="G846" t="s">
        <v>265</v>
      </c>
      <c r="H846" s="8">
        <v>797.56</v>
      </c>
      <c r="I846" s="8">
        <v>-155.36000000000001</v>
      </c>
      <c r="J846" s="8">
        <v>7.0000000000000007E-2</v>
      </c>
      <c r="K846" t="str">
        <f>IF(SalesData[[#This Row],[Profit]]&gt;0,"Profit","Loss")</f>
        <v>Loss</v>
      </c>
      <c r="L846" s="8">
        <f>SalesData[[#This Row],[Profit]]/SalesData[[#This Row],[Sales]]</f>
        <v>-0.19479412207232061</v>
      </c>
      <c r="M846" t="str">
        <f>TEXT(SalesData[[#This Row],[Order_Date]],"mmm")</f>
        <v>May</v>
      </c>
      <c r="N846">
        <f>YEAR(SalesData[[#This Row],[Order_Date]])</f>
        <v>2022</v>
      </c>
    </row>
    <row r="847" spans="1:14" x14ac:dyDescent="0.3">
      <c r="A847" t="s">
        <v>1803</v>
      </c>
      <c r="B847" s="1">
        <v>44763</v>
      </c>
      <c r="C847" t="s">
        <v>162</v>
      </c>
      <c r="D847" t="s">
        <v>12</v>
      </c>
      <c r="E847" t="s">
        <v>56</v>
      </c>
      <c r="F847" t="s">
        <v>57</v>
      </c>
      <c r="G847" t="s">
        <v>608</v>
      </c>
      <c r="H847" s="8">
        <v>192.15</v>
      </c>
      <c r="I847" s="8">
        <v>-17.53</v>
      </c>
      <c r="J847" s="8">
        <v>0.15</v>
      </c>
      <c r="K847" t="str">
        <f>IF(SalesData[[#This Row],[Profit]]&gt;0,"Profit","Loss")</f>
        <v>Loss</v>
      </c>
      <c r="L847" s="8">
        <f>SalesData[[#This Row],[Profit]]/SalesData[[#This Row],[Sales]]</f>
        <v>-9.1230809263596155E-2</v>
      </c>
      <c r="M847" t="str">
        <f>TEXT(SalesData[[#This Row],[Order_Date]],"mmm")</f>
        <v>Jul</v>
      </c>
      <c r="N847">
        <f>YEAR(SalesData[[#This Row],[Order_Date]])</f>
        <v>2022</v>
      </c>
    </row>
    <row r="848" spans="1:14" x14ac:dyDescent="0.3">
      <c r="A848" t="s">
        <v>1804</v>
      </c>
      <c r="B848" s="1">
        <v>44606</v>
      </c>
      <c r="C848" t="s">
        <v>49</v>
      </c>
      <c r="D848" t="s">
        <v>40</v>
      </c>
      <c r="E848" t="s">
        <v>13</v>
      </c>
      <c r="F848" t="s">
        <v>24</v>
      </c>
      <c r="G848" t="s">
        <v>154</v>
      </c>
      <c r="H848" s="8">
        <v>3006.56</v>
      </c>
      <c r="I848" s="8">
        <v>616.70000000000005</v>
      </c>
      <c r="J848" s="8">
        <v>0.14000000000000001</v>
      </c>
      <c r="K848" t="str">
        <f>IF(SalesData[[#This Row],[Profit]]&gt;0,"Profit","Loss")</f>
        <v>Profit</v>
      </c>
      <c r="L848" s="8">
        <f>SalesData[[#This Row],[Profit]]/SalesData[[#This Row],[Sales]]</f>
        <v>0.20511814166356238</v>
      </c>
      <c r="M848" t="str">
        <f>TEXT(SalesData[[#This Row],[Order_Date]],"mmm")</f>
        <v>Feb</v>
      </c>
      <c r="N848">
        <f>YEAR(SalesData[[#This Row],[Order_Date]])</f>
        <v>2022</v>
      </c>
    </row>
    <row r="849" spans="1:14" x14ac:dyDescent="0.3">
      <c r="A849" t="s">
        <v>1805</v>
      </c>
      <c r="B849" s="1">
        <v>44766</v>
      </c>
      <c r="C849" t="s">
        <v>1559</v>
      </c>
      <c r="D849" t="s">
        <v>40</v>
      </c>
      <c r="E849" t="s">
        <v>56</v>
      </c>
      <c r="F849" t="s">
        <v>57</v>
      </c>
      <c r="G849" t="s">
        <v>1806</v>
      </c>
      <c r="H849" s="8">
        <v>3933.62</v>
      </c>
      <c r="I849" s="8">
        <v>-1403.36</v>
      </c>
      <c r="J849" s="8">
        <v>0.28000000000000003</v>
      </c>
      <c r="K849" t="str">
        <f>IF(SalesData[[#This Row],[Profit]]&gt;0,"Profit","Loss")</f>
        <v>Loss</v>
      </c>
      <c r="L849" s="8">
        <f>SalesData[[#This Row],[Profit]]/SalesData[[#This Row],[Sales]]</f>
        <v>-0.35676043949339281</v>
      </c>
      <c r="M849" t="str">
        <f>TEXT(SalesData[[#This Row],[Order_Date]],"mmm")</f>
        <v>Jul</v>
      </c>
      <c r="N849">
        <f>YEAR(SalesData[[#This Row],[Order_Date]])</f>
        <v>2022</v>
      </c>
    </row>
    <row r="850" spans="1:14" x14ac:dyDescent="0.3">
      <c r="A850" t="s">
        <v>1807</v>
      </c>
      <c r="B850" s="1">
        <v>44918</v>
      </c>
      <c r="C850" t="s">
        <v>506</v>
      </c>
      <c r="D850" t="s">
        <v>18</v>
      </c>
      <c r="E850" t="s">
        <v>56</v>
      </c>
      <c r="F850" t="s">
        <v>57</v>
      </c>
      <c r="G850" t="s">
        <v>1808</v>
      </c>
      <c r="H850" s="8">
        <v>4244.72</v>
      </c>
      <c r="I850" s="8">
        <v>378.95</v>
      </c>
      <c r="J850" s="8">
        <v>0.28000000000000003</v>
      </c>
      <c r="K850" t="str">
        <f>IF(SalesData[[#This Row],[Profit]]&gt;0,"Profit","Loss")</f>
        <v>Profit</v>
      </c>
      <c r="L850" s="8">
        <f>SalesData[[#This Row],[Profit]]/SalesData[[#This Row],[Sales]]</f>
        <v>8.9275617708588551E-2</v>
      </c>
      <c r="M850" t="str">
        <f>TEXT(SalesData[[#This Row],[Order_Date]],"mmm")</f>
        <v>Dec</v>
      </c>
      <c r="N850">
        <f>YEAR(SalesData[[#This Row],[Order_Date]])</f>
        <v>2022</v>
      </c>
    </row>
    <row r="851" spans="1:14" x14ac:dyDescent="0.3">
      <c r="A851" t="s">
        <v>1809</v>
      </c>
      <c r="B851" s="1">
        <v>45154</v>
      </c>
      <c r="C851" t="s">
        <v>1810</v>
      </c>
      <c r="D851" t="s">
        <v>12</v>
      </c>
      <c r="E851" t="s">
        <v>13</v>
      </c>
      <c r="F851" t="s">
        <v>24</v>
      </c>
      <c r="G851" t="s">
        <v>1811</v>
      </c>
      <c r="H851" s="8">
        <v>3103.49</v>
      </c>
      <c r="I851" s="8">
        <v>-958.97</v>
      </c>
      <c r="J851" s="8">
        <v>0.15</v>
      </c>
      <c r="K851" t="str">
        <f>IF(SalesData[[#This Row],[Profit]]&gt;0,"Profit","Loss")</f>
        <v>Loss</v>
      </c>
      <c r="L851" s="8">
        <f>SalesData[[#This Row],[Profit]]/SalesData[[#This Row],[Sales]]</f>
        <v>-0.30899729014754362</v>
      </c>
      <c r="M851" t="str">
        <f>TEXT(SalesData[[#This Row],[Order_Date]],"mmm")</f>
        <v>Aug</v>
      </c>
      <c r="N851">
        <f>YEAR(SalesData[[#This Row],[Order_Date]])</f>
        <v>2023</v>
      </c>
    </row>
    <row r="852" spans="1:14" x14ac:dyDescent="0.3">
      <c r="A852" t="s">
        <v>1812</v>
      </c>
      <c r="B852" s="1">
        <v>45112</v>
      </c>
      <c r="C852" t="s">
        <v>1153</v>
      </c>
      <c r="D852" t="s">
        <v>12</v>
      </c>
      <c r="E852" t="s">
        <v>56</v>
      </c>
      <c r="F852" t="s">
        <v>73</v>
      </c>
      <c r="G852" t="s">
        <v>157</v>
      </c>
      <c r="H852" s="8">
        <v>1038.58</v>
      </c>
      <c r="I852" s="8">
        <v>271.07</v>
      </c>
      <c r="J852" s="8">
        <v>0.08</v>
      </c>
      <c r="K852" t="str">
        <f>IF(SalesData[[#This Row],[Profit]]&gt;0,"Profit","Loss")</f>
        <v>Profit</v>
      </c>
      <c r="L852" s="8">
        <f>SalesData[[#This Row],[Profit]]/SalesData[[#This Row],[Sales]]</f>
        <v>0.26100059696893835</v>
      </c>
      <c r="M852" t="str">
        <f>TEXT(SalesData[[#This Row],[Order_Date]],"mmm")</f>
        <v>Jul</v>
      </c>
      <c r="N852">
        <f>YEAR(SalesData[[#This Row],[Order_Date]])</f>
        <v>2023</v>
      </c>
    </row>
    <row r="853" spans="1:14" x14ac:dyDescent="0.3">
      <c r="A853" t="s">
        <v>1813</v>
      </c>
      <c r="B853" s="1">
        <v>44751</v>
      </c>
      <c r="C853" t="s">
        <v>948</v>
      </c>
      <c r="D853" t="s">
        <v>12</v>
      </c>
      <c r="E853" t="s">
        <v>56</v>
      </c>
      <c r="F853" t="s">
        <v>73</v>
      </c>
      <c r="G853" t="s">
        <v>1814</v>
      </c>
      <c r="H853" s="8">
        <v>4271.3500000000004</v>
      </c>
      <c r="I853" s="8">
        <v>336.92</v>
      </c>
      <c r="J853" s="8">
        <v>0.14000000000000001</v>
      </c>
      <c r="K853" t="str">
        <f>IF(SalesData[[#This Row],[Profit]]&gt;0,"Profit","Loss")</f>
        <v>Profit</v>
      </c>
      <c r="L853" s="8">
        <f>SalesData[[#This Row],[Profit]]/SalesData[[#This Row],[Sales]]</f>
        <v>7.8879042925538767E-2</v>
      </c>
      <c r="M853" t="str">
        <f>TEXT(SalesData[[#This Row],[Order_Date]],"mmm")</f>
        <v>Jul</v>
      </c>
      <c r="N853">
        <f>YEAR(SalesData[[#This Row],[Order_Date]])</f>
        <v>2022</v>
      </c>
    </row>
    <row r="854" spans="1:14" x14ac:dyDescent="0.3">
      <c r="A854" t="s">
        <v>1815</v>
      </c>
      <c r="B854" s="1">
        <v>44883</v>
      </c>
      <c r="C854" t="s">
        <v>1816</v>
      </c>
      <c r="D854" t="s">
        <v>28</v>
      </c>
      <c r="E854" t="s">
        <v>19</v>
      </c>
      <c r="F854" t="s">
        <v>29</v>
      </c>
      <c r="G854" t="s">
        <v>556</v>
      </c>
      <c r="H854" s="8">
        <v>2178.0500000000002</v>
      </c>
      <c r="I854" s="8">
        <v>-229.68</v>
      </c>
      <c r="J854" s="8">
        <v>0.15</v>
      </c>
      <c r="K854" t="str">
        <f>IF(SalesData[[#This Row],[Profit]]&gt;0,"Profit","Loss")</f>
        <v>Loss</v>
      </c>
      <c r="L854" s="8">
        <f>SalesData[[#This Row],[Profit]]/SalesData[[#This Row],[Sales]]</f>
        <v>-0.10545212460687312</v>
      </c>
      <c r="M854" t="str">
        <f>TEXT(SalesData[[#This Row],[Order_Date]],"mmm")</f>
        <v>Nov</v>
      </c>
      <c r="N854">
        <f>YEAR(SalesData[[#This Row],[Order_Date]])</f>
        <v>2022</v>
      </c>
    </row>
    <row r="855" spans="1:14" x14ac:dyDescent="0.3">
      <c r="A855" t="s">
        <v>1817</v>
      </c>
      <c r="B855" s="1">
        <v>44603</v>
      </c>
      <c r="C855" t="s">
        <v>962</v>
      </c>
      <c r="D855" t="s">
        <v>40</v>
      </c>
      <c r="E855" t="s">
        <v>13</v>
      </c>
      <c r="F855" t="s">
        <v>14</v>
      </c>
      <c r="G855" t="s">
        <v>1818</v>
      </c>
      <c r="H855" s="8">
        <v>2529.5</v>
      </c>
      <c r="I855" s="8">
        <v>-346.64</v>
      </c>
      <c r="J855" s="8">
        <v>0.11</v>
      </c>
      <c r="K855" t="str">
        <f>IF(SalesData[[#This Row],[Profit]]&gt;0,"Profit","Loss")</f>
        <v>Loss</v>
      </c>
      <c r="L855" s="8">
        <f>SalesData[[#This Row],[Profit]]/SalesData[[#This Row],[Sales]]</f>
        <v>-0.13703894050207549</v>
      </c>
      <c r="M855" t="str">
        <f>TEXT(SalesData[[#This Row],[Order_Date]],"mmm")</f>
        <v>Feb</v>
      </c>
      <c r="N855">
        <f>YEAR(SalesData[[#This Row],[Order_Date]])</f>
        <v>2022</v>
      </c>
    </row>
    <row r="856" spans="1:14" x14ac:dyDescent="0.3">
      <c r="A856" t="s">
        <v>1819</v>
      </c>
      <c r="B856" s="1">
        <v>45016</v>
      </c>
      <c r="C856" t="s">
        <v>287</v>
      </c>
      <c r="D856" t="s">
        <v>28</v>
      </c>
      <c r="E856" t="s">
        <v>56</v>
      </c>
      <c r="F856" t="s">
        <v>95</v>
      </c>
      <c r="G856" t="s">
        <v>479</v>
      </c>
      <c r="H856" s="8">
        <v>1489.7</v>
      </c>
      <c r="I856" s="8">
        <v>-287.20999999999998</v>
      </c>
      <c r="J856" s="8">
        <v>0.18</v>
      </c>
      <c r="K856" t="str">
        <f>IF(SalesData[[#This Row],[Profit]]&gt;0,"Profit","Loss")</f>
        <v>Loss</v>
      </c>
      <c r="L856" s="8">
        <f>SalesData[[#This Row],[Profit]]/SalesData[[#This Row],[Sales]]</f>
        <v>-0.19279720749144122</v>
      </c>
      <c r="M856" t="str">
        <f>TEXT(SalesData[[#This Row],[Order_Date]],"mmm")</f>
        <v>Mar</v>
      </c>
      <c r="N856">
        <f>YEAR(SalesData[[#This Row],[Order_Date]])</f>
        <v>2023</v>
      </c>
    </row>
    <row r="857" spans="1:14" x14ac:dyDescent="0.3">
      <c r="A857" t="s">
        <v>1820</v>
      </c>
      <c r="B857" s="1">
        <v>45257</v>
      </c>
      <c r="C857" t="s">
        <v>1821</v>
      </c>
      <c r="D857" t="s">
        <v>18</v>
      </c>
      <c r="E857" t="s">
        <v>19</v>
      </c>
      <c r="F857" t="s">
        <v>20</v>
      </c>
      <c r="G857" t="s">
        <v>1234</v>
      </c>
      <c r="H857" s="8">
        <v>4298.1899999999996</v>
      </c>
      <c r="I857" s="8">
        <v>49.27</v>
      </c>
      <c r="J857" s="8">
        <v>0.27</v>
      </c>
      <c r="K857" t="str">
        <f>IF(SalesData[[#This Row],[Profit]]&gt;0,"Profit","Loss")</f>
        <v>Profit</v>
      </c>
      <c r="L857" s="8">
        <f>SalesData[[#This Row],[Profit]]/SalesData[[#This Row],[Sales]]</f>
        <v>1.1462964643256815E-2</v>
      </c>
      <c r="M857" t="str">
        <f>TEXT(SalesData[[#This Row],[Order_Date]],"mmm")</f>
        <v>Nov</v>
      </c>
      <c r="N857">
        <f>YEAR(SalesData[[#This Row],[Order_Date]])</f>
        <v>2023</v>
      </c>
    </row>
    <row r="858" spans="1:14" x14ac:dyDescent="0.3">
      <c r="A858" t="s">
        <v>1822</v>
      </c>
      <c r="B858" s="1">
        <v>45254</v>
      </c>
      <c r="C858" t="s">
        <v>1823</v>
      </c>
      <c r="D858" t="s">
        <v>12</v>
      </c>
      <c r="E858" t="s">
        <v>13</v>
      </c>
      <c r="F858" t="s">
        <v>36</v>
      </c>
      <c r="G858" t="s">
        <v>1592</v>
      </c>
      <c r="H858" s="8">
        <v>3393.27</v>
      </c>
      <c r="I858" s="8">
        <v>-21.73</v>
      </c>
      <c r="J858" s="8">
        <v>0.12</v>
      </c>
      <c r="K858" t="str">
        <f>IF(SalesData[[#This Row],[Profit]]&gt;0,"Profit","Loss")</f>
        <v>Loss</v>
      </c>
      <c r="L858" s="8">
        <f>SalesData[[#This Row],[Profit]]/SalesData[[#This Row],[Sales]]</f>
        <v>-6.4038523312321153E-3</v>
      </c>
      <c r="M858" t="str">
        <f>TEXT(SalesData[[#This Row],[Order_Date]],"mmm")</f>
        <v>Nov</v>
      </c>
      <c r="N858">
        <f>YEAR(SalesData[[#This Row],[Order_Date]])</f>
        <v>2023</v>
      </c>
    </row>
    <row r="859" spans="1:14" x14ac:dyDescent="0.3">
      <c r="A859" t="s">
        <v>1824</v>
      </c>
      <c r="B859" s="1">
        <v>44734</v>
      </c>
      <c r="C859" t="s">
        <v>1612</v>
      </c>
      <c r="D859" t="s">
        <v>40</v>
      </c>
      <c r="E859" t="s">
        <v>19</v>
      </c>
      <c r="F859" t="s">
        <v>29</v>
      </c>
      <c r="G859" t="s">
        <v>1825</v>
      </c>
      <c r="H859" s="8">
        <v>3505.68</v>
      </c>
      <c r="I859" s="8">
        <v>-158.25</v>
      </c>
      <c r="J859" s="8">
        <v>0.28999999999999998</v>
      </c>
      <c r="K859" t="str">
        <f>IF(SalesData[[#This Row],[Profit]]&gt;0,"Profit","Loss")</f>
        <v>Loss</v>
      </c>
      <c r="L859" s="8">
        <f>SalesData[[#This Row],[Profit]]/SalesData[[#This Row],[Sales]]</f>
        <v>-4.5141028274115154E-2</v>
      </c>
      <c r="M859" t="str">
        <f>TEXT(SalesData[[#This Row],[Order_Date]],"mmm")</f>
        <v>Jun</v>
      </c>
      <c r="N859">
        <f>YEAR(SalesData[[#This Row],[Order_Date]])</f>
        <v>2022</v>
      </c>
    </row>
    <row r="860" spans="1:14" x14ac:dyDescent="0.3">
      <c r="A860" t="s">
        <v>1826</v>
      </c>
      <c r="B860" s="1">
        <v>44800</v>
      </c>
      <c r="C860" t="s">
        <v>1827</v>
      </c>
      <c r="D860" t="s">
        <v>28</v>
      </c>
      <c r="E860" t="s">
        <v>56</v>
      </c>
      <c r="F860" t="s">
        <v>95</v>
      </c>
      <c r="G860" t="s">
        <v>257</v>
      </c>
      <c r="H860" s="8">
        <v>1081.29</v>
      </c>
      <c r="I860" s="8">
        <v>-224.29</v>
      </c>
      <c r="J860" s="8">
        <v>0.25</v>
      </c>
      <c r="K860" t="str">
        <f>IF(SalesData[[#This Row],[Profit]]&gt;0,"Profit","Loss")</f>
        <v>Loss</v>
      </c>
      <c r="L860" s="8">
        <f>SalesData[[#This Row],[Profit]]/SalesData[[#This Row],[Sales]]</f>
        <v>-0.207428164507209</v>
      </c>
      <c r="M860" t="str">
        <f>TEXT(SalesData[[#This Row],[Order_Date]],"mmm")</f>
        <v>Aug</v>
      </c>
      <c r="N860">
        <f>YEAR(SalesData[[#This Row],[Order_Date]])</f>
        <v>2022</v>
      </c>
    </row>
    <row r="861" spans="1:14" x14ac:dyDescent="0.3">
      <c r="A861" t="s">
        <v>1828</v>
      </c>
      <c r="B861" s="1">
        <v>44971</v>
      </c>
      <c r="C861" t="s">
        <v>1790</v>
      </c>
      <c r="D861" t="s">
        <v>28</v>
      </c>
      <c r="E861" t="s">
        <v>13</v>
      </c>
      <c r="F861" t="s">
        <v>24</v>
      </c>
      <c r="G861" t="s">
        <v>154</v>
      </c>
      <c r="H861" s="8">
        <v>3008.88</v>
      </c>
      <c r="I861" s="8">
        <v>152.22</v>
      </c>
      <c r="J861" s="8">
        <v>0.23</v>
      </c>
      <c r="K861" t="str">
        <f>IF(SalesData[[#This Row],[Profit]]&gt;0,"Profit","Loss")</f>
        <v>Profit</v>
      </c>
      <c r="L861" s="8">
        <f>SalesData[[#This Row],[Profit]]/SalesData[[#This Row],[Sales]]</f>
        <v>5.0590252851559381E-2</v>
      </c>
      <c r="M861" t="str">
        <f>TEXT(SalesData[[#This Row],[Order_Date]],"mmm")</f>
        <v>Feb</v>
      </c>
      <c r="N861">
        <f>YEAR(SalesData[[#This Row],[Order_Date]])</f>
        <v>2023</v>
      </c>
    </row>
    <row r="862" spans="1:14" x14ac:dyDescent="0.3">
      <c r="A862" t="s">
        <v>1829</v>
      </c>
      <c r="B862" s="1">
        <v>45027</v>
      </c>
      <c r="C862" t="s">
        <v>162</v>
      </c>
      <c r="D862" t="s">
        <v>12</v>
      </c>
      <c r="E862" t="s">
        <v>13</v>
      </c>
      <c r="F862" t="s">
        <v>36</v>
      </c>
      <c r="G862" t="s">
        <v>142</v>
      </c>
      <c r="H862" s="8">
        <v>4938.8599999999997</v>
      </c>
      <c r="I862" s="8">
        <v>-1291.8800000000001</v>
      </c>
      <c r="J862" s="8">
        <v>0.15</v>
      </c>
      <c r="K862" t="str">
        <f>IF(SalesData[[#This Row],[Profit]]&gt;0,"Profit","Loss")</f>
        <v>Loss</v>
      </c>
      <c r="L862" s="8">
        <f>SalesData[[#This Row],[Profit]]/SalesData[[#This Row],[Sales]]</f>
        <v>-0.26157453339434611</v>
      </c>
      <c r="M862" t="str">
        <f>TEXT(SalesData[[#This Row],[Order_Date]],"mmm")</f>
        <v>Apr</v>
      </c>
      <c r="N862">
        <f>YEAR(SalesData[[#This Row],[Order_Date]])</f>
        <v>2023</v>
      </c>
    </row>
    <row r="863" spans="1:14" x14ac:dyDescent="0.3">
      <c r="A863" t="s">
        <v>1830</v>
      </c>
      <c r="B863" s="1">
        <v>44616</v>
      </c>
      <c r="C863" t="s">
        <v>1831</v>
      </c>
      <c r="D863" t="s">
        <v>28</v>
      </c>
      <c r="E863" t="s">
        <v>19</v>
      </c>
      <c r="F863" t="s">
        <v>29</v>
      </c>
      <c r="G863" t="s">
        <v>169</v>
      </c>
      <c r="H863" s="8">
        <v>1231.03</v>
      </c>
      <c r="I863" s="8">
        <v>-568.94000000000005</v>
      </c>
      <c r="J863" s="8">
        <v>0.28000000000000003</v>
      </c>
      <c r="K863" t="str">
        <f>IF(SalesData[[#This Row],[Profit]]&gt;0,"Profit","Loss")</f>
        <v>Loss</v>
      </c>
      <c r="L863" s="8">
        <f>SalesData[[#This Row],[Profit]]/SalesData[[#This Row],[Sales]]</f>
        <v>-0.46216582861506222</v>
      </c>
      <c r="M863" t="str">
        <f>TEXT(SalesData[[#This Row],[Order_Date]],"mmm")</f>
        <v>Feb</v>
      </c>
      <c r="N863">
        <f>YEAR(SalesData[[#This Row],[Order_Date]])</f>
        <v>2022</v>
      </c>
    </row>
    <row r="864" spans="1:14" x14ac:dyDescent="0.3">
      <c r="A864" t="s">
        <v>1832</v>
      </c>
      <c r="B864" s="1">
        <v>45198</v>
      </c>
      <c r="C864" t="s">
        <v>1127</v>
      </c>
      <c r="D864" t="s">
        <v>12</v>
      </c>
      <c r="E864" t="s">
        <v>56</v>
      </c>
      <c r="F864" t="s">
        <v>57</v>
      </c>
      <c r="G864" t="s">
        <v>500</v>
      </c>
      <c r="H864" s="8">
        <v>1974.9</v>
      </c>
      <c r="I864" s="8">
        <v>-608.98</v>
      </c>
      <c r="J864" s="8">
        <v>0.2</v>
      </c>
      <c r="K864" t="str">
        <f>IF(SalesData[[#This Row],[Profit]]&gt;0,"Profit","Loss")</f>
        <v>Loss</v>
      </c>
      <c r="L864" s="8">
        <f>SalesData[[#This Row],[Profit]]/SalesData[[#This Row],[Sales]]</f>
        <v>-0.30835991695782067</v>
      </c>
      <c r="M864" t="str">
        <f>TEXT(SalesData[[#This Row],[Order_Date]],"mmm")</f>
        <v>Sep</v>
      </c>
      <c r="N864">
        <f>YEAR(SalesData[[#This Row],[Order_Date]])</f>
        <v>2023</v>
      </c>
    </row>
    <row r="865" spans="1:14" x14ac:dyDescent="0.3">
      <c r="A865" t="s">
        <v>1833</v>
      </c>
      <c r="B865" s="1">
        <v>44768</v>
      </c>
      <c r="C865" t="s">
        <v>1834</v>
      </c>
      <c r="D865" t="s">
        <v>28</v>
      </c>
      <c r="E865" t="s">
        <v>56</v>
      </c>
      <c r="F865" t="s">
        <v>73</v>
      </c>
      <c r="G865" t="s">
        <v>1835</v>
      </c>
      <c r="H865" s="8">
        <v>3782.89</v>
      </c>
      <c r="I865" s="8">
        <v>172.65</v>
      </c>
      <c r="J865" s="8">
        <v>0.23</v>
      </c>
      <c r="K865" t="str">
        <f>IF(SalesData[[#This Row],[Profit]]&gt;0,"Profit","Loss")</f>
        <v>Profit</v>
      </c>
      <c r="L865" s="8">
        <f>SalesData[[#This Row],[Profit]]/SalesData[[#This Row],[Sales]]</f>
        <v>4.563970932276646E-2</v>
      </c>
      <c r="M865" t="str">
        <f>TEXT(SalesData[[#This Row],[Order_Date]],"mmm")</f>
        <v>Jul</v>
      </c>
      <c r="N865">
        <f>YEAR(SalesData[[#This Row],[Order_Date]])</f>
        <v>2022</v>
      </c>
    </row>
    <row r="866" spans="1:14" x14ac:dyDescent="0.3">
      <c r="A866" t="s">
        <v>1836</v>
      </c>
      <c r="B866" s="1">
        <v>44580</v>
      </c>
      <c r="C866" t="s">
        <v>478</v>
      </c>
      <c r="D866" t="s">
        <v>12</v>
      </c>
      <c r="E866" t="s">
        <v>13</v>
      </c>
      <c r="F866" t="s">
        <v>36</v>
      </c>
      <c r="G866" t="s">
        <v>444</v>
      </c>
      <c r="H866" s="8">
        <v>2757.95</v>
      </c>
      <c r="I866" s="8">
        <v>-319.05</v>
      </c>
      <c r="J866" s="8">
        <v>0.24</v>
      </c>
      <c r="K866" t="str">
        <f>IF(SalesData[[#This Row],[Profit]]&gt;0,"Profit","Loss")</f>
        <v>Loss</v>
      </c>
      <c r="L866" s="8">
        <f>SalesData[[#This Row],[Profit]]/SalesData[[#This Row],[Sales]]</f>
        <v>-0.11568375061186752</v>
      </c>
      <c r="M866" t="str">
        <f>TEXT(SalesData[[#This Row],[Order_Date]],"mmm")</f>
        <v>Jan</v>
      </c>
      <c r="N866">
        <f>YEAR(SalesData[[#This Row],[Order_Date]])</f>
        <v>2022</v>
      </c>
    </row>
    <row r="867" spans="1:14" x14ac:dyDescent="0.3">
      <c r="A867" t="s">
        <v>1837</v>
      </c>
      <c r="B867" s="1">
        <v>44598</v>
      </c>
      <c r="C867" t="s">
        <v>910</v>
      </c>
      <c r="D867" t="s">
        <v>18</v>
      </c>
      <c r="E867" t="s">
        <v>56</v>
      </c>
      <c r="F867" t="s">
        <v>95</v>
      </c>
      <c r="G867" t="s">
        <v>1466</v>
      </c>
      <c r="H867" s="8">
        <v>2305.5700000000002</v>
      </c>
      <c r="I867" s="8">
        <v>-448.36</v>
      </c>
      <c r="J867" s="8">
        <v>0.26</v>
      </c>
      <c r="K867" t="str">
        <f>IF(SalesData[[#This Row],[Profit]]&gt;0,"Profit","Loss")</f>
        <v>Loss</v>
      </c>
      <c r="L867" s="8">
        <f>SalesData[[#This Row],[Profit]]/SalesData[[#This Row],[Sales]]</f>
        <v>-0.19446817923550358</v>
      </c>
      <c r="M867" t="str">
        <f>TEXT(SalesData[[#This Row],[Order_Date]],"mmm")</f>
        <v>Feb</v>
      </c>
      <c r="N867">
        <f>YEAR(SalesData[[#This Row],[Order_Date]])</f>
        <v>2022</v>
      </c>
    </row>
    <row r="868" spans="1:14" x14ac:dyDescent="0.3">
      <c r="A868" t="s">
        <v>1838</v>
      </c>
      <c r="B868" s="1">
        <v>44881</v>
      </c>
      <c r="C868" t="s">
        <v>1839</v>
      </c>
      <c r="D868" t="s">
        <v>28</v>
      </c>
      <c r="E868" t="s">
        <v>13</v>
      </c>
      <c r="F868" t="s">
        <v>36</v>
      </c>
      <c r="G868" t="s">
        <v>222</v>
      </c>
      <c r="H868" s="8">
        <v>4435.03</v>
      </c>
      <c r="I868" s="8">
        <v>37.29</v>
      </c>
      <c r="J868" s="8">
        <v>0.05</v>
      </c>
      <c r="K868" t="str">
        <f>IF(SalesData[[#This Row],[Profit]]&gt;0,"Profit","Loss")</f>
        <v>Profit</v>
      </c>
      <c r="L868" s="8">
        <f>SalesData[[#This Row],[Profit]]/SalesData[[#This Row],[Sales]]</f>
        <v>8.4080603738869858E-3</v>
      </c>
      <c r="M868" t="str">
        <f>TEXT(SalesData[[#This Row],[Order_Date]],"mmm")</f>
        <v>Nov</v>
      </c>
      <c r="N868">
        <f>YEAR(SalesData[[#This Row],[Order_Date]])</f>
        <v>2022</v>
      </c>
    </row>
    <row r="869" spans="1:14" x14ac:dyDescent="0.3">
      <c r="A869" t="s">
        <v>1840</v>
      </c>
      <c r="B869" s="1">
        <v>45147</v>
      </c>
      <c r="C869" t="s">
        <v>316</v>
      </c>
      <c r="D869" t="s">
        <v>28</v>
      </c>
      <c r="E869" t="s">
        <v>56</v>
      </c>
      <c r="F869" t="s">
        <v>73</v>
      </c>
      <c r="G869" t="s">
        <v>1741</v>
      </c>
      <c r="H869" s="8">
        <v>3407.62</v>
      </c>
      <c r="I869" s="8">
        <v>38.25</v>
      </c>
      <c r="J869" s="8">
        <v>0.2</v>
      </c>
      <c r="K869" t="str">
        <f>IF(SalesData[[#This Row],[Profit]]&gt;0,"Profit","Loss")</f>
        <v>Profit</v>
      </c>
      <c r="L869" s="8">
        <f>SalesData[[#This Row],[Profit]]/SalesData[[#This Row],[Sales]]</f>
        <v>1.1224843145655913E-2</v>
      </c>
      <c r="M869" t="str">
        <f>TEXT(SalesData[[#This Row],[Order_Date]],"mmm")</f>
        <v>Aug</v>
      </c>
      <c r="N869">
        <f>YEAR(SalesData[[#This Row],[Order_Date]])</f>
        <v>2023</v>
      </c>
    </row>
    <row r="870" spans="1:14" x14ac:dyDescent="0.3">
      <c r="A870" t="s">
        <v>1841</v>
      </c>
      <c r="B870" s="1">
        <v>44948</v>
      </c>
      <c r="C870" t="s">
        <v>1842</v>
      </c>
      <c r="D870" t="s">
        <v>40</v>
      </c>
      <c r="E870" t="s">
        <v>56</v>
      </c>
      <c r="F870" t="s">
        <v>73</v>
      </c>
      <c r="G870" t="s">
        <v>1459</v>
      </c>
      <c r="H870" s="8">
        <v>373.11</v>
      </c>
      <c r="I870" s="8">
        <v>27.84</v>
      </c>
      <c r="J870" s="8">
        <v>0.08</v>
      </c>
      <c r="K870" t="str">
        <f>IF(SalesData[[#This Row],[Profit]]&gt;0,"Profit","Loss")</f>
        <v>Profit</v>
      </c>
      <c r="L870" s="8">
        <f>SalesData[[#This Row],[Profit]]/SalesData[[#This Row],[Sales]]</f>
        <v>7.4616064967435877E-2</v>
      </c>
      <c r="M870" t="str">
        <f>TEXT(SalesData[[#This Row],[Order_Date]],"mmm")</f>
        <v>Jan</v>
      </c>
      <c r="N870">
        <f>YEAR(SalesData[[#This Row],[Order_Date]])</f>
        <v>2023</v>
      </c>
    </row>
    <row r="871" spans="1:14" x14ac:dyDescent="0.3">
      <c r="A871" t="s">
        <v>1843</v>
      </c>
      <c r="B871" s="1">
        <v>44937</v>
      </c>
      <c r="C871" t="s">
        <v>1844</v>
      </c>
      <c r="D871" t="s">
        <v>12</v>
      </c>
      <c r="E871" t="s">
        <v>19</v>
      </c>
      <c r="F871" t="s">
        <v>29</v>
      </c>
      <c r="G871" t="s">
        <v>312</v>
      </c>
      <c r="H871" s="8">
        <v>400.98</v>
      </c>
      <c r="I871" s="8">
        <v>-121.53</v>
      </c>
      <c r="J871" s="8">
        <v>0.18</v>
      </c>
      <c r="K871" t="str">
        <f>IF(SalesData[[#This Row],[Profit]]&gt;0,"Profit","Loss")</f>
        <v>Loss</v>
      </c>
      <c r="L871" s="8">
        <f>SalesData[[#This Row],[Profit]]/SalesData[[#This Row],[Sales]]</f>
        <v>-0.30308244800239414</v>
      </c>
      <c r="M871" t="str">
        <f>TEXT(SalesData[[#This Row],[Order_Date]],"mmm")</f>
        <v>Jan</v>
      </c>
      <c r="N871">
        <f>YEAR(SalesData[[#This Row],[Order_Date]])</f>
        <v>2023</v>
      </c>
    </row>
    <row r="872" spans="1:14" x14ac:dyDescent="0.3">
      <c r="A872" t="s">
        <v>1845</v>
      </c>
      <c r="B872" s="1">
        <v>44983</v>
      </c>
      <c r="C872" t="s">
        <v>168</v>
      </c>
      <c r="D872" t="s">
        <v>12</v>
      </c>
      <c r="E872" t="s">
        <v>13</v>
      </c>
      <c r="F872" t="s">
        <v>36</v>
      </c>
      <c r="G872" t="s">
        <v>248</v>
      </c>
      <c r="H872" s="8">
        <v>1964.81</v>
      </c>
      <c r="I872" s="8">
        <v>521</v>
      </c>
      <c r="J872" s="8">
        <v>0.13</v>
      </c>
      <c r="K872" t="str">
        <f>IF(SalesData[[#This Row],[Profit]]&gt;0,"Profit","Loss")</f>
        <v>Profit</v>
      </c>
      <c r="L872" s="8">
        <f>SalesData[[#This Row],[Profit]]/SalesData[[#This Row],[Sales]]</f>
        <v>0.26516558853018868</v>
      </c>
      <c r="M872" t="str">
        <f>TEXT(SalesData[[#This Row],[Order_Date]],"mmm")</f>
        <v>Feb</v>
      </c>
      <c r="N872">
        <f>YEAR(SalesData[[#This Row],[Order_Date]])</f>
        <v>2023</v>
      </c>
    </row>
    <row r="873" spans="1:14" x14ac:dyDescent="0.3">
      <c r="A873" t="s">
        <v>1846</v>
      </c>
      <c r="B873" s="1">
        <v>45266</v>
      </c>
      <c r="C873" t="s">
        <v>49</v>
      </c>
      <c r="D873" t="s">
        <v>40</v>
      </c>
      <c r="E873" t="s">
        <v>56</v>
      </c>
      <c r="F873" t="s">
        <v>57</v>
      </c>
      <c r="G873" t="s">
        <v>457</v>
      </c>
      <c r="H873" s="8">
        <v>1249.6500000000001</v>
      </c>
      <c r="I873" s="8">
        <v>-298.70999999999998</v>
      </c>
      <c r="J873" s="8">
        <v>0.09</v>
      </c>
      <c r="K873" t="str">
        <f>IF(SalesData[[#This Row],[Profit]]&gt;0,"Profit","Loss")</f>
        <v>Loss</v>
      </c>
      <c r="L873" s="8">
        <f>SalesData[[#This Row],[Profit]]/SalesData[[#This Row],[Sales]]</f>
        <v>-0.23903492978033847</v>
      </c>
      <c r="M873" t="str">
        <f>TEXT(SalesData[[#This Row],[Order_Date]],"mmm")</f>
        <v>Dec</v>
      </c>
      <c r="N873">
        <f>YEAR(SalesData[[#This Row],[Order_Date]])</f>
        <v>2023</v>
      </c>
    </row>
    <row r="874" spans="1:14" x14ac:dyDescent="0.3">
      <c r="A874" t="s">
        <v>1847</v>
      </c>
      <c r="B874" s="1">
        <v>44994</v>
      </c>
      <c r="C874" t="s">
        <v>1848</v>
      </c>
      <c r="D874" t="s">
        <v>28</v>
      </c>
      <c r="E874" t="s">
        <v>19</v>
      </c>
      <c r="F874" t="s">
        <v>20</v>
      </c>
      <c r="G874" t="s">
        <v>1849</v>
      </c>
      <c r="H874" s="8">
        <v>196.59</v>
      </c>
      <c r="I874" s="8">
        <v>-4.6100000000000003</v>
      </c>
      <c r="J874" s="8">
        <v>0.1</v>
      </c>
      <c r="K874" t="str">
        <f>IF(SalesData[[#This Row],[Profit]]&gt;0,"Profit","Loss")</f>
        <v>Loss</v>
      </c>
      <c r="L874" s="8">
        <f>SalesData[[#This Row],[Profit]]/SalesData[[#This Row],[Sales]]</f>
        <v>-2.3449819421130273E-2</v>
      </c>
      <c r="M874" t="str">
        <f>TEXT(SalesData[[#This Row],[Order_Date]],"mmm")</f>
        <v>Mar</v>
      </c>
      <c r="N874">
        <f>YEAR(SalesData[[#This Row],[Order_Date]])</f>
        <v>2023</v>
      </c>
    </row>
    <row r="875" spans="1:14" x14ac:dyDescent="0.3">
      <c r="A875" t="s">
        <v>1850</v>
      </c>
      <c r="B875" s="1">
        <v>45146</v>
      </c>
      <c r="C875" t="s">
        <v>1851</v>
      </c>
      <c r="D875" t="s">
        <v>40</v>
      </c>
      <c r="E875" t="s">
        <v>56</v>
      </c>
      <c r="F875" t="s">
        <v>73</v>
      </c>
      <c r="G875" t="s">
        <v>279</v>
      </c>
      <c r="H875" s="8">
        <v>2401.5300000000002</v>
      </c>
      <c r="I875" s="8">
        <v>-48.25</v>
      </c>
      <c r="J875" s="8">
        <v>0.01</v>
      </c>
      <c r="K875" t="str">
        <f>IF(SalesData[[#This Row],[Profit]]&gt;0,"Profit","Loss")</f>
        <v>Loss</v>
      </c>
      <c r="L875" s="8">
        <f>SalesData[[#This Row],[Profit]]/SalesData[[#This Row],[Sales]]</f>
        <v>-2.0091358425670301E-2</v>
      </c>
      <c r="M875" t="str">
        <f>TEXT(SalesData[[#This Row],[Order_Date]],"mmm")</f>
        <v>Aug</v>
      </c>
      <c r="N875">
        <f>YEAR(SalesData[[#This Row],[Order_Date]])</f>
        <v>2023</v>
      </c>
    </row>
    <row r="876" spans="1:14" x14ac:dyDescent="0.3">
      <c r="A876" t="s">
        <v>1852</v>
      </c>
      <c r="B876" s="1">
        <v>45076</v>
      </c>
      <c r="C876" t="s">
        <v>1266</v>
      </c>
      <c r="D876" t="s">
        <v>40</v>
      </c>
      <c r="E876" t="s">
        <v>56</v>
      </c>
      <c r="F876" t="s">
        <v>95</v>
      </c>
      <c r="G876" t="s">
        <v>1317</v>
      </c>
      <c r="H876" s="8">
        <v>590.28</v>
      </c>
      <c r="I876" s="8">
        <v>-117.12</v>
      </c>
      <c r="J876" s="8">
        <v>0.2</v>
      </c>
      <c r="K876" t="str">
        <f>IF(SalesData[[#This Row],[Profit]]&gt;0,"Profit","Loss")</f>
        <v>Loss</v>
      </c>
      <c r="L876" s="8">
        <f>SalesData[[#This Row],[Profit]]/SalesData[[#This Row],[Sales]]</f>
        <v>-0.19841431185200245</v>
      </c>
      <c r="M876" t="str">
        <f>TEXT(SalesData[[#This Row],[Order_Date]],"mmm")</f>
        <v>May</v>
      </c>
      <c r="N876">
        <f>YEAR(SalesData[[#This Row],[Order_Date]])</f>
        <v>2023</v>
      </c>
    </row>
    <row r="877" spans="1:14" x14ac:dyDescent="0.3">
      <c r="A877" t="s">
        <v>1853</v>
      </c>
      <c r="B877" s="1">
        <v>44639</v>
      </c>
      <c r="C877" t="s">
        <v>1854</v>
      </c>
      <c r="D877" t="s">
        <v>18</v>
      </c>
      <c r="E877" t="s">
        <v>13</v>
      </c>
      <c r="F877" t="s">
        <v>36</v>
      </c>
      <c r="G877" t="s">
        <v>686</v>
      </c>
      <c r="H877" s="8">
        <v>1880.34</v>
      </c>
      <c r="I877" s="8">
        <v>-59.85</v>
      </c>
      <c r="J877" s="8">
        <v>0.13</v>
      </c>
      <c r="K877" t="str">
        <f>IF(SalesData[[#This Row],[Profit]]&gt;0,"Profit","Loss")</f>
        <v>Loss</v>
      </c>
      <c r="L877" s="8">
        <f>SalesData[[#This Row],[Profit]]/SalesData[[#This Row],[Sales]]</f>
        <v>-3.1829350011168198E-2</v>
      </c>
      <c r="M877" t="str">
        <f>TEXT(SalesData[[#This Row],[Order_Date]],"mmm")</f>
        <v>Mar</v>
      </c>
      <c r="N877">
        <f>YEAR(SalesData[[#This Row],[Order_Date]])</f>
        <v>2022</v>
      </c>
    </row>
    <row r="878" spans="1:14" x14ac:dyDescent="0.3">
      <c r="A878" t="s">
        <v>1855</v>
      </c>
      <c r="B878" s="1">
        <v>45201</v>
      </c>
      <c r="C878" t="s">
        <v>137</v>
      </c>
      <c r="D878" t="s">
        <v>12</v>
      </c>
      <c r="E878" t="s">
        <v>19</v>
      </c>
      <c r="F878" t="s">
        <v>20</v>
      </c>
      <c r="G878" t="s">
        <v>694</v>
      </c>
      <c r="H878" s="8">
        <v>1556.87</v>
      </c>
      <c r="I878" s="8">
        <v>175.56</v>
      </c>
      <c r="J878" s="8">
        <v>0.17</v>
      </c>
      <c r="K878" t="str">
        <f>IF(SalesData[[#This Row],[Profit]]&gt;0,"Profit","Loss")</f>
        <v>Profit</v>
      </c>
      <c r="L878" s="8">
        <f>SalesData[[#This Row],[Profit]]/SalesData[[#This Row],[Sales]]</f>
        <v>0.11276471381682479</v>
      </c>
      <c r="M878" t="str">
        <f>TEXT(SalesData[[#This Row],[Order_Date]],"mmm")</f>
        <v>Oct</v>
      </c>
      <c r="N878">
        <f>YEAR(SalesData[[#This Row],[Order_Date]])</f>
        <v>2023</v>
      </c>
    </row>
    <row r="879" spans="1:14" x14ac:dyDescent="0.3">
      <c r="A879" t="s">
        <v>1856</v>
      </c>
      <c r="B879" s="1">
        <v>45105</v>
      </c>
      <c r="C879" t="s">
        <v>1776</v>
      </c>
      <c r="D879" t="s">
        <v>28</v>
      </c>
      <c r="E879" t="s">
        <v>13</v>
      </c>
      <c r="F879" t="s">
        <v>14</v>
      </c>
      <c r="G879" t="s">
        <v>1857</v>
      </c>
      <c r="H879" s="8">
        <v>3000.14</v>
      </c>
      <c r="I879" s="8">
        <v>179.58</v>
      </c>
      <c r="J879" s="8">
        <v>0.08</v>
      </c>
      <c r="K879" t="str">
        <f>IF(SalesData[[#This Row],[Profit]]&gt;0,"Profit","Loss")</f>
        <v>Profit</v>
      </c>
      <c r="L879" s="8">
        <f>SalesData[[#This Row],[Profit]]/SalesData[[#This Row],[Sales]]</f>
        <v>5.9857206663689037E-2</v>
      </c>
      <c r="M879" t="str">
        <f>TEXT(SalesData[[#This Row],[Order_Date]],"mmm")</f>
        <v>Jun</v>
      </c>
      <c r="N879">
        <f>YEAR(SalesData[[#This Row],[Order_Date]])</f>
        <v>2023</v>
      </c>
    </row>
    <row r="880" spans="1:14" x14ac:dyDescent="0.3">
      <c r="A880" t="s">
        <v>1858</v>
      </c>
      <c r="B880" s="1">
        <v>45005</v>
      </c>
      <c r="C880" t="s">
        <v>1186</v>
      </c>
      <c r="D880" t="s">
        <v>40</v>
      </c>
      <c r="E880" t="s">
        <v>19</v>
      </c>
      <c r="F880" t="s">
        <v>20</v>
      </c>
      <c r="G880" t="s">
        <v>991</v>
      </c>
      <c r="H880" s="8">
        <v>3292.53</v>
      </c>
      <c r="I880" s="8">
        <v>633.73</v>
      </c>
      <c r="J880" s="8">
        <v>0.09</v>
      </c>
      <c r="K880" t="str">
        <f>IF(SalesData[[#This Row],[Profit]]&gt;0,"Profit","Loss")</f>
        <v>Profit</v>
      </c>
      <c r="L880" s="8">
        <f>SalesData[[#This Row],[Profit]]/SalesData[[#This Row],[Sales]]</f>
        <v>0.19247508754665865</v>
      </c>
      <c r="M880" t="str">
        <f>TEXT(SalesData[[#This Row],[Order_Date]],"mmm")</f>
        <v>Mar</v>
      </c>
      <c r="N880">
        <f>YEAR(SalesData[[#This Row],[Order_Date]])</f>
        <v>2023</v>
      </c>
    </row>
    <row r="881" spans="1:14" x14ac:dyDescent="0.3">
      <c r="A881" t="s">
        <v>1859</v>
      </c>
      <c r="B881" s="1">
        <v>45122</v>
      </c>
      <c r="C881" t="s">
        <v>1860</v>
      </c>
      <c r="D881" t="s">
        <v>12</v>
      </c>
      <c r="E881" t="s">
        <v>19</v>
      </c>
      <c r="F881" t="s">
        <v>29</v>
      </c>
      <c r="G881" t="s">
        <v>389</v>
      </c>
      <c r="H881" s="8">
        <v>1331.2</v>
      </c>
      <c r="I881" s="8">
        <v>70.47</v>
      </c>
      <c r="J881" s="8">
        <v>0.15</v>
      </c>
      <c r="K881" t="str">
        <f>IF(SalesData[[#This Row],[Profit]]&gt;0,"Profit","Loss")</f>
        <v>Profit</v>
      </c>
      <c r="L881" s="8">
        <f>SalesData[[#This Row],[Profit]]/SalesData[[#This Row],[Sales]]</f>
        <v>5.2937199519230767E-2</v>
      </c>
      <c r="M881" t="str">
        <f>TEXT(SalesData[[#This Row],[Order_Date]],"mmm")</f>
        <v>Jul</v>
      </c>
      <c r="N881">
        <f>YEAR(SalesData[[#This Row],[Order_Date]])</f>
        <v>2023</v>
      </c>
    </row>
    <row r="882" spans="1:14" x14ac:dyDescent="0.3">
      <c r="A882" t="s">
        <v>1861</v>
      </c>
      <c r="B882" s="1">
        <v>45040</v>
      </c>
      <c r="C882" t="s">
        <v>1862</v>
      </c>
      <c r="D882" t="s">
        <v>28</v>
      </c>
      <c r="E882" t="s">
        <v>13</v>
      </c>
      <c r="F882" t="s">
        <v>24</v>
      </c>
      <c r="G882" t="s">
        <v>700</v>
      </c>
      <c r="H882" s="8">
        <v>4327.28</v>
      </c>
      <c r="I882" s="8">
        <v>-1048.19</v>
      </c>
      <c r="J882" s="8">
        <v>0.17</v>
      </c>
      <c r="K882" t="str">
        <f>IF(SalesData[[#This Row],[Profit]]&gt;0,"Profit","Loss")</f>
        <v>Loss</v>
      </c>
      <c r="L882" s="8">
        <f>SalesData[[#This Row],[Profit]]/SalesData[[#This Row],[Sales]]</f>
        <v>-0.24222837440609346</v>
      </c>
      <c r="M882" t="str">
        <f>TEXT(SalesData[[#This Row],[Order_Date]],"mmm")</f>
        <v>Apr</v>
      </c>
      <c r="N882">
        <f>YEAR(SalesData[[#This Row],[Order_Date]])</f>
        <v>2023</v>
      </c>
    </row>
    <row r="883" spans="1:14" x14ac:dyDescent="0.3">
      <c r="A883" t="s">
        <v>1863</v>
      </c>
      <c r="B883" s="1">
        <v>44713</v>
      </c>
      <c r="C883" t="s">
        <v>567</v>
      </c>
      <c r="D883" t="s">
        <v>18</v>
      </c>
      <c r="E883" t="s">
        <v>13</v>
      </c>
      <c r="F883" t="s">
        <v>24</v>
      </c>
      <c r="G883" t="s">
        <v>465</v>
      </c>
      <c r="H883" s="8">
        <v>3171.12</v>
      </c>
      <c r="I883" s="8">
        <v>-448.51</v>
      </c>
      <c r="J883" s="8">
        <v>0.16</v>
      </c>
      <c r="K883" t="str">
        <f>IF(SalesData[[#This Row],[Profit]]&gt;0,"Profit","Loss")</f>
        <v>Loss</v>
      </c>
      <c r="L883" s="8">
        <f>SalesData[[#This Row],[Profit]]/SalesData[[#This Row],[Sales]]</f>
        <v>-0.14143583339640253</v>
      </c>
      <c r="M883" t="str">
        <f>TEXT(SalesData[[#This Row],[Order_Date]],"mmm")</f>
        <v>Jun</v>
      </c>
      <c r="N883">
        <f>YEAR(SalesData[[#This Row],[Order_Date]])</f>
        <v>2022</v>
      </c>
    </row>
    <row r="884" spans="1:14" x14ac:dyDescent="0.3">
      <c r="A884" t="s">
        <v>1864</v>
      </c>
      <c r="B884" s="1">
        <v>44627</v>
      </c>
      <c r="C884" t="s">
        <v>1865</v>
      </c>
      <c r="D884" t="s">
        <v>18</v>
      </c>
      <c r="E884" t="s">
        <v>13</v>
      </c>
      <c r="F884" t="s">
        <v>36</v>
      </c>
      <c r="G884" t="s">
        <v>649</v>
      </c>
      <c r="H884" s="8">
        <v>4236.2</v>
      </c>
      <c r="I884" s="8">
        <v>830.77</v>
      </c>
      <c r="J884" s="8">
        <v>0.12</v>
      </c>
      <c r="K884" t="str">
        <f>IF(SalesData[[#This Row],[Profit]]&gt;0,"Profit","Loss")</f>
        <v>Profit</v>
      </c>
      <c r="L884" s="8">
        <f>SalesData[[#This Row],[Profit]]/SalesData[[#This Row],[Sales]]</f>
        <v>0.19611208158255039</v>
      </c>
      <c r="M884" t="str">
        <f>TEXT(SalesData[[#This Row],[Order_Date]],"mmm")</f>
        <v>Mar</v>
      </c>
      <c r="N884">
        <f>YEAR(SalesData[[#This Row],[Order_Date]])</f>
        <v>2022</v>
      </c>
    </row>
    <row r="885" spans="1:14" x14ac:dyDescent="0.3">
      <c r="A885" t="s">
        <v>1866</v>
      </c>
      <c r="B885" s="1">
        <v>45177</v>
      </c>
      <c r="C885" t="s">
        <v>1867</v>
      </c>
      <c r="D885" t="s">
        <v>28</v>
      </c>
      <c r="E885" t="s">
        <v>19</v>
      </c>
      <c r="F885" t="s">
        <v>29</v>
      </c>
      <c r="G885" t="s">
        <v>1709</v>
      </c>
      <c r="H885" s="8">
        <v>4136.18</v>
      </c>
      <c r="I885" s="8">
        <v>-976.68</v>
      </c>
      <c r="J885" s="8">
        <v>0.19</v>
      </c>
      <c r="K885" t="str">
        <f>IF(SalesData[[#This Row],[Profit]]&gt;0,"Profit","Loss")</f>
        <v>Loss</v>
      </c>
      <c r="L885" s="8">
        <f>SalesData[[#This Row],[Profit]]/SalesData[[#This Row],[Sales]]</f>
        <v>-0.23613092273547087</v>
      </c>
      <c r="M885" t="str">
        <f>TEXT(SalesData[[#This Row],[Order_Date]],"mmm")</f>
        <v>Sep</v>
      </c>
      <c r="N885">
        <f>YEAR(SalesData[[#This Row],[Order_Date]])</f>
        <v>2023</v>
      </c>
    </row>
    <row r="886" spans="1:14" x14ac:dyDescent="0.3">
      <c r="A886" t="s">
        <v>1868</v>
      </c>
      <c r="B886" s="1">
        <v>45037</v>
      </c>
      <c r="C886" t="s">
        <v>1102</v>
      </c>
      <c r="D886" t="s">
        <v>28</v>
      </c>
      <c r="E886" t="s">
        <v>56</v>
      </c>
      <c r="F886" t="s">
        <v>57</v>
      </c>
      <c r="G886" t="s">
        <v>1091</v>
      </c>
      <c r="H886" s="8">
        <v>1040.3900000000001</v>
      </c>
      <c r="I886" s="8">
        <v>235.48</v>
      </c>
      <c r="J886" s="8">
        <v>7.0000000000000007E-2</v>
      </c>
      <c r="K886" t="str">
        <f>IF(SalesData[[#This Row],[Profit]]&gt;0,"Profit","Loss")</f>
        <v>Profit</v>
      </c>
      <c r="L886" s="8">
        <f>SalesData[[#This Row],[Profit]]/SalesData[[#This Row],[Sales]]</f>
        <v>0.22633820009804012</v>
      </c>
      <c r="M886" t="str">
        <f>TEXT(SalesData[[#This Row],[Order_Date]],"mmm")</f>
        <v>Apr</v>
      </c>
      <c r="N886">
        <f>YEAR(SalesData[[#This Row],[Order_Date]])</f>
        <v>2023</v>
      </c>
    </row>
    <row r="887" spans="1:14" x14ac:dyDescent="0.3">
      <c r="A887" t="s">
        <v>1869</v>
      </c>
      <c r="B887" s="1">
        <v>44846</v>
      </c>
      <c r="C887" t="s">
        <v>189</v>
      </c>
      <c r="D887" t="s">
        <v>18</v>
      </c>
      <c r="E887" t="s">
        <v>13</v>
      </c>
      <c r="F887" t="s">
        <v>14</v>
      </c>
      <c r="G887" t="s">
        <v>1870</v>
      </c>
      <c r="H887" s="8">
        <v>1089.75</v>
      </c>
      <c r="I887" s="8">
        <v>-286.08</v>
      </c>
      <c r="J887" s="8">
        <v>0.08</v>
      </c>
      <c r="K887" t="str">
        <f>IF(SalesData[[#This Row],[Profit]]&gt;0,"Profit","Loss")</f>
        <v>Loss</v>
      </c>
      <c r="L887" s="8">
        <f>SalesData[[#This Row],[Profit]]/SalesData[[#This Row],[Sales]]</f>
        <v>-0.26251892635925672</v>
      </c>
      <c r="M887" t="str">
        <f>TEXT(SalesData[[#This Row],[Order_Date]],"mmm")</f>
        <v>Oct</v>
      </c>
      <c r="N887">
        <f>YEAR(SalesData[[#This Row],[Order_Date]])</f>
        <v>2022</v>
      </c>
    </row>
    <row r="888" spans="1:14" x14ac:dyDescent="0.3">
      <c r="A888" t="s">
        <v>1871</v>
      </c>
      <c r="B888" s="1">
        <v>44647</v>
      </c>
      <c r="C888" t="s">
        <v>1194</v>
      </c>
      <c r="D888" t="s">
        <v>40</v>
      </c>
      <c r="E888" t="s">
        <v>56</v>
      </c>
      <c r="F888" t="s">
        <v>73</v>
      </c>
      <c r="G888" t="s">
        <v>578</v>
      </c>
      <c r="H888" s="8">
        <v>2480.63</v>
      </c>
      <c r="I888" s="8">
        <v>758.45</v>
      </c>
      <c r="J888" s="8">
        <v>0.01</v>
      </c>
      <c r="K888" t="str">
        <f>IF(SalesData[[#This Row],[Profit]]&gt;0,"Profit","Loss")</f>
        <v>Profit</v>
      </c>
      <c r="L888" s="8">
        <f>SalesData[[#This Row],[Profit]]/SalesData[[#This Row],[Sales]]</f>
        <v>0.30574894280888321</v>
      </c>
      <c r="M888" t="str">
        <f>TEXT(SalesData[[#This Row],[Order_Date]],"mmm")</f>
        <v>Mar</v>
      </c>
      <c r="N888">
        <f>YEAR(SalesData[[#This Row],[Order_Date]])</f>
        <v>2022</v>
      </c>
    </row>
    <row r="889" spans="1:14" x14ac:dyDescent="0.3">
      <c r="A889" t="s">
        <v>1872</v>
      </c>
      <c r="B889" s="1">
        <v>44968</v>
      </c>
      <c r="C889" t="s">
        <v>400</v>
      </c>
      <c r="D889" t="s">
        <v>18</v>
      </c>
      <c r="E889" t="s">
        <v>56</v>
      </c>
      <c r="F889" t="s">
        <v>95</v>
      </c>
      <c r="G889" t="s">
        <v>548</v>
      </c>
      <c r="H889" s="8">
        <v>4494.1899999999996</v>
      </c>
      <c r="I889" s="8">
        <v>590.67999999999995</v>
      </c>
      <c r="J889" s="8">
        <v>0.2</v>
      </c>
      <c r="K889" t="str">
        <f>IF(SalesData[[#This Row],[Profit]]&gt;0,"Profit","Loss")</f>
        <v>Profit</v>
      </c>
      <c r="L889" s="8">
        <f>SalesData[[#This Row],[Profit]]/SalesData[[#This Row],[Sales]]</f>
        <v>0.13143191542858668</v>
      </c>
      <c r="M889" t="str">
        <f>TEXT(SalesData[[#This Row],[Order_Date]],"mmm")</f>
        <v>Feb</v>
      </c>
      <c r="N889">
        <f>YEAR(SalesData[[#This Row],[Order_Date]])</f>
        <v>2023</v>
      </c>
    </row>
    <row r="890" spans="1:14" x14ac:dyDescent="0.3">
      <c r="A890" t="s">
        <v>1873</v>
      </c>
      <c r="B890" s="1">
        <v>45156</v>
      </c>
      <c r="C890" t="s">
        <v>1874</v>
      </c>
      <c r="D890" t="s">
        <v>40</v>
      </c>
      <c r="E890" t="s">
        <v>56</v>
      </c>
      <c r="F890" t="s">
        <v>73</v>
      </c>
      <c r="G890" t="s">
        <v>1875</v>
      </c>
      <c r="H890" s="8">
        <v>3698.95</v>
      </c>
      <c r="I890" s="8">
        <v>-617.08000000000004</v>
      </c>
      <c r="J890" s="8">
        <v>0.28000000000000003</v>
      </c>
      <c r="K890" t="str">
        <f>IF(SalesData[[#This Row],[Profit]]&gt;0,"Profit","Loss")</f>
        <v>Loss</v>
      </c>
      <c r="L890" s="8">
        <f>SalesData[[#This Row],[Profit]]/SalesData[[#This Row],[Sales]]</f>
        <v>-0.16682572081266306</v>
      </c>
      <c r="M890" t="str">
        <f>TEXT(SalesData[[#This Row],[Order_Date]],"mmm")</f>
        <v>Aug</v>
      </c>
      <c r="N890">
        <f>YEAR(SalesData[[#This Row],[Order_Date]])</f>
        <v>2023</v>
      </c>
    </row>
    <row r="891" spans="1:14" x14ac:dyDescent="0.3">
      <c r="A891" t="s">
        <v>1876</v>
      </c>
      <c r="B891" s="1">
        <v>45160</v>
      </c>
      <c r="C891" t="s">
        <v>1354</v>
      </c>
      <c r="D891" t="s">
        <v>28</v>
      </c>
      <c r="E891" t="s">
        <v>56</v>
      </c>
      <c r="F891" t="s">
        <v>57</v>
      </c>
      <c r="G891" t="s">
        <v>1877</v>
      </c>
      <c r="H891" s="8">
        <v>3039.12</v>
      </c>
      <c r="I891" s="8">
        <v>-735.33</v>
      </c>
      <c r="J891" s="8">
        <v>0.23</v>
      </c>
      <c r="K891" t="str">
        <f>IF(SalesData[[#This Row],[Profit]]&gt;0,"Profit","Loss")</f>
        <v>Loss</v>
      </c>
      <c r="L891" s="8">
        <f>SalesData[[#This Row],[Profit]]/SalesData[[#This Row],[Sales]]</f>
        <v>-0.24195490799968414</v>
      </c>
      <c r="M891" t="str">
        <f>TEXT(SalesData[[#This Row],[Order_Date]],"mmm")</f>
        <v>Aug</v>
      </c>
      <c r="N891">
        <f>YEAR(SalesData[[#This Row],[Order_Date]])</f>
        <v>2023</v>
      </c>
    </row>
    <row r="892" spans="1:14" x14ac:dyDescent="0.3">
      <c r="A892" t="s">
        <v>1878</v>
      </c>
      <c r="B892" s="1">
        <v>44741</v>
      </c>
      <c r="C892" t="s">
        <v>688</v>
      </c>
      <c r="D892" t="s">
        <v>40</v>
      </c>
      <c r="E892" t="s">
        <v>13</v>
      </c>
      <c r="F892" t="s">
        <v>24</v>
      </c>
      <c r="G892" t="s">
        <v>504</v>
      </c>
      <c r="H892" s="8">
        <v>1256.0999999999999</v>
      </c>
      <c r="I892" s="8">
        <v>-305.77999999999997</v>
      </c>
      <c r="J892" s="8">
        <v>0.13</v>
      </c>
      <c r="K892" t="str">
        <f>IF(SalesData[[#This Row],[Profit]]&gt;0,"Profit","Loss")</f>
        <v>Loss</v>
      </c>
      <c r="L892" s="8">
        <f>SalesData[[#This Row],[Profit]]/SalesData[[#This Row],[Sales]]</f>
        <v>-0.24343603216304435</v>
      </c>
      <c r="M892" t="str">
        <f>TEXT(SalesData[[#This Row],[Order_Date]],"mmm")</f>
        <v>Jun</v>
      </c>
      <c r="N892">
        <f>YEAR(SalesData[[#This Row],[Order_Date]])</f>
        <v>2022</v>
      </c>
    </row>
    <row r="893" spans="1:14" x14ac:dyDescent="0.3">
      <c r="A893" t="s">
        <v>1879</v>
      </c>
      <c r="B893" s="1">
        <v>45278</v>
      </c>
      <c r="C893" t="s">
        <v>1503</v>
      </c>
      <c r="D893" t="s">
        <v>40</v>
      </c>
      <c r="E893" t="s">
        <v>19</v>
      </c>
      <c r="F893" t="s">
        <v>29</v>
      </c>
      <c r="G893" t="s">
        <v>908</v>
      </c>
      <c r="H893" s="8">
        <v>4328.21</v>
      </c>
      <c r="I893" s="8">
        <v>433.18</v>
      </c>
      <c r="J893" s="8">
        <v>0.02</v>
      </c>
      <c r="K893" t="str">
        <f>IF(SalesData[[#This Row],[Profit]]&gt;0,"Profit","Loss")</f>
        <v>Profit</v>
      </c>
      <c r="L893" s="8">
        <f>SalesData[[#This Row],[Profit]]/SalesData[[#This Row],[Sales]]</f>
        <v>0.10008294421943482</v>
      </c>
      <c r="M893" t="str">
        <f>TEXT(SalesData[[#This Row],[Order_Date]],"mmm")</f>
        <v>Dec</v>
      </c>
      <c r="N893">
        <f>YEAR(SalesData[[#This Row],[Order_Date]])</f>
        <v>2023</v>
      </c>
    </row>
    <row r="894" spans="1:14" x14ac:dyDescent="0.3">
      <c r="A894" t="s">
        <v>1880</v>
      </c>
      <c r="B894" s="1">
        <v>44710</v>
      </c>
      <c r="C894" t="s">
        <v>419</v>
      </c>
      <c r="D894" t="s">
        <v>28</v>
      </c>
      <c r="E894" t="s">
        <v>19</v>
      </c>
      <c r="F894" t="s">
        <v>29</v>
      </c>
      <c r="G894" t="s">
        <v>21</v>
      </c>
      <c r="H894" s="8">
        <v>3445.42</v>
      </c>
      <c r="I894" s="8">
        <v>129.75</v>
      </c>
      <c r="J894" s="8">
        <v>0.28999999999999998</v>
      </c>
      <c r="K894" t="str">
        <f>IF(SalesData[[#This Row],[Profit]]&gt;0,"Profit","Loss")</f>
        <v>Profit</v>
      </c>
      <c r="L894" s="8">
        <f>SalesData[[#This Row],[Profit]]/SalesData[[#This Row],[Sales]]</f>
        <v>3.7658688926168651E-2</v>
      </c>
      <c r="M894" t="str">
        <f>TEXT(SalesData[[#This Row],[Order_Date]],"mmm")</f>
        <v>May</v>
      </c>
      <c r="N894">
        <f>YEAR(SalesData[[#This Row],[Order_Date]])</f>
        <v>2022</v>
      </c>
    </row>
    <row r="895" spans="1:14" x14ac:dyDescent="0.3">
      <c r="A895" t="s">
        <v>1881</v>
      </c>
      <c r="B895" s="1">
        <v>45240</v>
      </c>
      <c r="C895" t="s">
        <v>1073</v>
      </c>
      <c r="D895" t="s">
        <v>18</v>
      </c>
      <c r="E895" t="s">
        <v>19</v>
      </c>
      <c r="F895" t="s">
        <v>29</v>
      </c>
      <c r="G895" t="s">
        <v>1882</v>
      </c>
      <c r="H895" s="8">
        <v>203.26</v>
      </c>
      <c r="I895" s="8">
        <v>-25.71</v>
      </c>
      <c r="J895" s="8">
        <v>0.28999999999999998</v>
      </c>
      <c r="K895" t="str">
        <f>IF(SalesData[[#This Row],[Profit]]&gt;0,"Profit","Loss")</f>
        <v>Loss</v>
      </c>
      <c r="L895" s="8">
        <f>SalesData[[#This Row],[Profit]]/SalesData[[#This Row],[Sales]]</f>
        <v>-0.1264882416609269</v>
      </c>
      <c r="M895" t="str">
        <f>TEXT(SalesData[[#This Row],[Order_Date]],"mmm")</f>
        <v>Nov</v>
      </c>
      <c r="N895">
        <f>YEAR(SalesData[[#This Row],[Order_Date]])</f>
        <v>2023</v>
      </c>
    </row>
    <row r="896" spans="1:14" x14ac:dyDescent="0.3">
      <c r="A896" t="s">
        <v>1883</v>
      </c>
      <c r="B896" s="1">
        <v>45263</v>
      </c>
      <c r="C896" t="s">
        <v>1884</v>
      </c>
      <c r="D896" t="s">
        <v>18</v>
      </c>
      <c r="E896" t="s">
        <v>13</v>
      </c>
      <c r="F896" t="s">
        <v>36</v>
      </c>
      <c r="G896" t="s">
        <v>1732</v>
      </c>
      <c r="H896" s="8">
        <v>1615.42</v>
      </c>
      <c r="I896" s="8">
        <v>-439.86</v>
      </c>
      <c r="J896" s="8">
        <v>0.28999999999999998</v>
      </c>
      <c r="K896" t="str">
        <f>IF(SalesData[[#This Row],[Profit]]&gt;0,"Profit","Loss")</f>
        <v>Loss</v>
      </c>
      <c r="L896" s="8">
        <f>SalesData[[#This Row],[Profit]]/SalesData[[#This Row],[Sales]]</f>
        <v>-0.27228832130343811</v>
      </c>
      <c r="M896" t="str">
        <f>TEXT(SalesData[[#This Row],[Order_Date]],"mmm")</f>
        <v>Dec</v>
      </c>
      <c r="N896">
        <f>YEAR(SalesData[[#This Row],[Order_Date]])</f>
        <v>2023</v>
      </c>
    </row>
    <row r="897" spans="1:14" x14ac:dyDescent="0.3">
      <c r="A897" t="s">
        <v>1885</v>
      </c>
      <c r="B897" s="1">
        <v>44823</v>
      </c>
      <c r="C897" t="s">
        <v>1242</v>
      </c>
      <c r="D897" t="s">
        <v>12</v>
      </c>
      <c r="E897" t="s">
        <v>19</v>
      </c>
      <c r="F897" t="s">
        <v>29</v>
      </c>
      <c r="G897" t="s">
        <v>1886</v>
      </c>
      <c r="H897" s="8">
        <v>138.54</v>
      </c>
      <c r="I897" s="8">
        <v>9.2100000000000009</v>
      </c>
      <c r="J897" s="8">
        <v>0.28999999999999998</v>
      </c>
      <c r="K897" t="str">
        <f>IF(SalesData[[#This Row],[Profit]]&gt;0,"Profit","Loss")</f>
        <v>Profit</v>
      </c>
      <c r="L897" s="8">
        <f>SalesData[[#This Row],[Profit]]/SalesData[[#This Row],[Sales]]</f>
        <v>6.6478995236032928E-2</v>
      </c>
      <c r="M897" t="str">
        <f>TEXT(SalesData[[#This Row],[Order_Date]],"mmm")</f>
        <v>Sep</v>
      </c>
      <c r="N897">
        <f>YEAR(SalesData[[#This Row],[Order_Date]])</f>
        <v>2022</v>
      </c>
    </row>
    <row r="898" spans="1:14" x14ac:dyDescent="0.3">
      <c r="A898" t="s">
        <v>1887</v>
      </c>
      <c r="B898" s="1">
        <v>45208</v>
      </c>
      <c r="C898" t="s">
        <v>832</v>
      </c>
      <c r="D898" t="s">
        <v>28</v>
      </c>
      <c r="E898" t="s">
        <v>56</v>
      </c>
      <c r="F898" t="s">
        <v>95</v>
      </c>
      <c r="G898" t="s">
        <v>864</v>
      </c>
      <c r="H898" s="8">
        <v>1130.8900000000001</v>
      </c>
      <c r="I898" s="8">
        <v>89.94</v>
      </c>
      <c r="J898" s="8">
        <v>0.27</v>
      </c>
      <c r="K898" t="str">
        <f>IF(SalesData[[#This Row],[Profit]]&gt;0,"Profit","Loss")</f>
        <v>Profit</v>
      </c>
      <c r="L898" s="8">
        <f>SalesData[[#This Row],[Profit]]/SalesData[[#This Row],[Sales]]</f>
        <v>7.9530281459735244E-2</v>
      </c>
      <c r="M898" t="str">
        <f>TEXT(SalesData[[#This Row],[Order_Date]],"mmm")</f>
        <v>Oct</v>
      </c>
      <c r="N898">
        <f>YEAR(SalesData[[#This Row],[Order_Date]])</f>
        <v>2023</v>
      </c>
    </row>
    <row r="899" spans="1:14" x14ac:dyDescent="0.3">
      <c r="A899" t="s">
        <v>1888</v>
      </c>
      <c r="B899" s="1">
        <v>45044</v>
      </c>
      <c r="C899" t="s">
        <v>1354</v>
      </c>
      <c r="D899" t="s">
        <v>28</v>
      </c>
      <c r="E899" t="s">
        <v>56</v>
      </c>
      <c r="F899" t="s">
        <v>95</v>
      </c>
      <c r="G899" t="s">
        <v>1535</v>
      </c>
      <c r="H899" s="8">
        <v>4345.58</v>
      </c>
      <c r="I899" s="8">
        <v>496.69</v>
      </c>
      <c r="J899" s="8">
        <v>0.25</v>
      </c>
      <c r="K899" t="str">
        <f>IF(SalesData[[#This Row],[Profit]]&gt;0,"Profit","Loss")</f>
        <v>Profit</v>
      </c>
      <c r="L899" s="8">
        <f>SalesData[[#This Row],[Profit]]/SalesData[[#This Row],[Sales]]</f>
        <v>0.11429774621569502</v>
      </c>
      <c r="M899" t="str">
        <f>TEXT(SalesData[[#This Row],[Order_Date]],"mmm")</f>
        <v>Apr</v>
      </c>
      <c r="N899">
        <f>YEAR(SalesData[[#This Row],[Order_Date]])</f>
        <v>2023</v>
      </c>
    </row>
    <row r="900" spans="1:14" x14ac:dyDescent="0.3">
      <c r="A900" t="s">
        <v>1889</v>
      </c>
      <c r="B900" s="1">
        <v>44726</v>
      </c>
      <c r="C900" t="s">
        <v>524</v>
      </c>
      <c r="D900" t="s">
        <v>40</v>
      </c>
      <c r="E900" t="s">
        <v>19</v>
      </c>
      <c r="F900" t="s">
        <v>141</v>
      </c>
      <c r="G900" t="s">
        <v>70</v>
      </c>
      <c r="H900" s="8">
        <v>2169.59</v>
      </c>
      <c r="I900" s="8">
        <v>-910.71</v>
      </c>
      <c r="J900" s="8">
        <v>0.28000000000000003</v>
      </c>
      <c r="K900" t="str">
        <f>IF(SalesData[[#This Row],[Profit]]&gt;0,"Profit","Loss")</f>
        <v>Loss</v>
      </c>
      <c r="L900" s="8">
        <f>SalesData[[#This Row],[Profit]]/SalesData[[#This Row],[Sales]]</f>
        <v>-0.41976133739554478</v>
      </c>
      <c r="M900" t="str">
        <f>TEXT(SalesData[[#This Row],[Order_Date]],"mmm")</f>
        <v>Jun</v>
      </c>
      <c r="N900">
        <f>YEAR(SalesData[[#This Row],[Order_Date]])</f>
        <v>2022</v>
      </c>
    </row>
    <row r="901" spans="1:14" x14ac:dyDescent="0.3">
      <c r="A901" t="s">
        <v>1890</v>
      </c>
      <c r="B901" s="1">
        <v>44896</v>
      </c>
      <c r="C901" t="s">
        <v>1891</v>
      </c>
      <c r="D901" t="s">
        <v>12</v>
      </c>
      <c r="E901" t="s">
        <v>56</v>
      </c>
      <c r="F901" t="s">
        <v>95</v>
      </c>
      <c r="G901" t="s">
        <v>728</v>
      </c>
      <c r="H901" s="8">
        <v>2162.27</v>
      </c>
      <c r="I901" s="8">
        <v>-197.55</v>
      </c>
      <c r="J901" s="8">
        <v>0.22</v>
      </c>
      <c r="K901" t="str">
        <f>IF(SalesData[[#This Row],[Profit]]&gt;0,"Profit","Loss")</f>
        <v>Loss</v>
      </c>
      <c r="L901" s="8">
        <f>SalesData[[#This Row],[Profit]]/SalesData[[#This Row],[Sales]]</f>
        <v>-9.1362318304374579E-2</v>
      </c>
      <c r="M901" t="str">
        <f>TEXT(SalesData[[#This Row],[Order_Date]],"mmm")</f>
        <v>Dec</v>
      </c>
      <c r="N901">
        <f>YEAR(SalesData[[#This Row],[Order_Date]])</f>
        <v>2022</v>
      </c>
    </row>
    <row r="902" spans="1:14" x14ac:dyDescent="0.3">
      <c r="A902" t="s">
        <v>1892</v>
      </c>
      <c r="B902" s="1">
        <v>44701</v>
      </c>
      <c r="C902" t="s">
        <v>1893</v>
      </c>
      <c r="D902" t="s">
        <v>28</v>
      </c>
      <c r="E902" t="s">
        <v>56</v>
      </c>
      <c r="F902" t="s">
        <v>73</v>
      </c>
      <c r="G902" t="s">
        <v>991</v>
      </c>
      <c r="H902" s="8">
        <v>3243.8</v>
      </c>
      <c r="I902" s="8">
        <v>274.45999999999998</v>
      </c>
      <c r="J902" s="8">
        <v>0.19</v>
      </c>
      <c r="K902" t="str">
        <f>IF(SalesData[[#This Row],[Profit]]&gt;0,"Profit","Loss")</f>
        <v>Profit</v>
      </c>
      <c r="L902" s="8">
        <f>SalesData[[#This Row],[Profit]]/SalesData[[#This Row],[Sales]]</f>
        <v>8.4610641839817494E-2</v>
      </c>
      <c r="M902" t="str">
        <f>TEXT(SalesData[[#This Row],[Order_Date]],"mmm")</f>
        <v>May</v>
      </c>
      <c r="N902">
        <f>YEAR(SalesData[[#This Row],[Order_Date]])</f>
        <v>2022</v>
      </c>
    </row>
    <row r="903" spans="1:14" x14ac:dyDescent="0.3">
      <c r="A903" t="s">
        <v>1894</v>
      </c>
      <c r="B903" s="1">
        <v>45090</v>
      </c>
      <c r="C903" t="s">
        <v>830</v>
      </c>
      <c r="D903" t="s">
        <v>18</v>
      </c>
      <c r="E903" t="s">
        <v>13</v>
      </c>
      <c r="F903" t="s">
        <v>36</v>
      </c>
      <c r="G903" t="s">
        <v>649</v>
      </c>
      <c r="H903" s="8">
        <v>1637.24</v>
      </c>
      <c r="I903" s="8">
        <v>-205.16</v>
      </c>
      <c r="J903" s="8">
        <v>0.02</v>
      </c>
      <c r="K903" t="str">
        <f>IF(SalesData[[#This Row],[Profit]]&gt;0,"Profit","Loss")</f>
        <v>Loss</v>
      </c>
      <c r="L903" s="8">
        <f>SalesData[[#This Row],[Profit]]/SalesData[[#This Row],[Sales]]</f>
        <v>-0.12530844592118442</v>
      </c>
      <c r="M903" t="str">
        <f>TEXT(SalesData[[#This Row],[Order_Date]],"mmm")</f>
        <v>Jun</v>
      </c>
      <c r="N903">
        <f>YEAR(SalesData[[#This Row],[Order_Date]])</f>
        <v>2023</v>
      </c>
    </row>
    <row r="904" spans="1:14" x14ac:dyDescent="0.3">
      <c r="A904" t="s">
        <v>1895</v>
      </c>
      <c r="B904" s="1">
        <v>44698</v>
      </c>
      <c r="C904" t="s">
        <v>1291</v>
      </c>
      <c r="D904" t="s">
        <v>18</v>
      </c>
      <c r="E904" t="s">
        <v>13</v>
      </c>
      <c r="F904" t="s">
        <v>24</v>
      </c>
      <c r="G904" t="s">
        <v>420</v>
      </c>
      <c r="H904" s="8">
        <v>2110.5500000000002</v>
      </c>
      <c r="I904" s="8">
        <v>-441.33</v>
      </c>
      <c r="J904" s="8">
        <v>0.28000000000000003</v>
      </c>
      <c r="K904" t="str">
        <f>IF(SalesData[[#This Row],[Profit]]&gt;0,"Profit","Loss")</f>
        <v>Loss</v>
      </c>
      <c r="L904" s="8">
        <f>SalesData[[#This Row],[Profit]]/SalesData[[#This Row],[Sales]]</f>
        <v>-0.20910663097296911</v>
      </c>
      <c r="M904" t="str">
        <f>TEXT(SalesData[[#This Row],[Order_Date]],"mmm")</f>
        <v>May</v>
      </c>
      <c r="N904">
        <f>YEAR(SalesData[[#This Row],[Order_Date]])</f>
        <v>2022</v>
      </c>
    </row>
    <row r="905" spans="1:14" x14ac:dyDescent="0.3">
      <c r="A905" t="s">
        <v>1896</v>
      </c>
      <c r="B905" s="1">
        <v>44748</v>
      </c>
      <c r="C905" t="s">
        <v>1519</v>
      </c>
      <c r="D905" t="s">
        <v>28</v>
      </c>
      <c r="E905" t="s">
        <v>13</v>
      </c>
      <c r="F905" t="s">
        <v>36</v>
      </c>
      <c r="G905" t="s">
        <v>148</v>
      </c>
      <c r="H905" s="8">
        <v>4017.69</v>
      </c>
      <c r="I905" s="8">
        <v>-45.41</v>
      </c>
      <c r="J905" s="8">
        <v>0.06</v>
      </c>
      <c r="K905" t="str">
        <f>IF(SalesData[[#This Row],[Profit]]&gt;0,"Profit","Loss")</f>
        <v>Loss</v>
      </c>
      <c r="L905" s="8">
        <f>SalesData[[#This Row],[Profit]]/SalesData[[#This Row],[Sales]]</f>
        <v>-1.1302514629053012E-2</v>
      </c>
      <c r="M905" t="str">
        <f>TEXT(SalesData[[#This Row],[Order_Date]],"mmm")</f>
        <v>Jul</v>
      </c>
      <c r="N905">
        <f>YEAR(SalesData[[#This Row],[Order_Date]])</f>
        <v>2022</v>
      </c>
    </row>
    <row r="906" spans="1:14" x14ac:dyDescent="0.3">
      <c r="A906" t="s">
        <v>1897</v>
      </c>
      <c r="B906" s="1">
        <v>45188</v>
      </c>
      <c r="C906" t="s">
        <v>1898</v>
      </c>
      <c r="D906" t="s">
        <v>18</v>
      </c>
      <c r="E906" t="s">
        <v>13</v>
      </c>
      <c r="F906" t="s">
        <v>14</v>
      </c>
      <c r="G906" t="s">
        <v>1697</v>
      </c>
      <c r="H906" s="8">
        <v>201.6</v>
      </c>
      <c r="I906" s="8">
        <v>25.22</v>
      </c>
      <c r="J906" s="8">
        <v>0.01</v>
      </c>
      <c r="K906" t="str">
        <f>IF(SalesData[[#This Row],[Profit]]&gt;0,"Profit","Loss")</f>
        <v>Profit</v>
      </c>
      <c r="L906" s="8">
        <f>SalesData[[#This Row],[Profit]]/SalesData[[#This Row],[Sales]]</f>
        <v>0.12509920634920635</v>
      </c>
      <c r="M906" t="str">
        <f>TEXT(SalesData[[#This Row],[Order_Date]],"mmm")</f>
        <v>Sep</v>
      </c>
      <c r="N906">
        <f>YEAR(SalesData[[#This Row],[Order_Date]])</f>
        <v>2023</v>
      </c>
    </row>
    <row r="907" spans="1:14" x14ac:dyDescent="0.3">
      <c r="A907" t="s">
        <v>1899</v>
      </c>
      <c r="B907" s="1">
        <v>44972</v>
      </c>
      <c r="C907" t="s">
        <v>890</v>
      </c>
      <c r="D907" t="s">
        <v>28</v>
      </c>
      <c r="E907" t="s">
        <v>56</v>
      </c>
      <c r="F907" t="s">
        <v>95</v>
      </c>
      <c r="G907" t="s">
        <v>1321</v>
      </c>
      <c r="H907" s="8">
        <v>1071.5</v>
      </c>
      <c r="I907" s="8">
        <v>-330.82</v>
      </c>
      <c r="J907" s="8">
        <v>0.21</v>
      </c>
      <c r="K907" t="str">
        <f>IF(SalesData[[#This Row],[Profit]]&gt;0,"Profit","Loss")</f>
        <v>Loss</v>
      </c>
      <c r="L907" s="8">
        <f>SalesData[[#This Row],[Profit]]/SalesData[[#This Row],[Sales]]</f>
        <v>-0.30874475034997667</v>
      </c>
      <c r="M907" t="str">
        <f>TEXT(SalesData[[#This Row],[Order_Date]],"mmm")</f>
        <v>Feb</v>
      </c>
      <c r="N907">
        <f>YEAR(SalesData[[#This Row],[Order_Date]])</f>
        <v>2023</v>
      </c>
    </row>
    <row r="908" spans="1:14" x14ac:dyDescent="0.3">
      <c r="A908" t="s">
        <v>1900</v>
      </c>
      <c r="B908" s="1">
        <v>44682</v>
      </c>
      <c r="C908" t="s">
        <v>1901</v>
      </c>
      <c r="D908" t="s">
        <v>28</v>
      </c>
      <c r="E908" t="s">
        <v>19</v>
      </c>
      <c r="F908" t="s">
        <v>20</v>
      </c>
      <c r="G908" t="s">
        <v>339</v>
      </c>
      <c r="H908" s="8">
        <v>536.4</v>
      </c>
      <c r="I908" s="8">
        <v>138.58000000000001</v>
      </c>
      <c r="J908" s="8">
        <v>0.11</v>
      </c>
      <c r="K908" t="str">
        <f>IF(SalesData[[#This Row],[Profit]]&gt;0,"Profit","Loss")</f>
        <v>Profit</v>
      </c>
      <c r="L908" s="8">
        <f>SalesData[[#This Row],[Profit]]/SalesData[[#This Row],[Sales]]</f>
        <v>0.25835197613721106</v>
      </c>
      <c r="M908" t="str">
        <f>TEXT(SalesData[[#This Row],[Order_Date]],"mmm")</f>
        <v>May</v>
      </c>
      <c r="N908">
        <f>YEAR(SalesData[[#This Row],[Order_Date]])</f>
        <v>2022</v>
      </c>
    </row>
    <row r="909" spans="1:14" x14ac:dyDescent="0.3">
      <c r="A909" t="s">
        <v>1902</v>
      </c>
      <c r="B909" s="1">
        <v>44834</v>
      </c>
      <c r="C909" t="s">
        <v>327</v>
      </c>
      <c r="D909" t="s">
        <v>28</v>
      </c>
      <c r="E909" t="s">
        <v>19</v>
      </c>
      <c r="F909" t="s">
        <v>141</v>
      </c>
      <c r="G909" t="s">
        <v>441</v>
      </c>
      <c r="H909" s="8">
        <v>2521.33</v>
      </c>
      <c r="I909" s="8">
        <v>-373.44</v>
      </c>
      <c r="J909" s="8">
        <v>7.0000000000000007E-2</v>
      </c>
      <c r="K909" t="str">
        <f>IF(SalesData[[#This Row],[Profit]]&gt;0,"Profit","Loss")</f>
        <v>Loss</v>
      </c>
      <c r="L909" s="8">
        <f>SalesData[[#This Row],[Profit]]/SalesData[[#This Row],[Sales]]</f>
        <v>-0.14811230580685592</v>
      </c>
      <c r="M909" t="str">
        <f>TEXT(SalesData[[#This Row],[Order_Date]],"mmm")</f>
        <v>Sep</v>
      </c>
      <c r="N909">
        <f>YEAR(SalesData[[#This Row],[Order_Date]])</f>
        <v>2022</v>
      </c>
    </row>
    <row r="910" spans="1:14" x14ac:dyDescent="0.3">
      <c r="A910" t="s">
        <v>1903</v>
      </c>
      <c r="B910" s="1">
        <v>44851</v>
      </c>
      <c r="C910" t="s">
        <v>1652</v>
      </c>
      <c r="D910" t="s">
        <v>18</v>
      </c>
      <c r="E910" t="s">
        <v>56</v>
      </c>
      <c r="F910" t="s">
        <v>95</v>
      </c>
      <c r="G910" t="s">
        <v>1904</v>
      </c>
      <c r="H910" s="8">
        <v>4296.05</v>
      </c>
      <c r="I910" s="8">
        <v>932.78</v>
      </c>
      <c r="J910" s="8">
        <v>0.18</v>
      </c>
      <c r="K910" t="str">
        <f>IF(SalesData[[#This Row],[Profit]]&gt;0,"Profit","Loss")</f>
        <v>Profit</v>
      </c>
      <c r="L910" s="8">
        <f>SalesData[[#This Row],[Profit]]/SalesData[[#This Row],[Sales]]</f>
        <v>0.21712503346096995</v>
      </c>
      <c r="M910" t="str">
        <f>TEXT(SalesData[[#This Row],[Order_Date]],"mmm")</f>
        <v>Oct</v>
      </c>
      <c r="N910">
        <f>YEAR(SalesData[[#This Row],[Order_Date]])</f>
        <v>2022</v>
      </c>
    </row>
    <row r="911" spans="1:14" x14ac:dyDescent="0.3">
      <c r="A911" t="s">
        <v>1905</v>
      </c>
      <c r="B911" s="1">
        <v>44803</v>
      </c>
      <c r="C911" t="s">
        <v>890</v>
      </c>
      <c r="D911" t="s">
        <v>28</v>
      </c>
      <c r="E911" t="s">
        <v>56</v>
      </c>
      <c r="F911" t="s">
        <v>95</v>
      </c>
      <c r="G911" t="s">
        <v>1697</v>
      </c>
      <c r="H911" s="8">
        <v>3983.07</v>
      </c>
      <c r="I911" s="8">
        <v>1496.35</v>
      </c>
      <c r="J911" s="8">
        <v>0.01</v>
      </c>
      <c r="K911" t="str">
        <f>IF(SalesData[[#This Row],[Profit]]&gt;0,"Profit","Loss")</f>
        <v>Profit</v>
      </c>
      <c r="L911" s="8">
        <f>SalesData[[#This Row],[Profit]]/SalesData[[#This Row],[Sales]]</f>
        <v>0.3756775552526066</v>
      </c>
      <c r="M911" t="str">
        <f>TEXT(SalesData[[#This Row],[Order_Date]],"mmm")</f>
        <v>Aug</v>
      </c>
      <c r="N911">
        <f>YEAR(SalesData[[#This Row],[Order_Date]])</f>
        <v>2022</v>
      </c>
    </row>
    <row r="912" spans="1:14" x14ac:dyDescent="0.3">
      <c r="A912" t="s">
        <v>1906</v>
      </c>
      <c r="B912" s="1">
        <v>45042</v>
      </c>
      <c r="C912" t="s">
        <v>724</v>
      </c>
      <c r="D912" t="s">
        <v>40</v>
      </c>
      <c r="E912" t="s">
        <v>56</v>
      </c>
      <c r="F912" t="s">
        <v>95</v>
      </c>
      <c r="G912" t="s">
        <v>1308</v>
      </c>
      <c r="H912" s="8">
        <v>2956.23</v>
      </c>
      <c r="I912" s="8">
        <v>-1000.85</v>
      </c>
      <c r="J912" s="8">
        <v>0.19</v>
      </c>
      <c r="K912" t="str">
        <f>IF(SalesData[[#This Row],[Profit]]&gt;0,"Profit","Loss")</f>
        <v>Loss</v>
      </c>
      <c r="L912" s="8">
        <f>SalesData[[#This Row],[Profit]]/SalesData[[#This Row],[Sales]]</f>
        <v>-0.33855620164872152</v>
      </c>
      <c r="M912" t="str">
        <f>TEXT(SalesData[[#This Row],[Order_Date]],"mmm")</f>
        <v>Apr</v>
      </c>
      <c r="N912">
        <f>YEAR(SalesData[[#This Row],[Order_Date]])</f>
        <v>2023</v>
      </c>
    </row>
    <row r="913" spans="1:14" x14ac:dyDescent="0.3">
      <c r="A913" t="s">
        <v>1907</v>
      </c>
      <c r="B913" s="1">
        <v>45173</v>
      </c>
      <c r="C913" t="s">
        <v>1908</v>
      </c>
      <c r="D913" t="s">
        <v>12</v>
      </c>
      <c r="E913" t="s">
        <v>13</v>
      </c>
      <c r="F913" t="s">
        <v>36</v>
      </c>
      <c r="G913" t="s">
        <v>1483</v>
      </c>
      <c r="H913" s="8">
        <v>3465.58</v>
      </c>
      <c r="I913" s="8">
        <v>52.23</v>
      </c>
      <c r="J913" s="8">
        <v>0.21</v>
      </c>
      <c r="K913" t="str">
        <f>IF(SalesData[[#This Row],[Profit]]&gt;0,"Profit","Loss")</f>
        <v>Profit</v>
      </c>
      <c r="L913" s="8">
        <f>SalesData[[#This Row],[Profit]]/SalesData[[#This Row],[Sales]]</f>
        <v>1.5071070354745813E-2</v>
      </c>
      <c r="M913" t="str">
        <f>TEXT(SalesData[[#This Row],[Order_Date]],"mmm")</f>
        <v>Sep</v>
      </c>
      <c r="N913">
        <f>YEAR(SalesData[[#This Row],[Order_Date]])</f>
        <v>2023</v>
      </c>
    </row>
    <row r="914" spans="1:14" x14ac:dyDescent="0.3">
      <c r="A914" t="s">
        <v>1909</v>
      </c>
      <c r="B914" s="1">
        <v>44924</v>
      </c>
      <c r="C914" t="s">
        <v>385</v>
      </c>
      <c r="D914" t="s">
        <v>12</v>
      </c>
      <c r="E914" t="s">
        <v>13</v>
      </c>
      <c r="F914" t="s">
        <v>14</v>
      </c>
      <c r="G914" t="s">
        <v>1150</v>
      </c>
      <c r="H914" s="8">
        <v>355.35</v>
      </c>
      <c r="I914" s="8">
        <v>-70.16</v>
      </c>
      <c r="J914" s="8">
        <v>0.28000000000000003</v>
      </c>
      <c r="K914" t="str">
        <f>IF(SalesData[[#This Row],[Profit]]&gt;0,"Profit","Loss")</f>
        <v>Loss</v>
      </c>
      <c r="L914" s="8">
        <f>SalesData[[#This Row],[Profit]]/SalesData[[#This Row],[Sales]]</f>
        <v>-0.19743914450541716</v>
      </c>
      <c r="M914" t="str">
        <f>TEXT(SalesData[[#This Row],[Order_Date]],"mmm")</f>
        <v>Dec</v>
      </c>
      <c r="N914">
        <f>YEAR(SalesData[[#This Row],[Order_Date]])</f>
        <v>2022</v>
      </c>
    </row>
    <row r="915" spans="1:14" x14ac:dyDescent="0.3">
      <c r="A915" t="s">
        <v>1910</v>
      </c>
      <c r="B915" s="1">
        <v>44941</v>
      </c>
      <c r="C915" t="s">
        <v>835</v>
      </c>
      <c r="D915" t="s">
        <v>12</v>
      </c>
      <c r="E915" t="s">
        <v>19</v>
      </c>
      <c r="F915" t="s">
        <v>141</v>
      </c>
      <c r="G915" t="s">
        <v>1644</v>
      </c>
      <c r="H915" s="8">
        <v>3136.32</v>
      </c>
      <c r="I915" s="8">
        <v>-166.8</v>
      </c>
      <c r="J915" s="8">
        <v>0.09</v>
      </c>
      <c r="K915" t="str">
        <f>IF(SalesData[[#This Row],[Profit]]&gt;0,"Profit","Loss")</f>
        <v>Loss</v>
      </c>
      <c r="L915" s="8">
        <f>SalesData[[#This Row],[Profit]]/SalesData[[#This Row],[Sales]]</f>
        <v>-5.318334863789409E-2</v>
      </c>
      <c r="M915" t="str">
        <f>TEXT(SalesData[[#This Row],[Order_Date]],"mmm")</f>
        <v>Jan</v>
      </c>
      <c r="N915">
        <f>YEAR(SalesData[[#This Row],[Order_Date]])</f>
        <v>2023</v>
      </c>
    </row>
    <row r="916" spans="1:14" x14ac:dyDescent="0.3">
      <c r="A916" t="s">
        <v>1911</v>
      </c>
      <c r="B916" s="1">
        <v>45041</v>
      </c>
      <c r="C916" t="s">
        <v>835</v>
      </c>
      <c r="D916" t="s">
        <v>12</v>
      </c>
      <c r="E916" t="s">
        <v>56</v>
      </c>
      <c r="F916" t="s">
        <v>95</v>
      </c>
      <c r="G916" t="s">
        <v>1004</v>
      </c>
      <c r="H916" s="8">
        <v>932.35</v>
      </c>
      <c r="I916" s="8">
        <v>-136.58000000000001</v>
      </c>
      <c r="J916" s="8">
        <v>0.15</v>
      </c>
      <c r="K916" t="str">
        <f>IF(SalesData[[#This Row],[Profit]]&gt;0,"Profit","Loss")</f>
        <v>Loss</v>
      </c>
      <c r="L916" s="8">
        <f>SalesData[[#This Row],[Profit]]/SalesData[[#This Row],[Sales]]</f>
        <v>-0.14649005201909154</v>
      </c>
      <c r="M916" t="str">
        <f>TEXT(SalesData[[#This Row],[Order_Date]],"mmm")</f>
        <v>Apr</v>
      </c>
      <c r="N916">
        <f>YEAR(SalesData[[#This Row],[Order_Date]])</f>
        <v>2023</v>
      </c>
    </row>
    <row r="917" spans="1:14" x14ac:dyDescent="0.3">
      <c r="A917" t="s">
        <v>1912</v>
      </c>
      <c r="B917" s="1">
        <v>44692</v>
      </c>
      <c r="C917" t="s">
        <v>978</v>
      </c>
      <c r="D917" t="s">
        <v>40</v>
      </c>
      <c r="E917" t="s">
        <v>13</v>
      </c>
      <c r="F917" t="s">
        <v>24</v>
      </c>
      <c r="G917" t="s">
        <v>465</v>
      </c>
      <c r="H917" s="8">
        <v>2221.36</v>
      </c>
      <c r="I917" s="8">
        <v>-204.45</v>
      </c>
      <c r="J917" s="8">
        <v>0.08</v>
      </c>
      <c r="K917" t="str">
        <f>IF(SalesData[[#This Row],[Profit]]&gt;0,"Profit","Loss")</f>
        <v>Loss</v>
      </c>
      <c r="L917" s="8">
        <f>SalesData[[#This Row],[Profit]]/SalesData[[#This Row],[Sales]]</f>
        <v>-9.2038210825800396E-2</v>
      </c>
      <c r="M917" t="str">
        <f>TEXT(SalesData[[#This Row],[Order_Date]],"mmm")</f>
        <v>May</v>
      </c>
      <c r="N917">
        <f>YEAR(SalesData[[#This Row],[Order_Date]])</f>
        <v>2022</v>
      </c>
    </row>
    <row r="918" spans="1:14" x14ac:dyDescent="0.3">
      <c r="A918" t="s">
        <v>1913</v>
      </c>
      <c r="B918" s="1">
        <v>44832</v>
      </c>
      <c r="C918" t="s">
        <v>1089</v>
      </c>
      <c r="D918" t="s">
        <v>40</v>
      </c>
      <c r="E918" t="s">
        <v>19</v>
      </c>
      <c r="F918" t="s">
        <v>29</v>
      </c>
      <c r="G918" t="s">
        <v>491</v>
      </c>
      <c r="H918" s="8">
        <v>1486.33</v>
      </c>
      <c r="I918" s="8">
        <v>-137.1</v>
      </c>
      <c r="J918" s="8">
        <v>0.26</v>
      </c>
      <c r="K918" t="str">
        <f>IF(SalesData[[#This Row],[Profit]]&gt;0,"Profit","Loss")</f>
        <v>Loss</v>
      </c>
      <c r="L918" s="8">
        <f>SalesData[[#This Row],[Profit]]/SalesData[[#This Row],[Sales]]</f>
        <v>-9.2240619512490504E-2</v>
      </c>
      <c r="M918" t="str">
        <f>TEXT(SalesData[[#This Row],[Order_Date]],"mmm")</f>
        <v>Sep</v>
      </c>
      <c r="N918">
        <f>YEAR(SalesData[[#This Row],[Order_Date]])</f>
        <v>2022</v>
      </c>
    </row>
    <row r="919" spans="1:14" x14ac:dyDescent="0.3">
      <c r="A919" t="s">
        <v>1914</v>
      </c>
      <c r="B919" s="1">
        <v>45131</v>
      </c>
      <c r="C919" t="s">
        <v>1915</v>
      </c>
      <c r="D919" t="s">
        <v>28</v>
      </c>
      <c r="E919" t="s">
        <v>56</v>
      </c>
      <c r="F919" t="s">
        <v>95</v>
      </c>
      <c r="G919" t="s">
        <v>1492</v>
      </c>
      <c r="H919" s="8">
        <v>3710.66</v>
      </c>
      <c r="I919" s="8">
        <v>816.46</v>
      </c>
      <c r="J919" s="8">
        <v>0.15</v>
      </c>
      <c r="K919" t="str">
        <f>IF(SalesData[[#This Row],[Profit]]&gt;0,"Profit","Loss")</f>
        <v>Profit</v>
      </c>
      <c r="L919" s="8">
        <f>SalesData[[#This Row],[Profit]]/SalesData[[#This Row],[Sales]]</f>
        <v>0.22003093789245043</v>
      </c>
      <c r="M919" t="str">
        <f>TEXT(SalesData[[#This Row],[Order_Date]],"mmm")</f>
        <v>Jul</v>
      </c>
      <c r="N919">
        <f>YEAR(SalesData[[#This Row],[Order_Date]])</f>
        <v>2023</v>
      </c>
    </row>
    <row r="920" spans="1:14" x14ac:dyDescent="0.3">
      <c r="A920" t="s">
        <v>1916</v>
      </c>
      <c r="B920" s="1">
        <v>44729</v>
      </c>
      <c r="C920" t="s">
        <v>676</v>
      </c>
      <c r="D920" t="s">
        <v>28</v>
      </c>
      <c r="E920" t="s">
        <v>56</v>
      </c>
      <c r="F920" t="s">
        <v>57</v>
      </c>
      <c r="G920" t="s">
        <v>491</v>
      </c>
      <c r="H920" s="8">
        <v>367.38</v>
      </c>
      <c r="I920" s="8">
        <v>11.81</v>
      </c>
      <c r="J920" s="8">
        <v>0.05</v>
      </c>
      <c r="K920" t="str">
        <f>IF(SalesData[[#This Row],[Profit]]&gt;0,"Profit","Loss")</f>
        <v>Profit</v>
      </c>
      <c r="L920" s="8">
        <f>SalesData[[#This Row],[Profit]]/SalesData[[#This Row],[Sales]]</f>
        <v>3.2146551254831512E-2</v>
      </c>
      <c r="M920" t="str">
        <f>TEXT(SalesData[[#This Row],[Order_Date]],"mmm")</f>
        <v>Jun</v>
      </c>
      <c r="N920">
        <f>YEAR(SalesData[[#This Row],[Order_Date]])</f>
        <v>2022</v>
      </c>
    </row>
    <row r="921" spans="1:14" x14ac:dyDescent="0.3">
      <c r="A921" t="s">
        <v>1917</v>
      </c>
      <c r="B921" s="1">
        <v>45058</v>
      </c>
      <c r="C921" t="s">
        <v>558</v>
      </c>
      <c r="D921" t="s">
        <v>28</v>
      </c>
      <c r="E921" t="s">
        <v>56</v>
      </c>
      <c r="F921" t="s">
        <v>95</v>
      </c>
      <c r="G921" t="s">
        <v>67</v>
      </c>
      <c r="H921" s="8">
        <v>299.88</v>
      </c>
      <c r="I921" s="8">
        <v>34.61</v>
      </c>
      <c r="J921" s="8">
        <v>0.11</v>
      </c>
      <c r="K921" t="str">
        <f>IF(SalesData[[#This Row],[Profit]]&gt;0,"Profit","Loss")</f>
        <v>Profit</v>
      </c>
      <c r="L921" s="8">
        <f>SalesData[[#This Row],[Profit]]/SalesData[[#This Row],[Sales]]</f>
        <v>0.11541283179938643</v>
      </c>
      <c r="M921" t="str">
        <f>TEXT(SalesData[[#This Row],[Order_Date]],"mmm")</f>
        <v>May</v>
      </c>
      <c r="N921">
        <f>YEAR(SalesData[[#This Row],[Order_Date]])</f>
        <v>2023</v>
      </c>
    </row>
    <row r="922" spans="1:14" x14ac:dyDescent="0.3">
      <c r="A922" t="s">
        <v>1918</v>
      </c>
      <c r="B922" s="1">
        <v>44746</v>
      </c>
      <c r="C922" t="s">
        <v>1919</v>
      </c>
      <c r="D922" t="s">
        <v>40</v>
      </c>
      <c r="E922" t="s">
        <v>13</v>
      </c>
      <c r="F922" t="s">
        <v>14</v>
      </c>
      <c r="G922" t="s">
        <v>239</v>
      </c>
      <c r="H922" s="8">
        <v>705.91</v>
      </c>
      <c r="I922" s="8">
        <v>205.35</v>
      </c>
      <c r="J922" s="8">
        <v>0.03</v>
      </c>
      <c r="K922" t="str">
        <f>IF(SalesData[[#This Row],[Profit]]&gt;0,"Profit","Loss")</f>
        <v>Profit</v>
      </c>
      <c r="L922" s="8">
        <f>SalesData[[#This Row],[Profit]]/SalesData[[#This Row],[Sales]]</f>
        <v>0.29090110637333372</v>
      </c>
      <c r="M922" t="str">
        <f>TEXT(SalesData[[#This Row],[Order_Date]],"mmm")</f>
        <v>Jul</v>
      </c>
      <c r="N922">
        <f>YEAR(SalesData[[#This Row],[Order_Date]])</f>
        <v>2022</v>
      </c>
    </row>
    <row r="923" spans="1:14" x14ac:dyDescent="0.3">
      <c r="A923" t="s">
        <v>1920</v>
      </c>
      <c r="B923" s="1">
        <v>45146</v>
      </c>
      <c r="C923" t="s">
        <v>1860</v>
      </c>
      <c r="D923" t="s">
        <v>28</v>
      </c>
      <c r="E923" t="s">
        <v>13</v>
      </c>
      <c r="F923" t="s">
        <v>24</v>
      </c>
      <c r="G923" t="s">
        <v>1563</v>
      </c>
      <c r="H923" s="8">
        <v>1140.74</v>
      </c>
      <c r="I923" s="8">
        <v>-567.54999999999995</v>
      </c>
      <c r="J923" s="8">
        <v>0.3</v>
      </c>
      <c r="K923" t="str">
        <f>IF(SalesData[[#This Row],[Profit]]&gt;0,"Profit","Loss")</f>
        <v>Loss</v>
      </c>
      <c r="L923" s="8">
        <f>SalesData[[#This Row],[Profit]]/SalesData[[#This Row],[Sales]]</f>
        <v>-0.49752792047267558</v>
      </c>
      <c r="M923" t="str">
        <f>TEXT(SalesData[[#This Row],[Order_Date]],"mmm")</f>
        <v>Aug</v>
      </c>
      <c r="N923">
        <f>YEAR(SalesData[[#This Row],[Order_Date]])</f>
        <v>2023</v>
      </c>
    </row>
    <row r="924" spans="1:14" x14ac:dyDescent="0.3">
      <c r="A924" t="s">
        <v>1921</v>
      </c>
      <c r="B924" s="1">
        <v>44588</v>
      </c>
      <c r="C924" t="s">
        <v>132</v>
      </c>
      <c r="D924" t="s">
        <v>12</v>
      </c>
      <c r="E924" t="s">
        <v>56</v>
      </c>
      <c r="F924" t="s">
        <v>57</v>
      </c>
      <c r="G924" t="s">
        <v>1546</v>
      </c>
      <c r="H924" s="8">
        <v>3864.44</v>
      </c>
      <c r="I924" s="8">
        <v>511.73</v>
      </c>
      <c r="J924" s="8">
        <v>0.2</v>
      </c>
      <c r="K924" t="str">
        <f>IF(SalesData[[#This Row],[Profit]]&gt;0,"Profit","Loss")</f>
        <v>Profit</v>
      </c>
      <c r="L924" s="8">
        <f>SalesData[[#This Row],[Profit]]/SalesData[[#This Row],[Sales]]</f>
        <v>0.13242022129985198</v>
      </c>
      <c r="M924" t="str">
        <f>TEXT(SalesData[[#This Row],[Order_Date]],"mmm")</f>
        <v>Jan</v>
      </c>
      <c r="N924">
        <f>YEAR(SalesData[[#This Row],[Order_Date]])</f>
        <v>2022</v>
      </c>
    </row>
    <row r="925" spans="1:14" x14ac:dyDescent="0.3">
      <c r="A925" t="s">
        <v>1922</v>
      </c>
      <c r="B925" s="1">
        <v>44591</v>
      </c>
      <c r="C925" t="s">
        <v>1923</v>
      </c>
      <c r="D925" t="s">
        <v>28</v>
      </c>
      <c r="E925" t="s">
        <v>19</v>
      </c>
      <c r="F925" t="s">
        <v>141</v>
      </c>
      <c r="G925" t="s">
        <v>395</v>
      </c>
      <c r="H925" s="8">
        <v>4652.83</v>
      </c>
      <c r="I925" s="8">
        <v>-166.93</v>
      </c>
      <c r="J925" s="8">
        <v>0.03</v>
      </c>
      <c r="K925" t="str">
        <f>IF(SalesData[[#This Row],[Profit]]&gt;0,"Profit","Loss")</f>
        <v>Loss</v>
      </c>
      <c r="L925" s="8">
        <f>SalesData[[#This Row],[Profit]]/SalesData[[#This Row],[Sales]]</f>
        <v>-3.5877089857140707E-2</v>
      </c>
      <c r="M925" t="str">
        <f>TEXT(SalesData[[#This Row],[Order_Date]],"mmm")</f>
        <v>Jan</v>
      </c>
      <c r="N925">
        <f>YEAR(SalesData[[#This Row],[Order_Date]])</f>
        <v>2022</v>
      </c>
    </row>
    <row r="926" spans="1:14" x14ac:dyDescent="0.3">
      <c r="A926" t="s">
        <v>1924</v>
      </c>
      <c r="B926" s="1">
        <v>45235</v>
      </c>
      <c r="C926" t="s">
        <v>1925</v>
      </c>
      <c r="D926" t="s">
        <v>40</v>
      </c>
      <c r="E926" t="s">
        <v>13</v>
      </c>
      <c r="F926" t="s">
        <v>24</v>
      </c>
      <c r="G926" t="s">
        <v>108</v>
      </c>
      <c r="H926" s="8">
        <v>2451.29</v>
      </c>
      <c r="I926" s="8">
        <v>-559.9</v>
      </c>
      <c r="J926" s="8">
        <v>0.19</v>
      </c>
      <c r="K926" t="str">
        <f>IF(SalesData[[#This Row],[Profit]]&gt;0,"Profit","Loss")</f>
        <v>Loss</v>
      </c>
      <c r="L926" s="8">
        <f>SalesData[[#This Row],[Profit]]/SalesData[[#This Row],[Sales]]</f>
        <v>-0.22841034720494108</v>
      </c>
      <c r="M926" t="str">
        <f>TEXT(SalesData[[#This Row],[Order_Date]],"mmm")</f>
        <v>Nov</v>
      </c>
      <c r="N926">
        <f>YEAR(SalesData[[#This Row],[Order_Date]])</f>
        <v>2023</v>
      </c>
    </row>
    <row r="927" spans="1:14" x14ac:dyDescent="0.3">
      <c r="A927" t="s">
        <v>1926</v>
      </c>
      <c r="B927" s="1">
        <v>45144</v>
      </c>
      <c r="C927" t="s">
        <v>1158</v>
      </c>
      <c r="D927" t="s">
        <v>18</v>
      </c>
      <c r="E927" t="s">
        <v>56</v>
      </c>
      <c r="F927" t="s">
        <v>73</v>
      </c>
      <c r="G927" t="s">
        <v>1148</v>
      </c>
      <c r="H927" s="8">
        <v>3149.59</v>
      </c>
      <c r="I927" s="8">
        <v>719.53</v>
      </c>
      <c r="J927" s="8">
        <v>0.14000000000000001</v>
      </c>
      <c r="K927" t="str">
        <f>IF(SalesData[[#This Row],[Profit]]&gt;0,"Profit","Loss")</f>
        <v>Profit</v>
      </c>
      <c r="L927" s="8">
        <f>SalesData[[#This Row],[Profit]]/SalesData[[#This Row],[Sales]]</f>
        <v>0.22845195723887871</v>
      </c>
      <c r="M927" t="str">
        <f>TEXT(SalesData[[#This Row],[Order_Date]],"mmm")</f>
        <v>Aug</v>
      </c>
      <c r="N927">
        <f>YEAR(SalesData[[#This Row],[Order_Date]])</f>
        <v>2023</v>
      </c>
    </row>
    <row r="928" spans="1:14" x14ac:dyDescent="0.3">
      <c r="A928" t="s">
        <v>1927</v>
      </c>
      <c r="B928" s="1">
        <v>45122</v>
      </c>
      <c r="C928" t="s">
        <v>1928</v>
      </c>
      <c r="D928" t="s">
        <v>28</v>
      </c>
      <c r="E928" t="s">
        <v>56</v>
      </c>
      <c r="F928" t="s">
        <v>73</v>
      </c>
      <c r="G928" t="s">
        <v>450</v>
      </c>
      <c r="H928" s="8">
        <v>1486.47</v>
      </c>
      <c r="I928" s="8">
        <v>9.34</v>
      </c>
      <c r="J928" s="8">
        <v>0.24</v>
      </c>
      <c r="K928" t="str">
        <f>IF(SalesData[[#This Row],[Profit]]&gt;0,"Profit","Loss")</f>
        <v>Profit</v>
      </c>
      <c r="L928" s="8">
        <f>SalesData[[#This Row],[Profit]]/SalesData[[#This Row],[Sales]]</f>
        <v>6.2833424152522414E-3</v>
      </c>
      <c r="M928" t="str">
        <f>TEXT(SalesData[[#This Row],[Order_Date]],"mmm")</f>
        <v>Jul</v>
      </c>
      <c r="N928">
        <f>YEAR(SalesData[[#This Row],[Order_Date]])</f>
        <v>2023</v>
      </c>
    </row>
    <row r="929" spans="1:14" x14ac:dyDescent="0.3">
      <c r="A929" t="s">
        <v>1929</v>
      </c>
      <c r="B929" s="1">
        <v>44653</v>
      </c>
      <c r="C929" t="s">
        <v>1750</v>
      </c>
      <c r="D929" t="s">
        <v>18</v>
      </c>
      <c r="E929" t="s">
        <v>19</v>
      </c>
      <c r="F929" t="s">
        <v>29</v>
      </c>
      <c r="G929" t="s">
        <v>971</v>
      </c>
      <c r="H929" s="8">
        <v>972.25</v>
      </c>
      <c r="I929" s="8">
        <v>28.5</v>
      </c>
      <c r="J929" s="8">
        <v>0.28999999999999998</v>
      </c>
      <c r="K929" t="str">
        <f>IF(SalesData[[#This Row],[Profit]]&gt;0,"Profit","Loss")</f>
        <v>Profit</v>
      </c>
      <c r="L929" s="8">
        <f>SalesData[[#This Row],[Profit]]/SalesData[[#This Row],[Sales]]</f>
        <v>2.9313448187194651E-2</v>
      </c>
      <c r="M929" t="str">
        <f>TEXT(SalesData[[#This Row],[Order_Date]],"mmm")</f>
        <v>Apr</v>
      </c>
      <c r="N929">
        <f>YEAR(SalesData[[#This Row],[Order_Date]])</f>
        <v>2022</v>
      </c>
    </row>
    <row r="930" spans="1:14" x14ac:dyDescent="0.3">
      <c r="A930" t="s">
        <v>1930</v>
      </c>
      <c r="B930" s="1">
        <v>44685</v>
      </c>
      <c r="C930" t="s">
        <v>1562</v>
      </c>
      <c r="D930" t="s">
        <v>28</v>
      </c>
      <c r="E930" t="s">
        <v>19</v>
      </c>
      <c r="F930" t="s">
        <v>29</v>
      </c>
      <c r="G930" t="s">
        <v>1191</v>
      </c>
      <c r="H930" s="8">
        <v>1496.19</v>
      </c>
      <c r="I930" s="8">
        <v>-56.2</v>
      </c>
      <c r="J930" s="8">
        <v>0.23</v>
      </c>
      <c r="K930" t="str">
        <f>IF(SalesData[[#This Row],[Profit]]&gt;0,"Profit","Loss")</f>
        <v>Loss</v>
      </c>
      <c r="L930" s="8">
        <f>SalesData[[#This Row],[Profit]]/SalesData[[#This Row],[Sales]]</f>
        <v>-3.7562074335478784E-2</v>
      </c>
      <c r="M930" t="str">
        <f>TEXT(SalesData[[#This Row],[Order_Date]],"mmm")</f>
        <v>May</v>
      </c>
      <c r="N930">
        <f>YEAR(SalesData[[#This Row],[Order_Date]])</f>
        <v>2022</v>
      </c>
    </row>
    <row r="931" spans="1:14" x14ac:dyDescent="0.3">
      <c r="A931" t="s">
        <v>1931</v>
      </c>
      <c r="B931" s="1">
        <v>44696</v>
      </c>
      <c r="C931" t="s">
        <v>1932</v>
      </c>
      <c r="D931" t="s">
        <v>12</v>
      </c>
      <c r="E931" t="s">
        <v>19</v>
      </c>
      <c r="F931" t="s">
        <v>141</v>
      </c>
      <c r="G931" t="s">
        <v>386</v>
      </c>
      <c r="H931" s="8">
        <v>4051.13</v>
      </c>
      <c r="I931" s="8">
        <v>490.09</v>
      </c>
      <c r="J931" s="8">
        <v>0.09</v>
      </c>
      <c r="K931" t="str">
        <f>IF(SalesData[[#This Row],[Profit]]&gt;0,"Profit","Loss")</f>
        <v>Profit</v>
      </c>
      <c r="L931" s="8">
        <f>SalesData[[#This Row],[Profit]]/SalesData[[#This Row],[Sales]]</f>
        <v>0.12097612271144099</v>
      </c>
      <c r="M931" t="str">
        <f>TEXT(SalesData[[#This Row],[Order_Date]],"mmm")</f>
        <v>May</v>
      </c>
      <c r="N931">
        <f>YEAR(SalesData[[#This Row],[Order_Date]])</f>
        <v>2022</v>
      </c>
    </row>
    <row r="932" spans="1:14" x14ac:dyDescent="0.3">
      <c r="A932" t="s">
        <v>1933</v>
      </c>
      <c r="B932" s="1">
        <v>44836</v>
      </c>
      <c r="C932" t="s">
        <v>1934</v>
      </c>
      <c r="D932" t="s">
        <v>28</v>
      </c>
      <c r="E932" t="s">
        <v>19</v>
      </c>
      <c r="F932" t="s">
        <v>141</v>
      </c>
      <c r="G932" t="s">
        <v>392</v>
      </c>
      <c r="H932" s="8">
        <v>1079.3699999999999</v>
      </c>
      <c r="I932" s="8">
        <v>-104.86</v>
      </c>
      <c r="J932" s="8">
        <v>0.13</v>
      </c>
      <c r="K932" t="str">
        <f>IF(SalesData[[#This Row],[Profit]]&gt;0,"Profit","Loss")</f>
        <v>Loss</v>
      </c>
      <c r="L932" s="8">
        <f>SalesData[[#This Row],[Profit]]/SalesData[[#This Row],[Sales]]</f>
        <v>-9.7149262996006944E-2</v>
      </c>
      <c r="M932" t="str">
        <f>TEXT(SalesData[[#This Row],[Order_Date]],"mmm")</f>
        <v>Oct</v>
      </c>
      <c r="N932">
        <f>YEAR(SalesData[[#This Row],[Order_Date]])</f>
        <v>2022</v>
      </c>
    </row>
    <row r="933" spans="1:14" x14ac:dyDescent="0.3">
      <c r="A933" t="s">
        <v>1935</v>
      </c>
      <c r="B933" s="1">
        <v>44603</v>
      </c>
      <c r="C933" t="s">
        <v>1936</v>
      </c>
      <c r="D933" t="s">
        <v>40</v>
      </c>
      <c r="E933" t="s">
        <v>19</v>
      </c>
      <c r="F933" t="s">
        <v>29</v>
      </c>
      <c r="G933" t="s">
        <v>1308</v>
      </c>
      <c r="H933" s="8">
        <v>3107.95</v>
      </c>
      <c r="I933" s="8">
        <v>-231.2</v>
      </c>
      <c r="J933" s="8">
        <v>0.13</v>
      </c>
      <c r="K933" t="str">
        <f>IF(SalesData[[#This Row],[Profit]]&gt;0,"Profit","Loss")</f>
        <v>Loss</v>
      </c>
      <c r="L933" s="8">
        <f>SalesData[[#This Row],[Profit]]/SalesData[[#This Row],[Sales]]</f>
        <v>-7.4389871136923053E-2</v>
      </c>
      <c r="M933" t="str">
        <f>TEXT(SalesData[[#This Row],[Order_Date]],"mmm")</f>
        <v>Feb</v>
      </c>
      <c r="N933">
        <f>YEAR(SalesData[[#This Row],[Order_Date]])</f>
        <v>2022</v>
      </c>
    </row>
    <row r="934" spans="1:14" x14ac:dyDescent="0.3">
      <c r="A934" t="s">
        <v>1937</v>
      </c>
      <c r="B934" s="1">
        <v>45069</v>
      </c>
      <c r="C934" t="s">
        <v>1938</v>
      </c>
      <c r="D934" t="s">
        <v>12</v>
      </c>
      <c r="E934" t="s">
        <v>19</v>
      </c>
      <c r="F934" t="s">
        <v>141</v>
      </c>
      <c r="G934" t="s">
        <v>479</v>
      </c>
      <c r="H934" s="8">
        <v>1198.73</v>
      </c>
      <c r="I934" s="8">
        <v>-379.95</v>
      </c>
      <c r="J934" s="8">
        <v>0.21</v>
      </c>
      <c r="K934" t="str">
        <f>IF(SalesData[[#This Row],[Profit]]&gt;0,"Profit","Loss")</f>
        <v>Loss</v>
      </c>
      <c r="L934" s="8">
        <f>SalesData[[#This Row],[Profit]]/SalesData[[#This Row],[Sales]]</f>
        <v>-0.31696044980938159</v>
      </c>
      <c r="M934" t="str">
        <f>TEXT(SalesData[[#This Row],[Order_Date]],"mmm")</f>
        <v>May</v>
      </c>
      <c r="N934">
        <f>YEAR(SalesData[[#This Row],[Order_Date]])</f>
        <v>2023</v>
      </c>
    </row>
    <row r="935" spans="1:14" x14ac:dyDescent="0.3">
      <c r="A935" t="s">
        <v>1939</v>
      </c>
      <c r="B935" s="1">
        <v>44692</v>
      </c>
      <c r="C935" t="s">
        <v>361</v>
      </c>
      <c r="D935" t="s">
        <v>40</v>
      </c>
      <c r="E935" t="s">
        <v>19</v>
      </c>
      <c r="F935" t="s">
        <v>29</v>
      </c>
      <c r="G935" t="s">
        <v>225</v>
      </c>
      <c r="H935" s="8">
        <v>488</v>
      </c>
      <c r="I935" s="8">
        <v>-126.76</v>
      </c>
      <c r="J935" s="8">
        <v>0.24</v>
      </c>
      <c r="K935" t="str">
        <f>IF(SalesData[[#This Row],[Profit]]&gt;0,"Profit","Loss")</f>
        <v>Loss</v>
      </c>
      <c r="L935" s="8">
        <f>SalesData[[#This Row],[Profit]]/SalesData[[#This Row],[Sales]]</f>
        <v>-0.25975409836065577</v>
      </c>
      <c r="M935" t="str">
        <f>TEXT(SalesData[[#This Row],[Order_Date]],"mmm")</f>
        <v>May</v>
      </c>
      <c r="N935">
        <f>YEAR(SalesData[[#This Row],[Order_Date]])</f>
        <v>2022</v>
      </c>
    </row>
    <row r="936" spans="1:14" x14ac:dyDescent="0.3">
      <c r="A936" t="s">
        <v>1940</v>
      </c>
      <c r="B936" s="1">
        <v>44608</v>
      </c>
      <c r="C936" t="s">
        <v>1936</v>
      </c>
      <c r="D936" t="s">
        <v>12</v>
      </c>
      <c r="E936" t="s">
        <v>56</v>
      </c>
      <c r="F936" t="s">
        <v>73</v>
      </c>
      <c r="G936" t="s">
        <v>1941</v>
      </c>
      <c r="H936" s="8">
        <v>2195.89</v>
      </c>
      <c r="I936" s="8">
        <v>-86.53</v>
      </c>
      <c r="J936" s="8">
        <v>0.17</v>
      </c>
      <c r="K936" t="str">
        <f>IF(SalesData[[#This Row],[Profit]]&gt;0,"Profit","Loss")</f>
        <v>Loss</v>
      </c>
      <c r="L936" s="8">
        <f>SalesData[[#This Row],[Profit]]/SalesData[[#This Row],[Sales]]</f>
        <v>-3.9405434698459398E-2</v>
      </c>
      <c r="M936" t="str">
        <f>TEXT(SalesData[[#This Row],[Order_Date]],"mmm")</f>
        <v>Feb</v>
      </c>
      <c r="N936">
        <f>YEAR(SalesData[[#This Row],[Order_Date]])</f>
        <v>2022</v>
      </c>
    </row>
    <row r="937" spans="1:14" x14ac:dyDescent="0.3">
      <c r="A937" t="s">
        <v>1942</v>
      </c>
      <c r="B937" s="1">
        <v>44821</v>
      </c>
      <c r="C937" t="s">
        <v>1037</v>
      </c>
      <c r="D937" t="s">
        <v>40</v>
      </c>
      <c r="E937" t="s">
        <v>19</v>
      </c>
      <c r="F937" t="s">
        <v>29</v>
      </c>
      <c r="G937" t="s">
        <v>1128</v>
      </c>
      <c r="H937" s="8">
        <v>562.97</v>
      </c>
      <c r="I937" s="8">
        <v>-33.17</v>
      </c>
      <c r="J937" s="8">
        <v>0.2</v>
      </c>
      <c r="K937" t="str">
        <f>IF(SalesData[[#This Row],[Profit]]&gt;0,"Profit","Loss")</f>
        <v>Loss</v>
      </c>
      <c r="L937" s="8">
        <f>SalesData[[#This Row],[Profit]]/SalesData[[#This Row],[Sales]]</f>
        <v>-5.8919658241114094E-2</v>
      </c>
      <c r="M937" t="str">
        <f>TEXT(SalesData[[#This Row],[Order_Date]],"mmm")</f>
        <v>Sep</v>
      </c>
      <c r="N937">
        <f>YEAR(SalesData[[#This Row],[Order_Date]])</f>
        <v>2022</v>
      </c>
    </row>
    <row r="938" spans="1:14" x14ac:dyDescent="0.3">
      <c r="A938" t="s">
        <v>1943</v>
      </c>
      <c r="B938" s="1">
        <v>44748</v>
      </c>
      <c r="C938" t="s">
        <v>1519</v>
      </c>
      <c r="D938" t="s">
        <v>12</v>
      </c>
      <c r="E938" t="s">
        <v>56</v>
      </c>
      <c r="F938" t="s">
        <v>73</v>
      </c>
      <c r="G938" t="s">
        <v>228</v>
      </c>
      <c r="H938" s="8">
        <v>179.72</v>
      </c>
      <c r="I938" s="8">
        <v>-25.57</v>
      </c>
      <c r="J938" s="8">
        <v>0.22</v>
      </c>
      <c r="K938" t="str">
        <f>IF(SalesData[[#This Row],[Profit]]&gt;0,"Profit","Loss")</f>
        <v>Loss</v>
      </c>
      <c r="L938" s="8">
        <f>SalesData[[#This Row],[Profit]]/SalesData[[#This Row],[Sales]]</f>
        <v>-0.14227687513910528</v>
      </c>
      <c r="M938" t="str">
        <f>TEXT(SalesData[[#This Row],[Order_Date]],"mmm")</f>
        <v>Jul</v>
      </c>
      <c r="N938">
        <f>YEAR(SalesData[[#This Row],[Order_Date]])</f>
        <v>2022</v>
      </c>
    </row>
    <row r="939" spans="1:14" x14ac:dyDescent="0.3">
      <c r="A939" t="s">
        <v>1944</v>
      </c>
      <c r="B939" s="1">
        <v>45248</v>
      </c>
      <c r="C939" t="s">
        <v>1945</v>
      </c>
      <c r="D939" t="s">
        <v>40</v>
      </c>
      <c r="E939" t="s">
        <v>19</v>
      </c>
      <c r="F939" t="s">
        <v>141</v>
      </c>
      <c r="G939" t="s">
        <v>1578</v>
      </c>
      <c r="H939" s="8">
        <v>1558.47</v>
      </c>
      <c r="I939" s="8">
        <v>-166.76</v>
      </c>
      <c r="J939" s="8">
        <v>0.18</v>
      </c>
      <c r="K939" t="str">
        <f>IF(SalesData[[#This Row],[Profit]]&gt;0,"Profit","Loss")</f>
        <v>Loss</v>
      </c>
      <c r="L939" s="8">
        <f>SalesData[[#This Row],[Profit]]/SalesData[[#This Row],[Sales]]</f>
        <v>-0.10700238053988848</v>
      </c>
      <c r="M939" t="str">
        <f>TEXT(SalesData[[#This Row],[Order_Date]],"mmm")</f>
        <v>Nov</v>
      </c>
      <c r="N939">
        <f>YEAR(SalesData[[#This Row],[Order_Date]])</f>
        <v>2023</v>
      </c>
    </row>
    <row r="940" spans="1:14" x14ac:dyDescent="0.3">
      <c r="A940" t="s">
        <v>1946</v>
      </c>
      <c r="B940" s="1">
        <v>45251</v>
      </c>
      <c r="C940" t="s">
        <v>250</v>
      </c>
      <c r="D940" t="s">
        <v>28</v>
      </c>
      <c r="E940" t="s">
        <v>56</v>
      </c>
      <c r="F940" t="s">
        <v>57</v>
      </c>
      <c r="G940" t="s">
        <v>1035</v>
      </c>
      <c r="H940" s="8">
        <v>1006.93</v>
      </c>
      <c r="I940" s="8">
        <v>-57.97</v>
      </c>
      <c r="J940" s="8">
        <v>0.22</v>
      </c>
      <c r="K940" t="str">
        <f>IF(SalesData[[#This Row],[Profit]]&gt;0,"Profit","Loss")</f>
        <v>Loss</v>
      </c>
      <c r="L940" s="8">
        <f>SalesData[[#This Row],[Profit]]/SalesData[[#This Row],[Sales]]</f>
        <v>-5.7571032743090382E-2</v>
      </c>
      <c r="M940" t="str">
        <f>TEXT(SalesData[[#This Row],[Order_Date]],"mmm")</f>
        <v>Nov</v>
      </c>
      <c r="N940">
        <f>YEAR(SalesData[[#This Row],[Order_Date]])</f>
        <v>2023</v>
      </c>
    </row>
    <row r="941" spans="1:14" x14ac:dyDescent="0.3">
      <c r="A941" t="s">
        <v>1947</v>
      </c>
      <c r="B941" s="1">
        <v>45033</v>
      </c>
      <c r="C941" t="s">
        <v>1215</v>
      </c>
      <c r="D941" t="s">
        <v>28</v>
      </c>
      <c r="E941" t="s">
        <v>56</v>
      </c>
      <c r="F941" t="s">
        <v>57</v>
      </c>
      <c r="G941" t="s">
        <v>925</v>
      </c>
      <c r="H941" s="8">
        <v>2035.18</v>
      </c>
      <c r="I941" s="8">
        <v>393.77</v>
      </c>
      <c r="J941" s="8">
        <v>0</v>
      </c>
      <c r="K941" t="str">
        <f>IF(SalesData[[#This Row],[Profit]]&gt;0,"Profit","Loss")</f>
        <v>Profit</v>
      </c>
      <c r="L941" s="8">
        <f>SalesData[[#This Row],[Profit]]/SalesData[[#This Row],[Sales]]</f>
        <v>0.19348165764207587</v>
      </c>
      <c r="M941" t="str">
        <f>TEXT(SalesData[[#This Row],[Order_Date]],"mmm")</f>
        <v>Apr</v>
      </c>
      <c r="N941">
        <f>YEAR(SalesData[[#This Row],[Order_Date]])</f>
        <v>2023</v>
      </c>
    </row>
    <row r="942" spans="1:14" x14ac:dyDescent="0.3">
      <c r="A942" t="s">
        <v>1948</v>
      </c>
      <c r="B942" s="1">
        <v>45193</v>
      </c>
      <c r="C942" t="s">
        <v>1949</v>
      </c>
      <c r="D942" t="s">
        <v>28</v>
      </c>
      <c r="E942" t="s">
        <v>13</v>
      </c>
      <c r="F942" t="s">
        <v>24</v>
      </c>
      <c r="G942" t="s">
        <v>398</v>
      </c>
      <c r="H942" s="8">
        <v>3049.25</v>
      </c>
      <c r="I942" s="8">
        <v>64.34</v>
      </c>
      <c r="J942" s="8">
        <v>0.15</v>
      </c>
      <c r="K942" t="str">
        <f>IF(SalesData[[#This Row],[Profit]]&gt;0,"Profit","Loss")</f>
        <v>Profit</v>
      </c>
      <c r="L942" s="8">
        <f>SalesData[[#This Row],[Profit]]/SalesData[[#This Row],[Sales]]</f>
        <v>2.1100270558334019E-2</v>
      </c>
      <c r="M942" t="str">
        <f>TEXT(SalesData[[#This Row],[Order_Date]],"mmm")</f>
        <v>Sep</v>
      </c>
      <c r="N942">
        <f>YEAR(SalesData[[#This Row],[Order_Date]])</f>
        <v>2023</v>
      </c>
    </row>
    <row r="943" spans="1:14" x14ac:dyDescent="0.3">
      <c r="A943" t="s">
        <v>1950</v>
      </c>
      <c r="B943" s="1">
        <v>44578</v>
      </c>
      <c r="C943" t="s">
        <v>1545</v>
      </c>
      <c r="D943" t="s">
        <v>18</v>
      </c>
      <c r="E943" t="s">
        <v>19</v>
      </c>
      <c r="F943" t="s">
        <v>20</v>
      </c>
      <c r="G943" t="s">
        <v>1732</v>
      </c>
      <c r="H943" s="8">
        <v>712.94</v>
      </c>
      <c r="I943" s="8">
        <v>-94.72</v>
      </c>
      <c r="J943" s="8">
        <v>0</v>
      </c>
      <c r="K943" t="str">
        <f>IF(SalesData[[#This Row],[Profit]]&gt;0,"Profit","Loss")</f>
        <v>Loss</v>
      </c>
      <c r="L943" s="8">
        <f>SalesData[[#This Row],[Profit]]/SalesData[[#This Row],[Sales]]</f>
        <v>-0.13285830504670798</v>
      </c>
      <c r="M943" t="str">
        <f>TEXT(SalesData[[#This Row],[Order_Date]],"mmm")</f>
        <v>Jan</v>
      </c>
      <c r="N943">
        <f>YEAR(SalesData[[#This Row],[Order_Date]])</f>
        <v>2022</v>
      </c>
    </row>
    <row r="944" spans="1:14" x14ac:dyDescent="0.3">
      <c r="A944" t="s">
        <v>1951</v>
      </c>
      <c r="B944" s="1">
        <v>45203</v>
      </c>
      <c r="C944" t="s">
        <v>221</v>
      </c>
      <c r="D944" t="s">
        <v>18</v>
      </c>
      <c r="E944" t="s">
        <v>56</v>
      </c>
      <c r="F944" t="s">
        <v>57</v>
      </c>
      <c r="G944" t="s">
        <v>1027</v>
      </c>
      <c r="H944" s="8">
        <v>2457.4699999999998</v>
      </c>
      <c r="I944" s="8">
        <v>-233.29</v>
      </c>
      <c r="J944" s="8">
        <v>0.04</v>
      </c>
      <c r="K944" t="str">
        <f>IF(SalesData[[#This Row],[Profit]]&gt;0,"Profit","Loss")</f>
        <v>Loss</v>
      </c>
      <c r="L944" s="8">
        <f>SalesData[[#This Row],[Profit]]/SalesData[[#This Row],[Sales]]</f>
        <v>-9.4930965586558544E-2</v>
      </c>
      <c r="M944" t="str">
        <f>TEXT(SalesData[[#This Row],[Order_Date]],"mmm")</f>
        <v>Oct</v>
      </c>
      <c r="N944">
        <f>YEAR(SalesData[[#This Row],[Order_Date]])</f>
        <v>2023</v>
      </c>
    </row>
    <row r="945" spans="1:14" x14ac:dyDescent="0.3">
      <c r="A945" t="s">
        <v>1952</v>
      </c>
      <c r="B945" s="1">
        <v>44718</v>
      </c>
      <c r="C945" t="s">
        <v>1953</v>
      </c>
      <c r="D945" t="s">
        <v>28</v>
      </c>
      <c r="E945" t="s">
        <v>19</v>
      </c>
      <c r="F945" t="s">
        <v>29</v>
      </c>
      <c r="G945" t="s">
        <v>1954</v>
      </c>
      <c r="H945" s="8">
        <v>826.01</v>
      </c>
      <c r="I945" s="8">
        <v>-214.87</v>
      </c>
      <c r="J945" s="8">
        <v>0.13</v>
      </c>
      <c r="K945" t="str">
        <f>IF(SalesData[[#This Row],[Profit]]&gt;0,"Profit","Loss")</f>
        <v>Loss</v>
      </c>
      <c r="L945" s="8">
        <f>SalesData[[#This Row],[Profit]]/SalesData[[#This Row],[Sales]]</f>
        <v>-0.26013002263895113</v>
      </c>
      <c r="M945" t="str">
        <f>TEXT(SalesData[[#This Row],[Order_Date]],"mmm")</f>
        <v>Jun</v>
      </c>
      <c r="N945">
        <f>YEAR(SalesData[[#This Row],[Order_Date]])</f>
        <v>2022</v>
      </c>
    </row>
    <row r="946" spans="1:14" x14ac:dyDescent="0.3">
      <c r="A946" t="s">
        <v>1955</v>
      </c>
      <c r="B946" s="1">
        <v>44863</v>
      </c>
      <c r="C946" t="s">
        <v>121</v>
      </c>
      <c r="D946" t="s">
        <v>28</v>
      </c>
      <c r="E946" t="s">
        <v>19</v>
      </c>
      <c r="F946" t="s">
        <v>29</v>
      </c>
      <c r="G946" t="s">
        <v>1956</v>
      </c>
      <c r="H946" s="8">
        <v>196.18</v>
      </c>
      <c r="I946" s="8">
        <v>-36.18</v>
      </c>
      <c r="J946" s="8">
        <v>0.13</v>
      </c>
      <c r="K946" t="str">
        <f>IF(SalesData[[#This Row],[Profit]]&gt;0,"Profit","Loss")</f>
        <v>Loss</v>
      </c>
      <c r="L946" s="8">
        <f>SalesData[[#This Row],[Profit]]/SalesData[[#This Row],[Sales]]</f>
        <v>-0.1844224691609746</v>
      </c>
      <c r="M946" t="str">
        <f>TEXT(SalesData[[#This Row],[Order_Date]],"mmm")</f>
        <v>Oct</v>
      </c>
      <c r="N946">
        <f>YEAR(SalesData[[#This Row],[Order_Date]])</f>
        <v>2022</v>
      </c>
    </row>
    <row r="947" spans="1:14" x14ac:dyDescent="0.3">
      <c r="A947" t="s">
        <v>1957</v>
      </c>
      <c r="B947" s="1">
        <v>44987</v>
      </c>
      <c r="C947" t="s">
        <v>319</v>
      </c>
      <c r="D947" t="s">
        <v>40</v>
      </c>
      <c r="E947" t="s">
        <v>19</v>
      </c>
      <c r="F947" t="s">
        <v>20</v>
      </c>
      <c r="G947" t="s">
        <v>572</v>
      </c>
      <c r="H947" s="8">
        <v>603.04999999999995</v>
      </c>
      <c r="I947" s="8">
        <v>-115.14</v>
      </c>
      <c r="J947" s="8">
        <v>0.25</v>
      </c>
      <c r="K947" t="str">
        <f>IF(SalesData[[#This Row],[Profit]]&gt;0,"Profit","Loss")</f>
        <v>Loss</v>
      </c>
      <c r="L947" s="8">
        <f>SalesData[[#This Row],[Profit]]/SalesData[[#This Row],[Sales]]</f>
        <v>-0.19092944200315068</v>
      </c>
      <c r="M947" t="str">
        <f>TEXT(SalesData[[#This Row],[Order_Date]],"mmm")</f>
        <v>Mar</v>
      </c>
      <c r="N947">
        <f>YEAR(SalesData[[#This Row],[Order_Date]])</f>
        <v>2023</v>
      </c>
    </row>
    <row r="948" spans="1:14" x14ac:dyDescent="0.3">
      <c r="A948" t="s">
        <v>1958</v>
      </c>
      <c r="B948" s="1">
        <v>45256</v>
      </c>
      <c r="C948" t="s">
        <v>1959</v>
      </c>
      <c r="D948" t="s">
        <v>18</v>
      </c>
      <c r="E948" t="s">
        <v>19</v>
      </c>
      <c r="F948" t="s">
        <v>29</v>
      </c>
      <c r="G948" t="s">
        <v>1960</v>
      </c>
      <c r="H948" s="8">
        <v>2481.89</v>
      </c>
      <c r="I948" s="8">
        <v>-32.520000000000003</v>
      </c>
      <c r="J948" s="8">
        <v>0.18</v>
      </c>
      <c r="K948" t="str">
        <f>IF(SalesData[[#This Row],[Profit]]&gt;0,"Profit","Loss")</f>
        <v>Loss</v>
      </c>
      <c r="L948" s="8">
        <f>SalesData[[#This Row],[Profit]]/SalesData[[#This Row],[Sales]]</f>
        <v>-1.3102917534620794E-2</v>
      </c>
      <c r="M948" t="str">
        <f>TEXT(SalesData[[#This Row],[Order_Date]],"mmm")</f>
        <v>Nov</v>
      </c>
      <c r="N948">
        <f>YEAR(SalesData[[#This Row],[Order_Date]])</f>
        <v>2023</v>
      </c>
    </row>
    <row r="949" spans="1:14" x14ac:dyDescent="0.3">
      <c r="A949" t="s">
        <v>1961</v>
      </c>
      <c r="B949" s="1">
        <v>44836</v>
      </c>
      <c r="C949" t="s">
        <v>408</v>
      </c>
      <c r="D949" t="s">
        <v>28</v>
      </c>
      <c r="E949" t="s">
        <v>56</v>
      </c>
      <c r="F949" t="s">
        <v>73</v>
      </c>
      <c r="G949" t="s">
        <v>706</v>
      </c>
      <c r="H949" s="8">
        <v>193.2</v>
      </c>
      <c r="I949" s="8">
        <v>-7.35</v>
      </c>
      <c r="J949" s="8">
        <v>0.17</v>
      </c>
      <c r="K949" t="str">
        <f>IF(SalesData[[#This Row],[Profit]]&gt;0,"Profit","Loss")</f>
        <v>Loss</v>
      </c>
      <c r="L949" s="8">
        <f>SalesData[[#This Row],[Profit]]/SalesData[[#This Row],[Sales]]</f>
        <v>-3.8043478260869568E-2</v>
      </c>
      <c r="M949" t="str">
        <f>TEXT(SalesData[[#This Row],[Order_Date]],"mmm")</f>
        <v>Oct</v>
      </c>
      <c r="N949">
        <f>YEAR(SalesData[[#This Row],[Order_Date]])</f>
        <v>2022</v>
      </c>
    </row>
    <row r="950" spans="1:14" x14ac:dyDescent="0.3">
      <c r="A950" t="s">
        <v>1962</v>
      </c>
      <c r="B950" s="1">
        <v>45276</v>
      </c>
      <c r="C950" t="s">
        <v>484</v>
      </c>
      <c r="D950" t="s">
        <v>12</v>
      </c>
      <c r="E950" t="s">
        <v>19</v>
      </c>
      <c r="F950" t="s">
        <v>20</v>
      </c>
      <c r="G950" t="s">
        <v>1274</v>
      </c>
      <c r="H950" s="8">
        <v>2524.4699999999998</v>
      </c>
      <c r="I950" s="8">
        <v>-686.51</v>
      </c>
      <c r="J950" s="8">
        <v>0.28000000000000003</v>
      </c>
      <c r="K950" t="str">
        <f>IF(SalesData[[#This Row],[Profit]]&gt;0,"Profit","Loss")</f>
        <v>Loss</v>
      </c>
      <c r="L950" s="8">
        <f>SalesData[[#This Row],[Profit]]/SalesData[[#This Row],[Sales]]</f>
        <v>-0.27194222945806451</v>
      </c>
      <c r="M950" t="str">
        <f>TEXT(SalesData[[#This Row],[Order_Date]],"mmm")</f>
        <v>Dec</v>
      </c>
      <c r="N950">
        <f>YEAR(SalesData[[#This Row],[Order_Date]])</f>
        <v>2023</v>
      </c>
    </row>
    <row r="951" spans="1:14" x14ac:dyDescent="0.3">
      <c r="A951" t="s">
        <v>1963</v>
      </c>
      <c r="B951" s="1">
        <v>44786</v>
      </c>
      <c r="C951" t="s">
        <v>311</v>
      </c>
      <c r="D951" t="s">
        <v>40</v>
      </c>
      <c r="E951" t="s">
        <v>19</v>
      </c>
      <c r="F951" t="s">
        <v>141</v>
      </c>
      <c r="G951" t="s">
        <v>1563</v>
      </c>
      <c r="H951" s="8">
        <v>1041.79</v>
      </c>
      <c r="I951" s="8">
        <v>-167.46</v>
      </c>
      <c r="J951" s="8">
        <v>0.1</v>
      </c>
      <c r="K951" t="str">
        <f>IF(SalesData[[#This Row],[Profit]]&gt;0,"Profit","Loss")</f>
        <v>Loss</v>
      </c>
      <c r="L951" s="8">
        <f>SalesData[[#This Row],[Profit]]/SalesData[[#This Row],[Sales]]</f>
        <v>-0.16074256807993934</v>
      </c>
      <c r="M951" t="str">
        <f>TEXT(SalesData[[#This Row],[Order_Date]],"mmm")</f>
        <v>Aug</v>
      </c>
      <c r="N951">
        <f>YEAR(SalesData[[#This Row],[Order_Date]])</f>
        <v>2022</v>
      </c>
    </row>
    <row r="952" spans="1:14" x14ac:dyDescent="0.3">
      <c r="A952" t="s">
        <v>1964</v>
      </c>
      <c r="B952" s="1">
        <v>45290</v>
      </c>
      <c r="C952" t="s">
        <v>1851</v>
      </c>
      <c r="D952" t="s">
        <v>28</v>
      </c>
      <c r="E952" t="s">
        <v>13</v>
      </c>
      <c r="F952" t="s">
        <v>24</v>
      </c>
      <c r="G952" t="s">
        <v>386</v>
      </c>
      <c r="H952" s="8">
        <v>3319.09</v>
      </c>
      <c r="I952" s="8">
        <v>-212.3</v>
      </c>
      <c r="J952" s="8">
        <v>0.04</v>
      </c>
      <c r="K952" t="str">
        <f>IF(SalesData[[#This Row],[Profit]]&gt;0,"Profit","Loss")</f>
        <v>Loss</v>
      </c>
      <c r="L952" s="8">
        <f>SalesData[[#This Row],[Profit]]/SalesData[[#This Row],[Sales]]</f>
        <v>-6.3963315246046357E-2</v>
      </c>
      <c r="M952" t="str">
        <f>TEXT(SalesData[[#This Row],[Order_Date]],"mmm")</f>
        <v>Dec</v>
      </c>
      <c r="N952">
        <f>YEAR(SalesData[[#This Row],[Order_Date]])</f>
        <v>2023</v>
      </c>
    </row>
    <row r="953" spans="1:14" x14ac:dyDescent="0.3">
      <c r="A953" t="s">
        <v>1965</v>
      </c>
      <c r="B953" s="1">
        <v>44727</v>
      </c>
      <c r="C953" t="s">
        <v>1966</v>
      </c>
      <c r="D953" t="s">
        <v>18</v>
      </c>
      <c r="E953" t="s">
        <v>13</v>
      </c>
      <c r="F953" t="s">
        <v>24</v>
      </c>
      <c r="G953" t="s">
        <v>1967</v>
      </c>
      <c r="H953" s="8">
        <v>3699.46</v>
      </c>
      <c r="I953" s="8">
        <v>147.43</v>
      </c>
      <c r="J953" s="8">
        <v>0.24</v>
      </c>
      <c r="K953" t="str">
        <f>IF(SalesData[[#This Row],[Profit]]&gt;0,"Profit","Loss")</f>
        <v>Profit</v>
      </c>
      <c r="L953" s="8">
        <f>SalesData[[#This Row],[Profit]]/SalesData[[#This Row],[Sales]]</f>
        <v>3.9851762149070408E-2</v>
      </c>
      <c r="M953" t="str">
        <f>TEXT(SalesData[[#This Row],[Order_Date]],"mmm")</f>
        <v>Jun</v>
      </c>
      <c r="N953">
        <f>YEAR(SalesData[[#This Row],[Order_Date]])</f>
        <v>2022</v>
      </c>
    </row>
    <row r="954" spans="1:14" x14ac:dyDescent="0.3">
      <c r="A954" t="s">
        <v>1968</v>
      </c>
      <c r="B954" s="1">
        <v>44722</v>
      </c>
      <c r="C954" t="s">
        <v>385</v>
      </c>
      <c r="D954" t="s">
        <v>28</v>
      </c>
      <c r="E954" t="s">
        <v>13</v>
      </c>
      <c r="F954" t="s">
        <v>24</v>
      </c>
      <c r="G954" t="s">
        <v>274</v>
      </c>
      <c r="H954" s="8">
        <v>522.34</v>
      </c>
      <c r="I954" s="8">
        <v>-123.29</v>
      </c>
      <c r="J954" s="8">
        <v>0.14000000000000001</v>
      </c>
      <c r="K954" t="str">
        <f>IF(SalesData[[#This Row],[Profit]]&gt;0,"Profit","Loss")</f>
        <v>Loss</v>
      </c>
      <c r="L954" s="8">
        <f>SalesData[[#This Row],[Profit]]/SalesData[[#This Row],[Sales]]</f>
        <v>-0.2360340008423632</v>
      </c>
      <c r="M954" t="str">
        <f>TEXT(SalesData[[#This Row],[Order_Date]],"mmm")</f>
        <v>Jun</v>
      </c>
      <c r="N954">
        <f>YEAR(SalesData[[#This Row],[Order_Date]])</f>
        <v>2022</v>
      </c>
    </row>
    <row r="955" spans="1:14" x14ac:dyDescent="0.3">
      <c r="A955" t="s">
        <v>1969</v>
      </c>
      <c r="B955" s="1">
        <v>44580</v>
      </c>
      <c r="C955" t="s">
        <v>1932</v>
      </c>
      <c r="D955" t="s">
        <v>40</v>
      </c>
      <c r="E955" t="s">
        <v>19</v>
      </c>
      <c r="F955" t="s">
        <v>29</v>
      </c>
      <c r="G955" t="s">
        <v>1970</v>
      </c>
      <c r="H955" s="8">
        <v>1587.89</v>
      </c>
      <c r="I955" s="8">
        <v>-368.03</v>
      </c>
      <c r="J955" s="8">
        <v>0.06</v>
      </c>
      <c r="K955" t="str">
        <f>IF(SalesData[[#This Row],[Profit]]&gt;0,"Profit","Loss")</f>
        <v>Loss</v>
      </c>
      <c r="L955" s="8">
        <f>SalesData[[#This Row],[Profit]]/SalesData[[#This Row],[Sales]]</f>
        <v>-0.23177298175566313</v>
      </c>
      <c r="M955" t="str">
        <f>TEXT(SalesData[[#This Row],[Order_Date]],"mmm")</f>
        <v>Jan</v>
      </c>
      <c r="N955">
        <f>YEAR(SalesData[[#This Row],[Order_Date]])</f>
        <v>2022</v>
      </c>
    </row>
    <row r="956" spans="1:14" x14ac:dyDescent="0.3">
      <c r="A956" t="s">
        <v>1971</v>
      </c>
      <c r="B956" s="1">
        <v>44627</v>
      </c>
      <c r="C956" t="s">
        <v>1972</v>
      </c>
      <c r="D956" t="s">
        <v>28</v>
      </c>
      <c r="E956" t="s">
        <v>13</v>
      </c>
      <c r="F956" t="s">
        <v>14</v>
      </c>
      <c r="G956" t="s">
        <v>457</v>
      </c>
      <c r="H956" s="8">
        <v>956.1</v>
      </c>
      <c r="I956" s="8">
        <v>-150.97999999999999</v>
      </c>
      <c r="J956" s="8">
        <v>0.26</v>
      </c>
      <c r="K956" t="str">
        <f>IF(SalesData[[#This Row],[Profit]]&gt;0,"Profit","Loss")</f>
        <v>Loss</v>
      </c>
      <c r="L956" s="8">
        <f>SalesData[[#This Row],[Profit]]/SalesData[[#This Row],[Sales]]</f>
        <v>-0.15791235226440747</v>
      </c>
      <c r="M956" t="str">
        <f>TEXT(SalesData[[#This Row],[Order_Date]],"mmm")</f>
        <v>Mar</v>
      </c>
      <c r="N956">
        <f>YEAR(SalesData[[#This Row],[Order_Date]])</f>
        <v>2022</v>
      </c>
    </row>
    <row r="957" spans="1:14" x14ac:dyDescent="0.3">
      <c r="A957" t="s">
        <v>1973</v>
      </c>
      <c r="B957" s="1">
        <v>44910</v>
      </c>
      <c r="C957" t="s">
        <v>1037</v>
      </c>
      <c r="D957" t="s">
        <v>12</v>
      </c>
      <c r="E957" t="s">
        <v>13</v>
      </c>
      <c r="F957" t="s">
        <v>14</v>
      </c>
      <c r="G957" t="s">
        <v>1974</v>
      </c>
      <c r="H957" s="8">
        <v>691.37</v>
      </c>
      <c r="I957" s="8">
        <v>-79.72</v>
      </c>
      <c r="J957" s="8">
        <v>7.0000000000000007E-2</v>
      </c>
      <c r="K957" t="str">
        <f>IF(SalesData[[#This Row],[Profit]]&gt;0,"Profit","Loss")</f>
        <v>Loss</v>
      </c>
      <c r="L957" s="8">
        <f>SalesData[[#This Row],[Profit]]/SalesData[[#This Row],[Sales]]</f>
        <v>-0.11530728842732545</v>
      </c>
      <c r="M957" t="str">
        <f>TEXT(SalesData[[#This Row],[Order_Date]],"mmm")</f>
        <v>Dec</v>
      </c>
      <c r="N957">
        <f>YEAR(SalesData[[#This Row],[Order_Date]])</f>
        <v>2022</v>
      </c>
    </row>
    <row r="958" spans="1:14" x14ac:dyDescent="0.3">
      <c r="A958" t="s">
        <v>1975</v>
      </c>
      <c r="B958" s="1">
        <v>45180</v>
      </c>
      <c r="C958" t="s">
        <v>1976</v>
      </c>
      <c r="D958" t="s">
        <v>12</v>
      </c>
      <c r="E958" t="s">
        <v>13</v>
      </c>
      <c r="F958" t="s">
        <v>36</v>
      </c>
      <c r="G958" t="s">
        <v>1550</v>
      </c>
      <c r="H958" s="8">
        <v>4491.96</v>
      </c>
      <c r="I958" s="8">
        <v>288.45999999999998</v>
      </c>
      <c r="J958" s="8">
        <v>0.26</v>
      </c>
      <c r="K958" t="str">
        <f>IF(SalesData[[#This Row],[Profit]]&gt;0,"Profit","Loss")</f>
        <v>Profit</v>
      </c>
      <c r="L958" s="8">
        <f>SalesData[[#This Row],[Profit]]/SalesData[[#This Row],[Sales]]</f>
        <v>6.4216956517867477E-2</v>
      </c>
      <c r="M958" t="str">
        <f>TEXT(SalesData[[#This Row],[Order_Date]],"mmm")</f>
        <v>Sep</v>
      </c>
      <c r="N958">
        <f>YEAR(SalesData[[#This Row],[Order_Date]])</f>
        <v>2023</v>
      </c>
    </row>
    <row r="959" spans="1:14" x14ac:dyDescent="0.3">
      <c r="A959" t="s">
        <v>1977</v>
      </c>
      <c r="B959" s="1">
        <v>44670</v>
      </c>
      <c r="C959" t="s">
        <v>536</v>
      </c>
      <c r="D959" t="s">
        <v>12</v>
      </c>
      <c r="E959" t="s">
        <v>56</v>
      </c>
      <c r="F959" t="s">
        <v>95</v>
      </c>
      <c r="G959" t="s">
        <v>1016</v>
      </c>
      <c r="H959" s="8">
        <v>4015.04</v>
      </c>
      <c r="I959" s="8">
        <v>-146.72</v>
      </c>
      <c r="J959" s="8">
        <v>0.28999999999999998</v>
      </c>
      <c r="K959" t="str">
        <f>IF(SalesData[[#This Row],[Profit]]&gt;0,"Profit","Loss")</f>
        <v>Loss</v>
      </c>
      <c r="L959" s="8">
        <f>SalesData[[#This Row],[Profit]]/SalesData[[#This Row],[Sales]]</f>
        <v>-3.654259982465928E-2</v>
      </c>
      <c r="M959" t="str">
        <f>TEXT(SalesData[[#This Row],[Order_Date]],"mmm")</f>
        <v>Apr</v>
      </c>
      <c r="N959">
        <f>YEAR(SalesData[[#This Row],[Order_Date]])</f>
        <v>2022</v>
      </c>
    </row>
    <row r="960" spans="1:14" x14ac:dyDescent="0.3">
      <c r="A960" t="s">
        <v>1978</v>
      </c>
      <c r="B960" s="1">
        <v>44772</v>
      </c>
      <c r="C960" t="s">
        <v>490</v>
      </c>
      <c r="D960" t="s">
        <v>18</v>
      </c>
      <c r="E960" t="s">
        <v>13</v>
      </c>
      <c r="F960" t="s">
        <v>14</v>
      </c>
      <c r="G960" t="s">
        <v>584</v>
      </c>
      <c r="H960" s="8">
        <v>2585.8000000000002</v>
      </c>
      <c r="I960" s="8">
        <v>-463.28</v>
      </c>
      <c r="J960" s="8">
        <v>0.05</v>
      </c>
      <c r="K960" t="str">
        <f>IF(SalesData[[#This Row],[Profit]]&gt;0,"Profit","Loss")</f>
        <v>Loss</v>
      </c>
      <c r="L960" s="8">
        <f>SalesData[[#This Row],[Profit]]/SalesData[[#This Row],[Sales]]</f>
        <v>-0.17916312166447518</v>
      </c>
      <c r="M960" t="str">
        <f>TEXT(SalesData[[#This Row],[Order_Date]],"mmm")</f>
        <v>Jul</v>
      </c>
      <c r="N960">
        <f>YEAR(SalesData[[#This Row],[Order_Date]])</f>
        <v>2022</v>
      </c>
    </row>
    <row r="961" spans="1:14" x14ac:dyDescent="0.3">
      <c r="A961" t="s">
        <v>1979</v>
      </c>
      <c r="B961" s="1">
        <v>44663</v>
      </c>
      <c r="C961" t="s">
        <v>1259</v>
      </c>
      <c r="D961" t="s">
        <v>40</v>
      </c>
      <c r="E961" t="s">
        <v>19</v>
      </c>
      <c r="F961" t="s">
        <v>141</v>
      </c>
      <c r="G961" t="s">
        <v>1980</v>
      </c>
      <c r="H961" s="8">
        <v>2263.44</v>
      </c>
      <c r="I961" s="8">
        <v>202.65</v>
      </c>
      <c r="J961" s="8">
        <v>0.15</v>
      </c>
      <c r="K961" t="str">
        <f>IF(SalesData[[#This Row],[Profit]]&gt;0,"Profit","Loss")</f>
        <v>Profit</v>
      </c>
      <c r="L961" s="8">
        <f>SalesData[[#This Row],[Profit]]/SalesData[[#This Row],[Sales]]</f>
        <v>8.9531863004983558E-2</v>
      </c>
      <c r="M961" t="str">
        <f>TEXT(SalesData[[#This Row],[Order_Date]],"mmm")</f>
        <v>Apr</v>
      </c>
      <c r="N961">
        <f>YEAR(SalesData[[#This Row],[Order_Date]])</f>
        <v>2022</v>
      </c>
    </row>
    <row r="962" spans="1:14" x14ac:dyDescent="0.3">
      <c r="A962" t="s">
        <v>1981</v>
      </c>
      <c r="B962" s="1">
        <v>44568</v>
      </c>
      <c r="C962" t="s">
        <v>256</v>
      </c>
      <c r="D962" t="s">
        <v>28</v>
      </c>
      <c r="E962" t="s">
        <v>56</v>
      </c>
      <c r="F962" t="s">
        <v>57</v>
      </c>
      <c r="G962" t="s">
        <v>1578</v>
      </c>
      <c r="H962" s="8">
        <v>4258.12</v>
      </c>
      <c r="I962" s="8">
        <v>-342.99</v>
      </c>
      <c r="J962" s="8">
        <v>0.13</v>
      </c>
      <c r="K962" t="str">
        <f>IF(SalesData[[#This Row],[Profit]]&gt;0,"Profit","Loss")</f>
        <v>Loss</v>
      </c>
      <c r="L962" s="8">
        <f>SalesData[[#This Row],[Profit]]/SalesData[[#This Row],[Sales]]</f>
        <v>-8.0549632232064863E-2</v>
      </c>
      <c r="M962" t="str">
        <f>TEXT(SalesData[[#This Row],[Order_Date]],"mmm")</f>
        <v>Jan</v>
      </c>
      <c r="N962">
        <f>YEAR(SalesData[[#This Row],[Order_Date]])</f>
        <v>2022</v>
      </c>
    </row>
    <row r="963" spans="1:14" x14ac:dyDescent="0.3">
      <c r="A963" t="s">
        <v>1982</v>
      </c>
      <c r="B963" s="1">
        <v>44986</v>
      </c>
      <c r="C963" t="s">
        <v>1949</v>
      </c>
      <c r="D963" t="s">
        <v>18</v>
      </c>
      <c r="E963" t="s">
        <v>19</v>
      </c>
      <c r="F963" t="s">
        <v>141</v>
      </c>
      <c r="G963" t="s">
        <v>214</v>
      </c>
      <c r="H963" s="8">
        <v>939.18</v>
      </c>
      <c r="I963" s="8">
        <v>140.05000000000001</v>
      </c>
      <c r="J963" s="8">
        <v>0.08</v>
      </c>
      <c r="K963" t="str">
        <f>IF(SalesData[[#This Row],[Profit]]&gt;0,"Profit","Loss")</f>
        <v>Profit</v>
      </c>
      <c r="L963" s="8">
        <f>SalesData[[#This Row],[Profit]]/SalesData[[#This Row],[Sales]]</f>
        <v>0.14911944462190424</v>
      </c>
      <c r="M963" t="str">
        <f>TEXT(SalesData[[#This Row],[Order_Date]],"mmm")</f>
        <v>Mar</v>
      </c>
      <c r="N963">
        <f>YEAR(SalesData[[#This Row],[Order_Date]])</f>
        <v>2023</v>
      </c>
    </row>
    <row r="964" spans="1:14" x14ac:dyDescent="0.3">
      <c r="A964" t="s">
        <v>1983</v>
      </c>
      <c r="B964" s="1">
        <v>44981</v>
      </c>
      <c r="C964" t="s">
        <v>52</v>
      </c>
      <c r="D964" t="s">
        <v>40</v>
      </c>
      <c r="E964" t="s">
        <v>13</v>
      </c>
      <c r="F964" t="s">
        <v>36</v>
      </c>
      <c r="G964" t="s">
        <v>148</v>
      </c>
      <c r="H964" s="8">
        <v>3957.36</v>
      </c>
      <c r="I964" s="8">
        <v>68.44</v>
      </c>
      <c r="J964" s="8">
        <v>0.04</v>
      </c>
      <c r="K964" t="str">
        <f>IF(SalesData[[#This Row],[Profit]]&gt;0,"Profit","Loss")</f>
        <v>Profit</v>
      </c>
      <c r="L964" s="8">
        <f>SalesData[[#This Row],[Profit]]/SalesData[[#This Row],[Sales]]</f>
        <v>1.7294357854731435E-2</v>
      </c>
      <c r="M964" t="str">
        <f>TEXT(SalesData[[#This Row],[Order_Date]],"mmm")</f>
        <v>Feb</v>
      </c>
      <c r="N964">
        <f>YEAR(SalesData[[#This Row],[Order_Date]])</f>
        <v>2023</v>
      </c>
    </row>
    <row r="965" spans="1:14" x14ac:dyDescent="0.3">
      <c r="A965" t="s">
        <v>1984</v>
      </c>
      <c r="B965" s="1">
        <v>44633</v>
      </c>
      <c r="C965" t="s">
        <v>1985</v>
      </c>
      <c r="D965" t="s">
        <v>40</v>
      </c>
      <c r="E965" t="s">
        <v>56</v>
      </c>
      <c r="F965" t="s">
        <v>95</v>
      </c>
      <c r="G965" t="s">
        <v>128</v>
      </c>
      <c r="H965" s="8">
        <v>813.36</v>
      </c>
      <c r="I965" s="8">
        <v>230.79</v>
      </c>
      <c r="J965" s="8">
        <v>0</v>
      </c>
      <c r="K965" t="str">
        <f>IF(SalesData[[#This Row],[Profit]]&gt;0,"Profit","Loss")</f>
        <v>Profit</v>
      </c>
      <c r="L965" s="8">
        <f>SalesData[[#This Row],[Profit]]/SalesData[[#This Row],[Sales]]</f>
        <v>0.28374889347890231</v>
      </c>
      <c r="M965" t="str">
        <f>TEXT(SalesData[[#This Row],[Order_Date]],"mmm")</f>
        <v>Mar</v>
      </c>
      <c r="N965">
        <f>YEAR(SalesData[[#This Row],[Order_Date]])</f>
        <v>2022</v>
      </c>
    </row>
    <row r="966" spans="1:14" x14ac:dyDescent="0.3">
      <c r="A966" t="s">
        <v>1986</v>
      </c>
      <c r="B966" s="1">
        <v>45218</v>
      </c>
      <c r="C966" t="s">
        <v>1987</v>
      </c>
      <c r="D966" t="s">
        <v>12</v>
      </c>
      <c r="E966" t="s">
        <v>19</v>
      </c>
      <c r="F966" t="s">
        <v>20</v>
      </c>
      <c r="G966" t="s">
        <v>1988</v>
      </c>
      <c r="H966" s="8">
        <v>2226.9499999999998</v>
      </c>
      <c r="I966" s="8">
        <v>-663.06</v>
      </c>
      <c r="J966" s="8">
        <v>0.12</v>
      </c>
      <c r="K966" t="str">
        <f>IF(SalesData[[#This Row],[Profit]]&gt;0,"Profit","Loss")</f>
        <v>Loss</v>
      </c>
      <c r="L966" s="8">
        <f>SalesData[[#This Row],[Profit]]/SalesData[[#This Row],[Sales]]</f>
        <v>-0.2977435505961068</v>
      </c>
      <c r="M966" t="str">
        <f>TEXT(SalesData[[#This Row],[Order_Date]],"mmm")</f>
        <v>Oct</v>
      </c>
      <c r="N966">
        <f>YEAR(SalesData[[#This Row],[Order_Date]])</f>
        <v>2023</v>
      </c>
    </row>
    <row r="967" spans="1:14" x14ac:dyDescent="0.3">
      <c r="A967" t="s">
        <v>1989</v>
      </c>
      <c r="B967" s="1">
        <v>45259</v>
      </c>
      <c r="C967" t="s">
        <v>1003</v>
      </c>
      <c r="D967" t="s">
        <v>40</v>
      </c>
      <c r="E967" t="s">
        <v>13</v>
      </c>
      <c r="F967" t="s">
        <v>24</v>
      </c>
      <c r="G967" t="s">
        <v>534</v>
      </c>
      <c r="H967" s="8">
        <v>4391.49</v>
      </c>
      <c r="I967" s="8">
        <v>-1047.01</v>
      </c>
      <c r="J967" s="8">
        <v>0.28999999999999998</v>
      </c>
      <c r="K967" t="str">
        <f>IF(SalesData[[#This Row],[Profit]]&gt;0,"Profit","Loss")</f>
        <v>Loss</v>
      </c>
      <c r="L967" s="8">
        <f>SalesData[[#This Row],[Profit]]/SalesData[[#This Row],[Sales]]</f>
        <v>-0.2384179401524312</v>
      </c>
      <c r="M967" t="str">
        <f>TEXT(SalesData[[#This Row],[Order_Date]],"mmm")</f>
        <v>Nov</v>
      </c>
      <c r="N967">
        <f>YEAR(SalesData[[#This Row],[Order_Date]])</f>
        <v>2023</v>
      </c>
    </row>
    <row r="968" spans="1:14" x14ac:dyDescent="0.3">
      <c r="A968" t="s">
        <v>1990</v>
      </c>
      <c r="B968" s="1">
        <v>45102</v>
      </c>
      <c r="C968" t="s">
        <v>536</v>
      </c>
      <c r="D968" t="s">
        <v>18</v>
      </c>
      <c r="E968" t="s">
        <v>13</v>
      </c>
      <c r="F968" t="s">
        <v>36</v>
      </c>
      <c r="G968" t="s">
        <v>306</v>
      </c>
      <c r="H968" s="8">
        <v>4555.2299999999996</v>
      </c>
      <c r="I968" s="8">
        <v>-146.37</v>
      </c>
      <c r="J968" s="8">
        <v>0</v>
      </c>
      <c r="K968" t="str">
        <f>IF(SalesData[[#This Row],[Profit]]&gt;0,"Profit","Loss")</f>
        <v>Loss</v>
      </c>
      <c r="L968" s="8">
        <f>SalesData[[#This Row],[Profit]]/SalesData[[#This Row],[Sales]]</f>
        <v>-3.2132296283612465E-2</v>
      </c>
      <c r="M968" t="str">
        <f>TEXT(SalesData[[#This Row],[Order_Date]],"mmm")</f>
        <v>Jun</v>
      </c>
      <c r="N968">
        <f>YEAR(SalesData[[#This Row],[Order_Date]])</f>
        <v>2023</v>
      </c>
    </row>
    <row r="969" spans="1:14" x14ac:dyDescent="0.3">
      <c r="A969" t="s">
        <v>1991</v>
      </c>
      <c r="B969" s="1">
        <v>45195</v>
      </c>
      <c r="C969" t="s">
        <v>314</v>
      </c>
      <c r="D969" t="s">
        <v>28</v>
      </c>
      <c r="E969" t="s">
        <v>19</v>
      </c>
      <c r="F969" t="s">
        <v>29</v>
      </c>
      <c r="G969" t="s">
        <v>25</v>
      </c>
      <c r="H969" s="8">
        <v>3255.01</v>
      </c>
      <c r="I969" s="8">
        <v>-310.48</v>
      </c>
      <c r="J969" s="8">
        <v>0.27</v>
      </c>
      <c r="K969" t="str">
        <f>IF(SalesData[[#This Row],[Profit]]&gt;0,"Profit","Loss")</f>
        <v>Loss</v>
      </c>
      <c r="L969" s="8">
        <f>SalesData[[#This Row],[Profit]]/SalesData[[#This Row],[Sales]]</f>
        <v>-9.5385267633586374E-2</v>
      </c>
      <c r="M969" t="str">
        <f>TEXT(SalesData[[#This Row],[Order_Date]],"mmm")</f>
        <v>Sep</v>
      </c>
      <c r="N969">
        <f>YEAR(SalesData[[#This Row],[Order_Date]])</f>
        <v>2023</v>
      </c>
    </row>
    <row r="970" spans="1:14" x14ac:dyDescent="0.3">
      <c r="A970" t="s">
        <v>1992</v>
      </c>
      <c r="B970" s="1">
        <v>44599</v>
      </c>
      <c r="C970" t="s">
        <v>130</v>
      </c>
      <c r="D970" t="s">
        <v>40</v>
      </c>
      <c r="E970" t="s">
        <v>19</v>
      </c>
      <c r="F970" t="s">
        <v>141</v>
      </c>
      <c r="G970" t="s">
        <v>1993</v>
      </c>
      <c r="H970" s="8">
        <v>2082.08</v>
      </c>
      <c r="I970" s="8">
        <v>-164.65</v>
      </c>
      <c r="J970" s="8">
        <v>0.06</v>
      </c>
      <c r="K970" t="str">
        <f>IF(SalesData[[#This Row],[Profit]]&gt;0,"Profit","Loss")</f>
        <v>Loss</v>
      </c>
      <c r="L970" s="8">
        <f>SalesData[[#This Row],[Profit]]/SalesData[[#This Row],[Sales]]</f>
        <v>-7.9079574271881975E-2</v>
      </c>
      <c r="M970" t="str">
        <f>TEXT(SalesData[[#This Row],[Order_Date]],"mmm")</f>
        <v>Feb</v>
      </c>
      <c r="N970">
        <f>YEAR(SalesData[[#This Row],[Order_Date]])</f>
        <v>2022</v>
      </c>
    </row>
    <row r="971" spans="1:14" x14ac:dyDescent="0.3">
      <c r="A971" t="s">
        <v>1994</v>
      </c>
      <c r="B971" s="1">
        <v>44852</v>
      </c>
      <c r="C971" t="s">
        <v>1246</v>
      </c>
      <c r="D971" t="s">
        <v>12</v>
      </c>
      <c r="E971" t="s">
        <v>13</v>
      </c>
      <c r="F971" t="s">
        <v>24</v>
      </c>
      <c r="G971" t="s">
        <v>1941</v>
      </c>
      <c r="H971" s="8">
        <v>3726.26</v>
      </c>
      <c r="I971" s="8">
        <v>1323.4</v>
      </c>
      <c r="J971" s="8">
        <v>0.04</v>
      </c>
      <c r="K971" t="str">
        <f>IF(SalesData[[#This Row],[Profit]]&gt;0,"Profit","Loss")</f>
        <v>Profit</v>
      </c>
      <c r="L971" s="8">
        <f>SalesData[[#This Row],[Profit]]/SalesData[[#This Row],[Sales]]</f>
        <v>0.35515503480701832</v>
      </c>
      <c r="M971" t="str">
        <f>TEXT(SalesData[[#This Row],[Order_Date]],"mmm")</f>
        <v>Oct</v>
      </c>
      <c r="N971">
        <f>YEAR(SalesData[[#This Row],[Order_Date]])</f>
        <v>2022</v>
      </c>
    </row>
    <row r="972" spans="1:14" x14ac:dyDescent="0.3">
      <c r="A972" t="s">
        <v>1995</v>
      </c>
      <c r="B972" s="1">
        <v>44590</v>
      </c>
      <c r="C972" t="s">
        <v>1330</v>
      </c>
      <c r="D972" t="s">
        <v>40</v>
      </c>
      <c r="E972" t="s">
        <v>13</v>
      </c>
      <c r="F972" t="s">
        <v>36</v>
      </c>
      <c r="G972" t="s">
        <v>769</v>
      </c>
      <c r="H972" s="8">
        <v>2654.55</v>
      </c>
      <c r="I972" s="8">
        <v>-886.58</v>
      </c>
      <c r="J972" s="8">
        <v>0.23</v>
      </c>
      <c r="K972" t="str">
        <f>IF(SalesData[[#This Row],[Profit]]&gt;0,"Profit","Loss")</f>
        <v>Loss</v>
      </c>
      <c r="L972" s="8">
        <f>SalesData[[#This Row],[Profit]]/SalesData[[#This Row],[Sales]]</f>
        <v>-0.33398504454615657</v>
      </c>
      <c r="M972" t="str">
        <f>TEXT(SalesData[[#This Row],[Order_Date]],"mmm")</f>
        <v>Jan</v>
      </c>
      <c r="N972">
        <f>YEAR(SalesData[[#This Row],[Order_Date]])</f>
        <v>2022</v>
      </c>
    </row>
    <row r="973" spans="1:14" x14ac:dyDescent="0.3">
      <c r="A973" t="s">
        <v>1996</v>
      </c>
      <c r="B973" s="1">
        <v>44943</v>
      </c>
      <c r="C973" t="s">
        <v>1018</v>
      </c>
      <c r="D973" t="s">
        <v>40</v>
      </c>
      <c r="E973" t="s">
        <v>19</v>
      </c>
      <c r="F973" t="s">
        <v>141</v>
      </c>
      <c r="G973" t="s">
        <v>933</v>
      </c>
      <c r="H973" s="8">
        <v>2171.4499999999998</v>
      </c>
      <c r="I973" s="8">
        <v>193.68</v>
      </c>
      <c r="J973" s="8">
        <v>0.15</v>
      </c>
      <c r="K973" t="str">
        <f>IF(SalesData[[#This Row],[Profit]]&gt;0,"Profit","Loss")</f>
        <v>Profit</v>
      </c>
      <c r="L973" s="8">
        <f>SalesData[[#This Row],[Profit]]/SalesData[[#This Row],[Sales]]</f>
        <v>8.9193856639572647E-2</v>
      </c>
      <c r="M973" t="str">
        <f>TEXT(SalesData[[#This Row],[Order_Date]],"mmm")</f>
        <v>Jan</v>
      </c>
      <c r="N973">
        <f>YEAR(SalesData[[#This Row],[Order_Date]])</f>
        <v>2023</v>
      </c>
    </row>
    <row r="974" spans="1:14" x14ac:dyDescent="0.3">
      <c r="A974" t="s">
        <v>1997</v>
      </c>
      <c r="B974" s="1">
        <v>44567</v>
      </c>
      <c r="C974" t="s">
        <v>1891</v>
      </c>
      <c r="D974" t="s">
        <v>40</v>
      </c>
      <c r="E974" t="s">
        <v>56</v>
      </c>
      <c r="F974" t="s">
        <v>73</v>
      </c>
      <c r="G974" t="s">
        <v>548</v>
      </c>
      <c r="H974" s="8">
        <v>4712.58</v>
      </c>
      <c r="I974" s="8">
        <v>63.44</v>
      </c>
      <c r="J974" s="8">
        <v>0.13</v>
      </c>
      <c r="K974" t="str">
        <f>IF(SalesData[[#This Row],[Profit]]&gt;0,"Profit","Loss")</f>
        <v>Profit</v>
      </c>
      <c r="L974" s="8">
        <f>SalesData[[#This Row],[Profit]]/SalesData[[#This Row],[Sales]]</f>
        <v>1.3461840435600033E-2</v>
      </c>
      <c r="M974" t="str">
        <f>TEXT(SalesData[[#This Row],[Order_Date]],"mmm")</f>
        <v>Jan</v>
      </c>
      <c r="N974">
        <f>YEAR(SalesData[[#This Row],[Order_Date]])</f>
        <v>2022</v>
      </c>
    </row>
    <row r="975" spans="1:14" x14ac:dyDescent="0.3">
      <c r="A975" t="s">
        <v>1998</v>
      </c>
      <c r="B975" s="1">
        <v>45108</v>
      </c>
      <c r="C975" t="s">
        <v>204</v>
      </c>
      <c r="D975" t="s">
        <v>18</v>
      </c>
      <c r="E975" t="s">
        <v>13</v>
      </c>
      <c r="F975" t="s">
        <v>24</v>
      </c>
      <c r="G975" t="s">
        <v>497</v>
      </c>
      <c r="H975" s="8">
        <v>2871.43</v>
      </c>
      <c r="I975" s="8">
        <v>-268.06</v>
      </c>
      <c r="J975" s="8">
        <v>0.27</v>
      </c>
      <c r="K975" t="str">
        <f>IF(SalesData[[#This Row],[Profit]]&gt;0,"Profit","Loss")</f>
        <v>Loss</v>
      </c>
      <c r="L975" s="8">
        <f>SalesData[[#This Row],[Profit]]/SalesData[[#This Row],[Sales]]</f>
        <v>-9.3354182410854525E-2</v>
      </c>
      <c r="M975" t="str">
        <f>TEXT(SalesData[[#This Row],[Order_Date]],"mmm")</f>
        <v>Jul</v>
      </c>
      <c r="N975">
        <f>YEAR(SalesData[[#This Row],[Order_Date]])</f>
        <v>2023</v>
      </c>
    </row>
    <row r="976" spans="1:14" x14ac:dyDescent="0.3">
      <c r="A976" t="s">
        <v>1999</v>
      </c>
      <c r="B976" s="1">
        <v>44705</v>
      </c>
      <c r="C976" t="s">
        <v>514</v>
      </c>
      <c r="D976" t="s">
        <v>28</v>
      </c>
      <c r="E976" t="s">
        <v>19</v>
      </c>
      <c r="F976" t="s">
        <v>29</v>
      </c>
      <c r="G976" t="s">
        <v>1539</v>
      </c>
      <c r="H976" s="8">
        <v>3367.92</v>
      </c>
      <c r="I976" s="8">
        <v>-324.47000000000003</v>
      </c>
      <c r="J976" s="8">
        <v>0.24</v>
      </c>
      <c r="K976" t="str">
        <f>IF(SalesData[[#This Row],[Profit]]&gt;0,"Profit","Loss")</f>
        <v>Loss</v>
      </c>
      <c r="L976" s="8">
        <f>SalesData[[#This Row],[Profit]]/SalesData[[#This Row],[Sales]]</f>
        <v>-9.6341362027601615E-2</v>
      </c>
      <c r="M976" t="str">
        <f>TEXT(SalesData[[#This Row],[Order_Date]],"mmm")</f>
        <v>May</v>
      </c>
      <c r="N976">
        <f>YEAR(SalesData[[#This Row],[Order_Date]])</f>
        <v>2022</v>
      </c>
    </row>
    <row r="977" spans="1:14" x14ac:dyDescent="0.3">
      <c r="A977" t="s">
        <v>2000</v>
      </c>
      <c r="B977" s="1">
        <v>44931</v>
      </c>
      <c r="C977" t="s">
        <v>403</v>
      </c>
      <c r="D977" t="s">
        <v>12</v>
      </c>
      <c r="E977" t="s">
        <v>13</v>
      </c>
      <c r="F977" t="s">
        <v>14</v>
      </c>
      <c r="G977" t="s">
        <v>1046</v>
      </c>
      <c r="H977" s="8">
        <v>615.61</v>
      </c>
      <c r="I977" s="8">
        <v>-144.34</v>
      </c>
      <c r="J977" s="8">
        <v>0.15</v>
      </c>
      <c r="K977" t="str">
        <f>IF(SalesData[[#This Row],[Profit]]&gt;0,"Profit","Loss")</f>
        <v>Loss</v>
      </c>
      <c r="L977" s="8">
        <f>SalesData[[#This Row],[Profit]]/SalesData[[#This Row],[Sales]]</f>
        <v>-0.23446662659800849</v>
      </c>
      <c r="M977" t="str">
        <f>TEXT(SalesData[[#This Row],[Order_Date]],"mmm")</f>
        <v>Jan</v>
      </c>
      <c r="N977">
        <f>YEAR(SalesData[[#This Row],[Order_Date]])</f>
        <v>2023</v>
      </c>
    </row>
    <row r="978" spans="1:14" x14ac:dyDescent="0.3">
      <c r="A978" t="s">
        <v>2001</v>
      </c>
      <c r="B978" s="1">
        <v>44695</v>
      </c>
      <c r="C978" t="s">
        <v>433</v>
      </c>
      <c r="D978" t="s">
        <v>18</v>
      </c>
      <c r="E978" t="s">
        <v>13</v>
      </c>
      <c r="F978" t="s">
        <v>36</v>
      </c>
      <c r="G978" t="s">
        <v>872</v>
      </c>
      <c r="H978" s="8">
        <v>4159.34</v>
      </c>
      <c r="I978" s="8">
        <v>-759.84</v>
      </c>
      <c r="J978" s="8">
        <v>0.02</v>
      </c>
      <c r="K978" t="str">
        <f>IF(SalesData[[#This Row],[Profit]]&gt;0,"Profit","Loss")</f>
        <v>Loss</v>
      </c>
      <c r="L978" s="8">
        <f>SalesData[[#This Row],[Profit]]/SalesData[[#This Row],[Sales]]</f>
        <v>-0.18268282948737061</v>
      </c>
      <c r="M978" t="str">
        <f>TEXT(SalesData[[#This Row],[Order_Date]],"mmm")</f>
        <v>May</v>
      </c>
      <c r="N978">
        <f>YEAR(SalesData[[#This Row],[Order_Date]])</f>
        <v>2022</v>
      </c>
    </row>
    <row r="979" spans="1:14" x14ac:dyDescent="0.3">
      <c r="A979" t="s">
        <v>2002</v>
      </c>
      <c r="B979" s="1">
        <v>44966</v>
      </c>
      <c r="C979" t="s">
        <v>1181</v>
      </c>
      <c r="D979" t="s">
        <v>28</v>
      </c>
      <c r="E979" t="s">
        <v>56</v>
      </c>
      <c r="F979" t="s">
        <v>95</v>
      </c>
      <c r="G979" t="s">
        <v>409</v>
      </c>
      <c r="H979" s="8">
        <v>3416.43</v>
      </c>
      <c r="I979" s="8">
        <v>52.55</v>
      </c>
      <c r="J979" s="8">
        <v>0.12</v>
      </c>
      <c r="K979" t="str">
        <f>IF(SalesData[[#This Row],[Profit]]&gt;0,"Profit","Loss")</f>
        <v>Profit</v>
      </c>
      <c r="L979" s="8">
        <f>SalesData[[#This Row],[Profit]]/SalesData[[#This Row],[Sales]]</f>
        <v>1.5381553258811098E-2</v>
      </c>
      <c r="M979" t="str">
        <f>TEXT(SalesData[[#This Row],[Order_Date]],"mmm")</f>
        <v>Feb</v>
      </c>
      <c r="N979">
        <f>YEAR(SalesData[[#This Row],[Order_Date]])</f>
        <v>2023</v>
      </c>
    </row>
    <row r="980" spans="1:14" x14ac:dyDescent="0.3">
      <c r="A980" t="s">
        <v>2003</v>
      </c>
      <c r="B980" s="1">
        <v>44988</v>
      </c>
      <c r="C980" t="s">
        <v>1120</v>
      </c>
      <c r="D980" t="s">
        <v>18</v>
      </c>
      <c r="E980" t="s">
        <v>19</v>
      </c>
      <c r="F980" t="s">
        <v>29</v>
      </c>
      <c r="G980" t="s">
        <v>515</v>
      </c>
      <c r="H980" s="8">
        <v>3476.19</v>
      </c>
      <c r="I980" s="8">
        <v>-142.41999999999999</v>
      </c>
      <c r="J980" s="8">
        <v>0.28000000000000003</v>
      </c>
      <c r="K980" t="str">
        <f>IF(SalesData[[#This Row],[Profit]]&gt;0,"Profit","Loss")</f>
        <v>Loss</v>
      </c>
      <c r="L980" s="8">
        <f>SalesData[[#This Row],[Profit]]/SalesData[[#This Row],[Sales]]</f>
        <v>-4.0970142598649666E-2</v>
      </c>
      <c r="M980" t="str">
        <f>TEXT(SalesData[[#This Row],[Order_Date]],"mmm")</f>
        <v>Mar</v>
      </c>
      <c r="N980">
        <f>YEAR(SalesData[[#This Row],[Order_Date]])</f>
        <v>2023</v>
      </c>
    </row>
    <row r="981" spans="1:14" x14ac:dyDescent="0.3">
      <c r="A981" t="s">
        <v>2004</v>
      </c>
      <c r="B981" s="1">
        <v>45103</v>
      </c>
      <c r="C981" t="s">
        <v>2005</v>
      </c>
      <c r="D981" t="s">
        <v>18</v>
      </c>
      <c r="E981" t="s">
        <v>56</v>
      </c>
      <c r="F981" t="s">
        <v>95</v>
      </c>
      <c r="G981" t="s">
        <v>2006</v>
      </c>
      <c r="H981" s="8">
        <v>3584.64</v>
      </c>
      <c r="I981" s="8">
        <v>654.97</v>
      </c>
      <c r="J981" s="8">
        <v>0.04</v>
      </c>
      <c r="K981" t="str">
        <f>IF(SalesData[[#This Row],[Profit]]&gt;0,"Profit","Loss")</f>
        <v>Profit</v>
      </c>
      <c r="L981" s="8">
        <f>SalesData[[#This Row],[Profit]]/SalesData[[#This Row],[Sales]]</f>
        <v>0.18271569808962687</v>
      </c>
      <c r="M981" t="str">
        <f>TEXT(SalesData[[#This Row],[Order_Date]],"mmm")</f>
        <v>Jun</v>
      </c>
      <c r="N981">
        <f>YEAR(SalesData[[#This Row],[Order_Date]])</f>
        <v>2023</v>
      </c>
    </row>
    <row r="982" spans="1:14" x14ac:dyDescent="0.3">
      <c r="A982" t="s">
        <v>2007</v>
      </c>
      <c r="B982" s="1">
        <v>44683</v>
      </c>
      <c r="C982" t="s">
        <v>1928</v>
      </c>
      <c r="D982" t="s">
        <v>28</v>
      </c>
      <c r="E982" t="s">
        <v>19</v>
      </c>
      <c r="F982" t="s">
        <v>20</v>
      </c>
      <c r="G982" t="s">
        <v>556</v>
      </c>
      <c r="H982" s="8">
        <v>3757.83</v>
      </c>
      <c r="I982" s="8">
        <v>-971.03</v>
      </c>
      <c r="J982" s="8">
        <v>0.28000000000000003</v>
      </c>
      <c r="K982" t="str">
        <f>IF(SalesData[[#This Row],[Profit]]&gt;0,"Profit","Loss")</f>
        <v>Loss</v>
      </c>
      <c r="L982" s="8">
        <f>SalesData[[#This Row],[Profit]]/SalesData[[#This Row],[Sales]]</f>
        <v>-0.25840179039498862</v>
      </c>
      <c r="M982" t="str">
        <f>TEXT(SalesData[[#This Row],[Order_Date]],"mmm")</f>
        <v>May</v>
      </c>
      <c r="N982">
        <f>YEAR(SalesData[[#This Row],[Order_Date]])</f>
        <v>2022</v>
      </c>
    </row>
    <row r="983" spans="1:14" x14ac:dyDescent="0.3">
      <c r="A983" t="s">
        <v>2008</v>
      </c>
      <c r="B983" s="1">
        <v>44942</v>
      </c>
      <c r="C983" t="s">
        <v>1125</v>
      </c>
      <c r="D983" t="s">
        <v>40</v>
      </c>
      <c r="E983" t="s">
        <v>56</v>
      </c>
      <c r="F983" t="s">
        <v>95</v>
      </c>
      <c r="G983" t="s">
        <v>184</v>
      </c>
      <c r="H983" s="8">
        <v>2901.65</v>
      </c>
      <c r="I983" s="8">
        <v>-342.44</v>
      </c>
      <c r="J983" s="8">
        <v>0.01</v>
      </c>
      <c r="K983" t="str">
        <f>IF(SalesData[[#This Row],[Profit]]&gt;0,"Profit","Loss")</f>
        <v>Loss</v>
      </c>
      <c r="L983" s="8">
        <f>SalesData[[#This Row],[Profit]]/SalesData[[#This Row],[Sales]]</f>
        <v>-0.11801561180707527</v>
      </c>
      <c r="M983" t="str">
        <f>TEXT(SalesData[[#This Row],[Order_Date]],"mmm")</f>
        <v>Jan</v>
      </c>
      <c r="N983">
        <f>YEAR(SalesData[[#This Row],[Order_Date]])</f>
        <v>2023</v>
      </c>
    </row>
    <row r="984" spans="1:14" x14ac:dyDescent="0.3">
      <c r="A984" t="s">
        <v>2009</v>
      </c>
      <c r="B984" s="1">
        <v>44993</v>
      </c>
      <c r="C984" t="s">
        <v>2010</v>
      </c>
      <c r="D984" t="s">
        <v>40</v>
      </c>
      <c r="E984" t="s">
        <v>19</v>
      </c>
      <c r="F984" t="s">
        <v>29</v>
      </c>
      <c r="G984" t="s">
        <v>706</v>
      </c>
      <c r="H984" s="8">
        <v>237.09</v>
      </c>
      <c r="I984" s="8">
        <v>54.6</v>
      </c>
      <c r="J984" s="8">
        <v>0.04</v>
      </c>
      <c r="K984" t="str">
        <f>IF(SalesData[[#This Row],[Profit]]&gt;0,"Profit","Loss")</f>
        <v>Profit</v>
      </c>
      <c r="L984" s="8">
        <f>SalesData[[#This Row],[Profit]]/SalesData[[#This Row],[Sales]]</f>
        <v>0.23029229406554474</v>
      </c>
      <c r="M984" t="str">
        <f>TEXT(SalesData[[#This Row],[Order_Date]],"mmm")</f>
        <v>Mar</v>
      </c>
      <c r="N984">
        <f>YEAR(SalesData[[#This Row],[Order_Date]])</f>
        <v>2023</v>
      </c>
    </row>
    <row r="985" spans="1:14" x14ac:dyDescent="0.3">
      <c r="A985" t="s">
        <v>2011</v>
      </c>
      <c r="B985" s="1">
        <v>45122</v>
      </c>
      <c r="C985" t="s">
        <v>1844</v>
      </c>
      <c r="D985" t="s">
        <v>12</v>
      </c>
      <c r="E985" t="s">
        <v>19</v>
      </c>
      <c r="F985" t="s">
        <v>20</v>
      </c>
      <c r="G985" t="s">
        <v>780</v>
      </c>
      <c r="H985" s="8">
        <v>997.08</v>
      </c>
      <c r="I985" s="8">
        <v>-417.53</v>
      </c>
      <c r="J985" s="8">
        <v>0.22</v>
      </c>
      <c r="K985" t="str">
        <f>IF(SalesData[[#This Row],[Profit]]&gt;0,"Profit","Loss")</f>
        <v>Loss</v>
      </c>
      <c r="L985" s="8">
        <f>SalesData[[#This Row],[Profit]]/SalesData[[#This Row],[Sales]]</f>
        <v>-0.41875275805351625</v>
      </c>
      <c r="M985" t="str">
        <f>TEXT(SalesData[[#This Row],[Order_Date]],"mmm")</f>
        <v>Jul</v>
      </c>
      <c r="N985">
        <f>YEAR(SalesData[[#This Row],[Order_Date]])</f>
        <v>2023</v>
      </c>
    </row>
    <row r="986" spans="1:14" x14ac:dyDescent="0.3">
      <c r="A986" t="s">
        <v>2012</v>
      </c>
      <c r="B986" s="1">
        <v>44907</v>
      </c>
      <c r="C986" t="s">
        <v>776</v>
      </c>
      <c r="D986" t="s">
        <v>28</v>
      </c>
      <c r="E986" t="s">
        <v>56</v>
      </c>
      <c r="F986" t="s">
        <v>95</v>
      </c>
      <c r="G986" t="s">
        <v>1780</v>
      </c>
      <c r="H986" s="8">
        <v>2457.7600000000002</v>
      </c>
      <c r="I986" s="8">
        <v>-45.65</v>
      </c>
      <c r="J986" s="8">
        <v>0.09</v>
      </c>
      <c r="K986" t="str">
        <f>IF(SalesData[[#This Row],[Profit]]&gt;0,"Profit","Loss")</f>
        <v>Loss</v>
      </c>
      <c r="L986" s="8">
        <f>SalesData[[#This Row],[Profit]]/SalesData[[#This Row],[Sales]]</f>
        <v>-1.8573823318794348E-2</v>
      </c>
      <c r="M986" t="str">
        <f>TEXT(SalesData[[#This Row],[Order_Date]],"mmm")</f>
        <v>Dec</v>
      </c>
      <c r="N986">
        <f>YEAR(SalesData[[#This Row],[Order_Date]])</f>
        <v>2022</v>
      </c>
    </row>
    <row r="987" spans="1:14" x14ac:dyDescent="0.3">
      <c r="A987" t="s">
        <v>2013</v>
      </c>
      <c r="B987" s="1">
        <v>45022</v>
      </c>
      <c r="C987" t="s">
        <v>605</v>
      </c>
      <c r="D987" t="s">
        <v>28</v>
      </c>
      <c r="E987" t="s">
        <v>13</v>
      </c>
      <c r="F987" t="s">
        <v>24</v>
      </c>
      <c r="G987" t="s">
        <v>2014</v>
      </c>
      <c r="H987" s="8">
        <v>750.77</v>
      </c>
      <c r="I987" s="8">
        <v>106.52</v>
      </c>
      <c r="J987" s="8">
        <v>0.04</v>
      </c>
      <c r="K987" t="str">
        <f>IF(SalesData[[#This Row],[Profit]]&gt;0,"Profit","Loss")</f>
        <v>Profit</v>
      </c>
      <c r="L987" s="8">
        <f>SalesData[[#This Row],[Profit]]/SalesData[[#This Row],[Sales]]</f>
        <v>0.14188100217110433</v>
      </c>
      <c r="M987" t="str">
        <f>TEXT(SalesData[[#This Row],[Order_Date]],"mmm")</f>
        <v>Apr</v>
      </c>
      <c r="N987">
        <f>YEAR(SalesData[[#This Row],[Order_Date]])</f>
        <v>2023</v>
      </c>
    </row>
    <row r="988" spans="1:14" x14ac:dyDescent="0.3">
      <c r="A988" t="s">
        <v>2015</v>
      </c>
      <c r="B988" s="1">
        <v>44958</v>
      </c>
      <c r="C988" t="s">
        <v>2016</v>
      </c>
      <c r="D988" t="s">
        <v>28</v>
      </c>
      <c r="E988" t="s">
        <v>13</v>
      </c>
      <c r="F988" t="s">
        <v>36</v>
      </c>
      <c r="G988" t="s">
        <v>2017</v>
      </c>
      <c r="H988" s="8">
        <v>537.64</v>
      </c>
      <c r="I988" s="8">
        <v>-8.52</v>
      </c>
      <c r="J988" s="8">
        <v>0.19</v>
      </c>
      <c r="K988" t="str">
        <f>IF(SalesData[[#This Row],[Profit]]&gt;0,"Profit","Loss")</f>
        <v>Loss</v>
      </c>
      <c r="L988" s="8">
        <f>SalesData[[#This Row],[Profit]]/SalesData[[#This Row],[Sales]]</f>
        <v>-1.5847035190834014E-2</v>
      </c>
      <c r="M988" t="str">
        <f>TEXT(SalesData[[#This Row],[Order_Date]],"mmm")</f>
        <v>Feb</v>
      </c>
      <c r="N988">
        <f>YEAR(SalesData[[#This Row],[Order_Date]])</f>
        <v>2023</v>
      </c>
    </row>
    <row r="989" spans="1:14" x14ac:dyDescent="0.3">
      <c r="A989" t="s">
        <v>2018</v>
      </c>
      <c r="B989" s="1">
        <v>45223</v>
      </c>
      <c r="C989" t="s">
        <v>1711</v>
      </c>
      <c r="D989" t="s">
        <v>18</v>
      </c>
      <c r="E989" t="s">
        <v>13</v>
      </c>
      <c r="F989" t="s">
        <v>14</v>
      </c>
      <c r="G989" t="s">
        <v>800</v>
      </c>
      <c r="H989" s="8">
        <v>4794.59</v>
      </c>
      <c r="I989" s="8">
        <v>-136.41999999999999</v>
      </c>
      <c r="J989" s="8">
        <v>0.27</v>
      </c>
      <c r="K989" t="str">
        <f>IF(SalesData[[#This Row],[Profit]]&gt;0,"Profit","Loss")</f>
        <v>Loss</v>
      </c>
      <c r="L989" s="8">
        <f>SalesData[[#This Row],[Profit]]/SalesData[[#This Row],[Sales]]</f>
        <v>-2.8452902125103499E-2</v>
      </c>
      <c r="M989" t="str">
        <f>TEXT(SalesData[[#This Row],[Order_Date]],"mmm")</f>
        <v>Oct</v>
      </c>
      <c r="N989">
        <f>YEAR(SalesData[[#This Row],[Order_Date]])</f>
        <v>2023</v>
      </c>
    </row>
    <row r="990" spans="1:14" x14ac:dyDescent="0.3">
      <c r="A990" t="s">
        <v>2019</v>
      </c>
      <c r="B990" s="1">
        <v>45222</v>
      </c>
      <c r="C990" t="s">
        <v>1816</v>
      </c>
      <c r="D990" t="s">
        <v>12</v>
      </c>
      <c r="E990" t="s">
        <v>56</v>
      </c>
      <c r="F990" t="s">
        <v>73</v>
      </c>
      <c r="G990" t="s">
        <v>531</v>
      </c>
      <c r="H990" s="8">
        <v>3187.54</v>
      </c>
      <c r="I990" s="8">
        <v>-779.96</v>
      </c>
      <c r="J990" s="8">
        <v>0.23</v>
      </c>
      <c r="K990" t="str">
        <f>IF(SalesData[[#This Row],[Profit]]&gt;0,"Profit","Loss")</f>
        <v>Loss</v>
      </c>
      <c r="L990" s="8">
        <f>SalesData[[#This Row],[Profit]]/SalesData[[#This Row],[Sales]]</f>
        <v>-0.24469026271042874</v>
      </c>
      <c r="M990" t="str">
        <f>TEXT(SalesData[[#This Row],[Order_Date]],"mmm")</f>
        <v>Oct</v>
      </c>
      <c r="N990">
        <f>YEAR(SalesData[[#This Row],[Order_Date]])</f>
        <v>2023</v>
      </c>
    </row>
    <row r="991" spans="1:14" x14ac:dyDescent="0.3">
      <c r="A991" t="s">
        <v>2020</v>
      </c>
      <c r="B991" s="1">
        <v>44755</v>
      </c>
      <c r="C991" t="s">
        <v>2021</v>
      </c>
      <c r="D991" t="s">
        <v>28</v>
      </c>
      <c r="E991" t="s">
        <v>13</v>
      </c>
      <c r="F991" t="s">
        <v>24</v>
      </c>
      <c r="G991" t="s">
        <v>624</v>
      </c>
      <c r="H991" s="8">
        <v>2926.59</v>
      </c>
      <c r="I991" s="8">
        <v>357.47</v>
      </c>
      <c r="J991" s="8">
        <v>0.02</v>
      </c>
      <c r="K991" t="str">
        <f>IF(SalesData[[#This Row],[Profit]]&gt;0,"Profit","Loss")</f>
        <v>Profit</v>
      </c>
      <c r="L991" s="8">
        <f>SalesData[[#This Row],[Profit]]/SalesData[[#This Row],[Sales]]</f>
        <v>0.12214556873357731</v>
      </c>
      <c r="M991" t="str">
        <f>TEXT(SalesData[[#This Row],[Order_Date]],"mmm")</f>
        <v>Jul</v>
      </c>
      <c r="N991">
        <f>YEAR(SalesData[[#This Row],[Order_Date]])</f>
        <v>2022</v>
      </c>
    </row>
    <row r="992" spans="1:14" x14ac:dyDescent="0.3">
      <c r="A992" t="s">
        <v>2022</v>
      </c>
      <c r="B992" s="1">
        <v>44843</v>
      </c>
      <c r="C992" t="s">
        <v>1630</v>
      </c>
      <c r="D992" t="s">
        <v>18</v>
      </c>
      <c r="E992" t="s">
        <v>56</v>
      </c>
      <c r="F992" t="s">
        <v>57</v>
      </c>
      <c r="G992" t="s">
        <v>383</v>
      </c>
      <c r="H992" s="8">
        <v>3325.45</v>
      </c>
      <c r="I992" s="8">
        <v>723.04</v>
      </c>
      <c r="J992" s="8">
        <v>0.16</v>
      </c>
      <c r="K992" t="str">
        <f>IF(SalesData[[#This Row],[Profit]]&gt;0,"Profit","Loss")</f>
        <v>Profit</v>
      </c>
      <c r="L992" s="8">
        <f>SalesData[[#This Row],[Profit]]/SalesData[[#This Row],[Sales]]</f>
        <v>0.21742621299373016</v>
      </c>
      <c r="M992" t="str">
        <f>TEXT(SalesData[[#This Row],[Order_Date]],"mmm")</f>
        <v>Oct</v>
      </c>
      <c r="N992">
        <f>YEAR(SalesData[[#This Row],[Order_Date]])</f>
        <v>2022</v>
      </c>
    </row>
    <row r="993" spans="1:14" x14ac:dyDescent="0.3">
      <c r="A993" t="s">
        <v>2023</v>
      </c>
      <c r="B993" s="1">
        <v>44973</v>
      </c>
      <c r="C993" t="s">
        <v>299</v>
      </c>
      <c r="D993" t="s">
        <v>12</v>
      </c>
      <c r="E993" t="s">
        <v>13</v>
      </c>
      <c r="F993" t="s">
        <v>24</v>
      </c>
      <c r="G993" t="s">
        <v>1835</v>
      </c>
      <c r="H993" s="8">
        <v>2276.7199999999998</v>
      </c>
      <c r="I993" s="8">
        <v>-172.77</v>
      </c>
      <c r="J993" s="8">
        <v>0.24</v>
      </c>
      <c r="K993" t="str">
        <f>IF(SalesData[[#This Row],[Profit]]&gt;0,"Profit","Loss")</f>
        <v>Loss</v>
      </c>
      <c r="L993" s="8">
        <f>SalesData[[#This Row],[Profit]]/SalesData[[#This Row],[Sales]]</f>
        <v>-7.5885484381039398E-2</v>
      </c>
      <c r="M993" t="str">
        <f>TEXT(SalesData[[#This Row],[Order_Date]],"mmm")</f>
        <v>Feb</v>
      </c>
      <c r="N993">
        <f>YEAR(SalesData[[#This Row],[Order_Date]])</f>
        <v>2023</v>
      </c>
    </row>
    <row r="994" spans="1:14" x14ac:dyDescent="0.3">
      <c r="A994" t="s">
        <v>2024</v>
      </c>
      <c r="B994" s="1">
        <v>44886</v>
      </c>
      <c r="C994" t="s">
        <v>2025</v>
      </c>
      <c r="D994" t="s">
        <v>40</v>
      </c>
      <c r="E994" t="s">
        <v>56</v>
      </c>
      <c r="F994" t="s">
        <v>95</v>
      </c>
      <c r="G994" t="s">
        <v>392</v>
      </c>
      <c r="H994" s="8">
        <v>2241.39</v>
      </c>
      <c r="I994" s="8">
        <v>438.84</v>
      </c>
      <c r="J994" s="8">
        <v>0.12</v>
      </c>
      <c r="K994" t="str">
        <f>IF(SalesData[[#This Row],[Profit]]&gt;0,"Profit","Loss")</f>
        <v>Profit</v>
      </c>
      <c r="L994" s="8">
        <f>SalesData[[#This Row],[Profit]]/SalesData[[#This Row],[Sales]]</f>
        <v>0.19578922008218114</v>
      </c>
      <c r="M994" t="str">
        <f>TEXT(SalesData[[#This Row],[Order_Date]],"mmm")</f>
        <v>Nov</v>
      </c>
      <c r="N994">
        <f>YEAR(SalesData[[#This Row],[Order_Date]])</f>
        <v>2022</v>
      </c>
    </row>
    <row r="995" spans="1:14" x14ac:dyDescent="0.3">
      <c r="A995" t="s">
        <v>2026</v>
      </c>
      <c r="B995" s="1">
        <v>44653</v>
      </c>
      <c r="C995" t="s">
        <v>1259</v>
      </c>
      <c r="D995" t="s">
        <v>40</v>
      </c>
      <c r="E995" t="s">
        <v>56</v>
      </c>
      <c r="F995" t="s">
        <v>57</v>
      </c>
      <c r="G995" t="s">
        <v>2027</v>
      </c>
      <c r="H995" s="8">
        <v>2754.72</v>
      </c>
      <c r="I995" s="8">
        <v>-496.95</v>
      </c>
      <c r="J995" s="8">
        <v>0.09</v>
      </c>
      <c r="K995" t="str">
        <f>IF(SalesData[[#This Row],[Profit]]&gt;0,"Profit","Loss")</f>
        <v>Loss</v>
      </c>
      <c r="L995" s="8">
        <f>SalesData[[#This Row],[Profit]]/SalesData[[#This Row],[Sales]]</f>
        <v>-0.18039945983620842</v>
      </c>
      <c r="M995" t="str">
        <f>TEXT(SalesData[[#This Row],[Order_Date]],"mmm")</f>
        <v>Apr</v>
      </c>
      <c r="N995">
        <f>YEAR(SalesData[[#This Row],[Order_Date]])</f>
        <v>2022</v>
      </c>
    </row>
    <row r="996" spans="1:14" x14ac:dyDescent="0.3">
      <c r="A996" t="s">
        <v>2028</v>
      </c>
      <c r="B996" s="1">
        <v>44589</v>
      </c>
      <c r="C996" t="s">
        <v>830</v>
      </c>
      <c r="D996" t="s">
        <v>12</v>
      </c>
      <c r="E996" t="s">
        <v>19</v>
      </c>
      <c r="F996" t="s">
        <v>141</v>
      </c>
      <c r="G996" t="s">
        <v>703</v>
      </c>
      <c r="H996" s="8">
        <v>929.04</v>
      </c>
      <c r="I996" s="8">
        <v>-171.71</v>
      </c>
      <c r="J996" s="8">
        <v>0.18</v>
      </c>
      <c r="K996" t="str">
        <f>IF(SalesData[[#This Row],[Profit]]&gt;0,"Profit","Loss")</f>
        <v>Loss</v>
      </c>
      <c r="L996" s="8">
        <f>SalesData[[#This Row],[Profit]]/SalesData[[#This Row],[Sales]]</f>
        <v>-0.18482519590114529</v>
      </c>
      <c r="M996" t="str">
        <f>TEXT(SalesData[[#This Row],[Order_Date]],"mmm")</f>
        <v>Jan</v>
      </c>
      <c r="N996">
        <f>YEAR(SalesData[[#This Row],[Order_Date]])</f>
        <v>2022</v>
      </c>
    </row>
    <row r="997" spans="1:14" x14ac:dyDescent="0.3">
      <c r="A997" t="s">
        <v>2029</v>
      </c>
      <c r="B997" s="1">
        <v>44946</v>
      </c>
      <c r="C997" t="s">
        <v>1211</v>
      </c>
      <c r="D997" t="s">
        <v>12</v>
      </c>
      <c r="E997" t="s">
        <v>19</v>
      </c>
      <c r="F997" t="s">
        <v>20</v>
      </c>
      <c r="G997" t="s">
        <v>2030</v>
      </c>
      <c r="H997" s="8">
        <v>1668.2</v>
      </c>
      <c r="I997" s="8">
        <v>-209.31</v>
      </c>
      <c r="J997" s="8">
        <v>0.12</v>
      </c>
      <c r="K997" t="str">
        <f>IF(SalesData[[#This Row],[Profit]]&gt;0,"Profit","Loss")</f>
        <v>Loss</v>
      </c>
      <c r="L997" s="8">
        <f>SalesData[[#This Row],[Profit]]/SalesData[[#This Row],[Sales]]</f>
        <v>-0.12547056707828796</v>
      </c>
      <c r="M997" t="str">
        <f>TEXT(SalesData[[#This Row],[Order_Date]],"mmm")</f>
        <v>Jan</v>
      </c>
      <c r="N997">
        <f>YEAR(SalesData[[#This Row],[Order_Date]])</f>
        <v>2023</v>
      </c>
    </row>
    <row r="998" spans="1:14" x14ac:dyDescent="0.3">
      <c r="A998" t="s">
        <v>2031</v>
      </c>
      <c r="B998" s="1">
        <v>44956</v>
      </c>
      <c r="C998" t="s">
        <v>443</v>
      </c>
      <c r="D998" t="s">
        <v>40</v>
      </c>
      <c r="E998" t="s">
        <v>56</v>
      </c>
      <c r="F998" t="s">
        <v>73</v>
      </c>
      <c r="G998" t="s">
        <v>720</v>
      </c>
      <c r="H998" s="8">
        <v>2971.54</v>
      </c>
      <c r="I998" s="8">
        <v>301.42</v>
      </c>
      <c r="J998" s="8">
        <v>0.15</v>
      </c>
      <c r="K998" t="str">
        <f>IF(SalesData[[#This Row],[Profit]]&gt;0,"Profit","Loss")</f>
        <v>Profit</v>
      </c>
      <c r="L998" s="8">
        <f>SalesData[[#This Row],[Profit]]/SalesData[[#This Row],[Sales]]</f>
        <v>0.10143561924120154</v>
      </c>
      <c r="M998" t="str">
        <f>TEXT(SalesData[[#This Row],[Order_Date]],"mmm")</f>
        <v>Jan</v>
      </c>
      <c r="N998">
        <f>YEAR(SalesData[[#This Row],[Order_Date]])</f>
        <v>2023</v>
      </c>
    </row>
    <row r="999" spans="1:14" x14ac:dyDescent="0.3">
      <c r="A999" t="s">
        <v>2032</v>
      </c>
      <c r="B999" s="1">
        <v>45210</v>
      </c>
      <c r="C999" t="s">
        <v>1299</v>
      </c>
      <c r="D999" t="s">
        <v>12</v>
      </c>
      <c r="E999" t="s">
        <v>19</v>
      </c>
      <c r="F999" t="s">
        <v>29</v>
      </c>
      <c r="G999" t="s">
        <v>2033</v>
      </c>
      <c r="H999" s="8">
        <v>2810.29</v>
      </c>
      <c r="I999" s="8">
        <v>-569.52</v>
      </c>
      <c r="J999" s="8">
        <v>0.02</v>
      </c>
      <c r="K999" t="str">
        <f>IF(SalesData[[#This Row],[Profit]]&gt;0,"Profit","Loss")</f>
        <v>Loss</v>
      </c>
      <c r="L999" s="8">
        <f>SalesData[[#This Row],[Profit]]/SalesData[[#This Row],[Sales]]</f>
        <v>-0.20265524198570253</v>
      </c>
      <c r="M999" t="str">
        <f>TEXT(SalesData[[#This Row],[Order_Date]],"mmm")</f>
        <v>Oct</v>
      </c>
      <c r="N999">
        <f>YEAR(SalesData[[#This Row],[Order_Date]])</f>
        <v>2023</v>
      </c>
    </row>
    <row r="1000" spans="1:14" x14ac:dyDescent="0.3">
      <c r="A1000" t="s">
        <v>2034</v>
      </c>
      <c r="B1000" s="1">
        <v>44690</v>
      </c>
      <c r="C1000" t="s">
        <v>411</v>
      </c>
      <c r="D1000" t="s">
        <v>28</v>
      </c>
      <c r="E1000" t="s">
        <v>13</v>
      </c>
      <c r="F1000" t="s">
        <v>24</v>
      </c>
      <c r="G1000" t="s">
        <v>872</v>
      </c>
      <c r="H1000" s="8">
        <v>3407.98</v>
      </c>
      <c r="I1000" s="8">
        <v>214.1</v>
      </c>
      <c r="J1000" s="8">
        <v>7.0000000000000007E-2</v>
      </c>
      <c r="K1000" t="str">
        <f>IF(SalesData[[#This Row],[Profit]]&gt;0,"Profit","Loss")</f>
        <v>Profit</v>
      </c>
      <c r="L1000" s="8">
        <f>SalesData[[#This Row],[Profit]]/SalesData[[#This Row],[Sales]]</f>
        <v>6.2823138633442688E-2</v>
      </c>
      <c r="M1000" t="str">
        <f>TEXT(SalesData[[#This Row],[Order_Date]],"mmm")</f>
        <v>May</v>
      </c>
      <c r="N1000">
        <f>YEAR(SalesData[[#This Row],[Order_Date]])</f>
        <v>2022</v>
      </c>
    </row>
    <row r="1001" spans="1:14" x14ac:dyDescent="0.3">
      <c r="A1001" t="s">
        <v>2035</v>
      </c>
      <c r="B1001" s="1">
        <v>45115</v>
      </c>
      <c r="C1001" t="s">
        <v>1919</v>
      </c>
      <c r="D1001" t="s">
        <v>18</v>
      </c>
      <c r="E1001" t="s">
        <v>56</v>
      </c>
      <c r="F1001" t="s">
        <v>73</v>
      </c>
      <c r="G1001" t="s">
        <v>1257</v>
      </c>
      <c r="H1001" s="8">
        <v>2552.12</v>
      </c>
      <c r="I1001" s="8">
        <v>-879.41</v>
      </c>
      <c r="J1001" s="8">
        <v>0.23</v>
      </c>
      <c r="K1001" t="str">
        <f>IF(SalesData[[#This Row],[Profit]]&gt;0,"Profit","Loss")</f>
        <v>Loss</v>
      </c>
      <c r="L1001" s="8">
        <f>SalesData[[#This Row],[Profit]]/SalesData[[#This Row],[Sales]]</f>
        <v>-0.34458019215397395</v>
      </c>
      <c r="M1001" t="str">
        <f>TEXT(SalesData[[#This Row],[Order_Date]],"mmm")</f>
        <v>Jul</v>
      </c>
      <c r="N1001">
        <f>YEAR(SalesData[[#This Row],[Order_Date]])</f>
        <v>2023</v>
      </c>
    </row>
    <row r="1002" spans="1:14" x14ac:dyDescent="0.3">
      <c r="A1002" t="s">
        <v>2036</v>
      </c>
      <c r="B1002" s="1">
        <v>45197</v>
      </c>
      <c r="C1002" t="s">
        <v>487</v>
      </c>
      <c r="D1002" t="s">
        <v>18</v>
      </c>
      <c r="E1002" t="s">
        <v>19</v>
      </c>
      <c r="F1002" t="s">
        <v>141</v>
      </c>
      <c r="G1002" t="s">
        <v>561</v>
      </c>
      <c r="H1002" s="8">
        <v>2313.54</v>
      </c>
      <c r="I1002" s="8">
        <v>182.29</v>
      </c>
      <c r="J1002" s="8">
        <v>0</v>
      </c>
      <c r="K1002" t="str">
        <f>IF(SalesData[[#This Row],[Profit]]&gt;0,"Profit","Loss")</f>
        <v>Profit</v>
      </c>
      <c r="L1002" s="8">
        <f>SalesData[[#This Row],[Profit]]/SalesData[[#This Row],[Sales]]</f>
        <v>7.8792672700709734E-2</v>
      </c>
      <c r="M1002" t="str">
        <f>TEXT(SalesData[[#This Row],[Order_Date]],"mmm")</f>
        <v>Sep</v>
      </c>
      <c r="N1002">
        <f>YEAR(SalesData[[#This Row],[Order_Date]])</f>
        <v>2023</v>
      </c>
    </row>
    <row r="1003" spans="1:14" x14ac:dyDescent="0.3">
      <c r="A1003" t="s">
        <v>2037</v>
      </c>
      <c r="B1003" s="1">
        <v>44921</v>
      </c>
      <c r="C1003" t="s">
        <v>2038</v>
      </c>
      <c r="D1003" t="s">
        <v>18</v>
      </c>
      <c r="E1003" t="s">
        <v>56</v>
      </c>
      <c r="F1003" t="s">
        <v>95</v>
      </c>
      <c r="G1003" t="s">
        <v>1128</v>
      </c>
      <c r="H1003" s="8">
        <v>1439.18</v>
      </c>
      <c r="I1003" s="8">
        <v>184.21</v>
      </c>
      <c r="J1003" s="8">
        <v>0.08</v>
      </c>
      <c r="K1003" t="str">
        <f>IF(SalesData[[#This Row],[Profit]]&gt;0,"Profit","Loss")</f>
        <v>Profit</v>
      </c>
      <c r="L1003" s="8">
        <f>SalesData[[#This Row],[Profit]]/SalesData[[#This Row],[Sales]]</f>
        <v>0.12799649800580887</v>
      </c>
      <c r="M1003" t="str">
        <f>TEXT(SalesData[[#This Row],[Order_Date]],"mmm")</f>
        <v>Dec</v>
      </c>
      <c r="N1003">
        <f>YEAR(SalesData[[#This Row],[Order_Date]])</f>
        <v>2022</v>
      </c>
    </row>
    <row r="1004" spans="1:14" x14ac:dyDescent="0.3">
      <c r="A1004" t="s">
        <v>2039</v>
      </c>
      <c r="B1004" s="1">
        <v>44869</v>
      </c>
      <c r="C1004" t="s">
        <v>1410</v>
      </c>
      <c r="D1004" t="s">
        <v>28</v>
      </c>
      <c r="E1004" t="s">
        <v>13</v>
      </c>
      <c r="F1004" t="s">
        <v>36</v>
      </c>
      <c r="G1004" t="s">
        <v>25</v>
      </c>
      <c r="H1004" s="8">
        <v>322.88</v>
      </c>
      <c r="I1004" s="8">
        <v>-26.52</v>
      </c>
      <c r="J1004" s="8">
        <v>0.22</v>
      </c>
      <c r="K1004" t="str">
        <f>IF(SalesData[[#This Row],[Profit]]&gt;0,"Profit","Loss")</f>
        <v>Loss</v>
      </c>
      <c r="L1004" s="8">
        <f>SalesData[[#This Row],[Profit]]/SalesData[[#This Row],[Sales]]</f>
        <v>-8.2135777998017842E-2</v>
      </c>
      <c r="M1004" t="str">
        <f>TEXT(SalesData[[#This Row],[Order_Date]],"mmm")</f>
        <v>Nov</v>
      </c>
      <c r="N1004">
        <f>YEAR(SalesData[[#This Row],[Order_Date]])</f>
        <v>2022</v>
      </c>
    </row>
    <row r="1005" spans="1:14" x14ac:dyDescent="0.3">
      <c r="A1005" t="s">
        <v>2040</v>
      </c>
      <c r="B1005" s="1">
        <v>44777</v>
      </c>
      <c r="C1005" t="s">
        <v>536</v>
      </c>
      <c r="D1005" t="s">
        <v>40</v>
      </c>
      <c r="E1005" t="s">
        <v>56</v>
      </c>
      <c r="F1005" t="s">
        <v>57</v>
      </c>
      <c r="G1005" t="s">
        <v>2041</v>
      </c>
      <c r="H1005" s="8">
        <v>3652.86</v>
      </c>
      <c r="I1005" s="8">
        <v>98.51</v>
      </c>
      <c r="J1005" s="8">
        <v>0.3</v>
      </c>
      <c r="K1005" t="str">
        <f>IF(SalesData[[#This Row],[Profit]]&gt;0,"Profit","Loss")</f>
        <v>Profit</v>
      </c>
      <c r="L1005" s="8">
        <f>SalesData[[#This Row],[Profit]]/SalesData[[#This Row],[Sales]]</f>
        <v>2.6967910075940498E-2</v>
      </c>
      <c r="M1005" t="str">
        <f>TEXT(SalesData[[#This Row],[Order_Date]],"mmm")</f>
        <v>Aug</v>
      </c>
      <c r="N1005">
        <f>YEAR(SalesData[[#This Row],[Order_Date]])</f>
        <v>2022</v>
      </c>
    </row>
    <row r="1006" spans="1:14" x14ac:dyDescent="0.3">
      <c r="A1006" t="s">
        <v>2042</v>
      </c>
      <c r="B1006" s="1">
        <v>44841</v>
      </c>
      <c r="C1006" t="s">
        <v>256</v>
      </c>
      <c r="D1006" t="s">
        <v>40</v>
      </c>
      <c r="E1006" t="s">
        <v>13</v>
      </c>
      <c r="F1006" t="s">
        <v>36</v>
      </c>
      <c r="G1006" t="s">
        <v>1578</v>
      </c>
      <c r="H1006" s="8">
        <v>3212.33</v>
      </c>
      <c r="I1006" s="8">
        <v>-209.92</v>
      </c>
      <c r="J1006" s="8">
        <v>0.28999999999999998</v>
      </c>
      <c r="K1006" t="str">
        <f>IF(SalesData[[#This Row],[Profit]]&gt;0,"Profit","Loss")</f>
        <v>Loss</v>
      </c>
      <c r="L1006" s="8">
        <f>SalesData[[#This Row],[Profit]]/SalesData[[#This Row],[Sales]]</f>
        <v>-6.5348205196850875E-2</v>
      </c>
      <c r="M1006" t="str">
        <f>TEXT(SalesData[[#This Row],[Order_Date]],"mmm")</f>
        <v>Oct</v>
      </c>
      <c r="N1006">
        <f>YEAR(SalesData[[#This Row],[Order_Date]])</f>
        <v>2022</v>
      </c>
    </row>
    <row r="1007" spans="1:14" x14ac:dyDescent="0.3">
      <c r="A1007" t="s">
        <v>2043</v>
      </c>
      <c r="B1007" s="1">
        <v>44698</v>
      </c>
      <c r="C1007" t="s">
        <v>1108</v>
      </c>
      <c r="D1007" t="s">
        <v>12</v>
      </c>
      <c r="E1007" t="s">
        <v>56</v>
      </c>
      <c r="F1007" t="s">
        <v>95</v>
      </c>
      <c r="G1007" t="s">
        <v>44</v>
      </c>
      <c r="H1007" s="8">
        <v>4799.0600000000004</v>
      </c>
      <c r="I1007" s="8">
        <v>1192.1400000000001</v>
      </c>
      <c r="J1007" s="8">
        <v>0.1</v>
      </c>
      <c r="K1007" t="str">
        <f>IF(SalesData[[#This Row],[Profit]]&gt;0,"Profit","Loss")</f>
        <v>Profit</v>
      </c>
      <c r="L1007" s="8">
        <f>SalesData[[#This Row],[Profit]]/SalesData[[#This Row],[Sales]]</f>
        <v>0.24841114718299001</v>
      </c>
      <c r="M1007" t="str">
        <f>TEXT(SalesData[[#This Row],[Order_Date]],"mmm")</f>
        <v>May</v>
      </c>
      <c r="N1007">
        <f>YEAR(SalesData[[#This Row],[Order_Date]])</f>
        <v>2022</v>
      </c>
    </row>
    <row r="1008" spans="1:14" x14ac:dyDescent="0.3">
      <c r="A1008" t="s">
        <v>2044</v>
      </c>
      <c r="B1008" s="1">
        <v>45275</v>
      </c>
      <c r="C1008" t="s">
        <v>940</v>
      </c>
      <c r="D1008" t="s">
        <v>28</v>
      </c>
      <c r="E1008" t="s">
        <v>19</v>
      </c>
      <c r="F1008" t="s">
        <v>20</v>
      </c>
      <c r="G1008" t="s">
        <v>728</v>
      </c>
      <c r="H1008" s="8">
        <v>4517.08</v>
      </c>
      <c r="I1008" s="8">
        <v>-687.06</v>
      </c>
      <c r="J1008" s="8">
        <v>0.2</v>
      </c>
      <c r="K1008" t="str">
        <f>IF(SalesData[[#This Row],[Profit]]&gt;0,"Profit","Loss")</f>
        <v>Loss</v>
      </c>
      <c r="L1008" s="8">
        <f>SalesData[[#This Row],[Profit]]/SalesData[[#This Row],[Sales]]</f>
        <v>-0.15210268580587458</v>
      </c>
      <c r="M1008" t="str">
        <f>TEXT(SalesData[[#This Row],[Order_Date]],"mmm")</f>
        <v>Dec</v>
      </c>
      <c r="N1008">
        <f>YEAR(SalesData[[#This Row],[Order_Date]])</f>
        <v>2023</v>
      </c>
    </row>
    <row r="1009" spans="1:14" x14ac:dyDescent="0.3">
      <c r="A1009" t="s">
        <v>2045</v>
      </c>
      <c r="B1009" s="1">
        <v>45113</v>
      </c>
      <c r="C1009" t="s">
        <v>464</v>
      </c>
      <c r="D1009" t="s">
        <v>28</v>
      </c>
      <c r="E1009" t="s">
        <v>19</v>
      </c>
      <c r="F1009" t="s">
        <v>141</v>
      </c>
      <c r="G1009" t="s">
        <v>404</v>
      </c>
      <c r="H1009" s="8">
        <v>497.63</v>
      </c>
      <c r="I1009" s="8">
        <v>-34.46</v>
      </c>
      <c r="J1009" s="8">
        <v>0.26</v>
      </c>
      <c r="K1009" t="str">
        <f>IF(SalesData[[#This Row],[Profit]]&gt;0,"Profit","Loss")</f>
        <v>Loss</v>
      </c>
      <c r="L1009" s="8">
        <f>SalesData[[#This Row],[Profit]]/SalesData[[#This Row],[Sales]]</f>
        <v>-6.9248236641681574E-2</v>
      </c>
      <c r="M1009" t="str">
        <f>TEXT(SalesData[[#This Row],[Order_Date]],"mmm")</f>
        <v>Jul</v>
      </c>
      <c r="N1009">
        <f>YEAR(SalesData[[#This Row],[Order_Date]])</f>
        <v>2023</v>
      </c>
    </row>
    <row r="1010" spans="1:14" x14ac:dyDescent="0.3">
      <c r="A1010" t="s">
        <v>2046</v>
      </c>
      <c r="B1010" s="1">
        <v>44958</v>
      </c>
      <c r="C1010" t="s">
        <v>2047</v>
      </c>
      <c r="D1010" t="s">
        <v>12</v>
      </c>
      <c r="E1010" t="s">
        <v>56</v>
      </c>
      <c r="F1010" t="s">
        <v>95</v>
      </c>
      <c r="G1010" t="s">
        <v>933</v>
      </c>
      <c r="H1010" s="8">
        <v>4862.99</v>
      </c>
      <c r="I1010" s="8">
        <v>246.97</v>
      </c>
      <c r="J1010" s="8">
        <v>0.11</v>
      </c>
      <c r="K1010" t="str">
        <f>IF(SalesData[[#This Row],[Profit]]&gt;0,"Profit","Loss")</f>
        <v>Profit</v>
      </c>
      <c r="L1010" s="8">
        <f>SalesData[[#This Row],[Profit]]/SalesData[[#This Row],[Sales]]</f>
        <v>5.0785627772214216E-2</v>
      </c>
      <c r="M1010" t="str">
        <f>TEXT(SalesData[[#This Row],[Order_Date]],"mmm")</f>
        <v>Feb</v>
      </c>
      <c r="N1010">
        <f>YEAR(SalesData[[#This Row],[Order_Date]])</f>
        <v>2023</v>
      </c>
    </row>
    <row r="1011" spans="1:14" x14ac:dyDescent="0.3">
      <c r="A1011" t="s">
        <v>2048</v>
      </c>
      <c r="B1011" s="1">
        <v>44582</v>
      </c>
      <c r="C1011" t="s">
        <v>2049</v>
      </c>
      <c r="D1011" t="s">
        <v>40</v>
      </c>
      <c r="E1011" t="s">
        <v>19</v>
      </c>
      <c r="F1011" t="s">
        <v>29</v>
      </c>
      <c r="G1011" t="s">
        <v>502</v>
      </c>
      <c r="H1011" s="8">
        <v>4687.6099999999997</v>
      </c>
      <c r="I1011" s="8">
        <v>-923.87</v>
      </c>
      <c r="J1011" s="8">
        <v>0.13</v>
      </c>
      <c r="K1011" t="str">
        <f>IF(SalesData[[#This Row],[Profit]]&gt;0,"Profit","Loss")</f>
        <v>Loss</v>
      </c>
      <c r="L1011" s="8">
        <f>SalesData[[#This Row],[Profit]]/SalesData[[#This Row],[Sales]]</f>
        <v>-0.19708764167667533</v>
      </c>
      <c r="M1011" t="str">
        <f>TEXT(SalesData[[#This Row],[Order_Date]],"mmm")</f>
        <v>Jan</v>
      </c>
      <c r="N1011">
        <f>YEAR(SalesData[[#This Row],[Order_Date]])</f>
        <v>2022</v>
      </c>
    </row>
    <row r="1012" spans="1:14" x14ac:dyDescent="0.3">
      <c r="A1012" t="s">
        <v>2050</v>
      </c>
      <c r="B1012" s="1">
        <v>44788</v>
      </c>
      <c r="C1012" t="s">
        <v>1299</v>
      </c>
      <c r="D1012" t="s">
        <v>28</v>
      </c>
      <c r="E1012" t="s">
        <v>13</v>
      </c>
      <c r="F1012" t="s">
        <v>36</v>
      </c>
      <c r="G1012" t="s">
        <v>401</v>
      </c>
      <c r="H1012" s="8">
        <v>1038.4100000000001</v>
      </c>
      <c r="I1012" s="8">
        <v>-67.349999999999994</v>
      </c>
      <c r="J1012" s="8">
        <v>0.24</v>
      </c>
      <c r="K1012" t="str">
        <f>IF(SalesData[[#This Row],[Profit]]&gt;0,"Profit","Loss")</f>
        <v>Loss</v>
      </c>
      <c r="L1012" s="8">
        <f>SalesData[[#This Row],[Profit]]/SalesData[[#This Row],[Sales]]</f>
        <v>-6.4858774472510844E-2</v>
      </c>
      <c r="M1012" t="str">
        <f>TEXT(SalesData[[#This Row],[Order_Date]],"mmm")</f>
        <v>Aug</v>
      </c>
      <c r="N1012">
        <f>YEAR(SalesData[[#This Row],[Order_Date]])</f>
        <v>2022</v>
      </c>
    </row>
    <row r="1013" spans="1:14" x14ac:dyDescent="0.3">
      <c r="A1013" t="s">
        <v>2051</v>
      </c>
      <c r="B1013" s="1">
        <v>44776</v>
      </c>
      <c r="C1013" t="s">
        <v>2052</v>
      </c>
      <c r="D1013" t="s">
        <v>18</v>
      </c>
      <c r="E1013" t="s">
        <v>19</v>
      </c>
      <c r="F1013" t="s">
        <v>20</v>
      </c>
      <c r="G1013" t="s">
        <v>282</v>
      </c>
      <c r="H1013" s="8">
        <v>1475.71</v>
      </c>
      <c r="I1013" s="8">
        <v>-67.62</v>
      </c>
      <c r="J1013" s="8">
        <v>0.27</v>
      </c>
      <c r="K1013" t="str">
        <f>IF(SalesData[[#This Row],[Profit]]&gt;0,"Profit","Loss")</f>
        <v>Loss</v>
      </c>
      <c r="L1013" s="8">
        <f>SalesData[[#This Row],[Profit]]/SalesData[[#This Row],[Sales]]</f>
        <v>-4.5822011099741822E-2</v>
      </c>
      <c r="M1013" t="str">
        <f>TEXT(SalesData[[#This Row],[Order_Date]],"mmm")</f>
        <v>Aug</v>
      </c>
      <c r="N1013">
        <f>YEAR(SalesData[[#This Row],[Order_Date]])</f>
        <v>2022</v>
      </c>
    </row>
    <row r="1014" spans="1:14" x14ac:dyDescent="0.3">
      <c r="A1014" t="s">
        <v>2053</v>
      </c>
      <c r="B1014" s="1">
        <v>44736</v>
      </c>
      <c r="C1014" t="s">
        <v>293</v>
      </c>
      <c r="D1014" t="s">
        <v>18</v>
      </c>
      <c r="E1014" t="s">
        <v>13</v>
      </c>
      <c r="F1014" t="s">
        <v>36</v>
      </c>
      <c r="G1014" t="s">
        <v>803</v>
      </c>
      <c r="H1014" s="8">
        <v>643.64</v>
      </c>
      <c r="I1014" s="8">
        <v>13</v>
      </c>
      <c r="J1014" s="8">
        <v>0.08</v>
      </c>
      <c r="K1014" t="str">
        <f>IF(SalesData[[#This Row],[Profit]]&gt;0,"Profit","Loss")</f>
        <v>Profit</v>
      </c>
      <c r="L1014" s="8">
        <f>SalesData[[#This Row],[Profit]]/SalesData[[#This Row],[Sales]]</f>
        <v>2.0197626002112983E-2</v>
      </c>
      <c r="M1014" t="str">
        <f>TEXT(SalesData[[#This Row],[Order_Date]],"mmm")</f>
        <v>Jun</v>
      </c>
      <c r="N1014">
        <f>YEAR(SalesData[[#This Row],[Order_Date]])</f>
        <v>2022</v>
      </c>
    </row>
    <row r="1015" spans="1:14" x14ac:dyDescent="0.3">
      <c r="A1015" t="s">
        <v>2054</v>
      </c>
      <c r="B1015" s="1">
        <v>45164</v>
      </c>
      <c r="C1015" t="s">
        <v>2055</v>
      </c>
      <c r="D1015" t="s">
        <v>12</v>
      </c>
      <c r="E1015" t="s">
        <v>13</v>
      </c>
      <c r="F1015" t="s">
        <v>24</v>
      </c>
      <c r="G1015" t="s">
        <v>80</v>
      </c>
      <c r="H1015" s="8">
        <v>3393.66</v>
      </c>
      <c r="I1015" s="8">
        <v>-932.18</v>
      </c>
      <c r="J1015" s="8">
        <v>0.18</v>
      </c>
      <c r="K1015" t="str">
        <f>IF(SalesData[[#This Row],[Profit]]&gt;0,"Profit","Loss")</f>
        <v>Loss</v>
      </c>
      <c r="L1015" s="8">
        <f>SalesData[[#This Row],[Profit]]/SalesData[[#This Row],[Sales]]</f>
        <v>-0.27468279085117542</v>
      </c>
      <c r="M1015" t="str">
        <f>TEXT(SalesData[[#This Row],[Order_Date]],"mmm")</f>
        <v>Aug</v>
      </c>
      <c r="N1015">
        <f>YEAR(SalesData[[#This Row],[Order_Date]])</f>
        <v>2023</v>
      </c>
    </row>
    <row r="1016" spans="1:14" x14ac:dyDescent="0.3">
      <c r="A1016" t="s">
        <v>2056</v>
      </c>
      <c r="B1016" s="1">
        <v>44842</v>
      </c>
      <c r="C1016" t="s">
        <v>35</v>
      </c>
      <c r="D1016" t="s">
        <v>12</v>
      </c>
      <c r="E1016" t="s">
        <v>19</v>
      </c>
      <c r="F1016" t="s">
        <v>141</v>
      </c>
      <c r="G1016" t="s">
        <v>108</v>
      </c>
      <c r="H1016" s="8">
        <v>4291.8500000000004</v>
      </c>
      <c r="I1016" s="8">
        <v>-97.26</v>
      </c>
      <c r="J1016" s="8">
        <v>0.26</v>
      </c>
      <c r="K1016" t="str">
        <f>IF(SalesData[[#This Row],[Profit]]&gt;0,"Profit","Loss")</f>
        <v>Loss</v>
      </c>
      <c r="L1016" s="8">
        <f>SalesData[[#This Row],[Profit]]/SalesData[[#This Row],[Sales]]</f>
        <v>-2.2661556205365984E-2</v>
      </c>
      <c r="M1016" t="str">
        <f>TEXT(SalesData[[#This Row],[Order_Date]],"mmm")</f>
        <v>Oct</v>
      </c>
      <c r="N1016">
        <f>YEAR(SalesData[[#This Row],[Order_Date]])</f>
        <v>2022</v>
      </c>
    </row>
    <row r="1017" spans="1:14" x14ac:dyDescent="0.3">
      <c r="A1017" t="s">
        <v>2057</v>
      </c>
      <c r="B1017" s="1">
        <v>45026</v>
      </c>
      <c r="C1017" t="s">
        <v>1178</v>
      </c>
      <c r="D1017" t="s">
        <v>28</v>
      </c>
      <c r="E1017" t="s">
        <v>13</v>
      </c>
      <c r="F1017" t="s">
        <v>24</v>
      </c>
      <c r="G1017" t="s">
        <v>632</v>
      </c>
      <c r="H1017" s="8">
        <v>2711.41</v>
      </c>
      <c r="I1017" s="8">
        <v>152.03</v>
      </c>
      <c r="J1017" s="8">
        <v>0.08</v>
      </c>
      <c r="K1017" t="str">
        <f>IF(SalesData[[#This Row],[Profit]]&gt;0,"Profit","Loss")</f>
        <v>Profit</v>
      </c>
      <c r="L1017" s="8">
        <f>SalesData[[#This Row],[Profit]]/SalesData[[#This Row],[Sales]]</f>
        <v>5.6070457806086133E-2</v>
      </c>
      <c r="M1017" t="str">
        <f>TEXT(SalesData[[#This Row],[Order_Date]],"mmm")</f>
        <v>Apr</v>
      </c>
      <c r="N1017">
        <f>YEAR(SalesData[[#This Row],[Order_Date]])</f>
        <v>2023</v>
      </c>
    </row>
    <row r="1018" spans="1:14" x14ac:dyDescent="0.3">
      <c r="A1018" t="s">
        <v>2058</v>
      </c>
      <c r="B1018" s="1">
        <v>44978</v>
      </c>
      <c r="C1018" t="s">
        <v>2059</v>
      </c>
      <c r="D1018" t="s">
        <v>12</v>
      </c>
      <c r="E1018" t="s">
        <v>13</v>
      </c>
      <c r="F1018" t="s">
        <v>24</v>
      </c>
      <c r="G1018" t="s">
        <v>502</v>
      </c>
      <c r="H1018" s="8">
        <v>354.13</v>
      </c>
      <c r="I1018" s="8">
        <v>-78.08</v>
      </c>
      <c r="J1018" s="8">
        <v>0.28000000000000003</v>
      </c>
      <c r="K1018" t="str">
        <f>IF(SalesData[[#This Row],[Profit]]&gt;0,"Profit","Loss")</f>
        <v>Loss</v>
      </c>
      <c r="L1018" s="8">
        <f>SalesData[[#This Row],[Profit]]/SalesData[[#This Row],[Sales]]</f>
        <v>-0.22048400304972751</v>
      </c>
      <c r="M1018" t="str">
        <f>TEXT(SalesData[[#This Row],[Order_Date]],"mmm")</f>
        <v>Feb</v>
      </c>
      <c r="N1018">
        <f>YEAR(SalesData[[#This Row],[Order_Date]])</f>
        <v>2023</v>
      </c>
    </row>
    <row r="1019" spans="1:14" x14ac:dyDescent="0.3">
      <c r="A1019" t="s">
        <v>2060</v>
      </c>
      <c r="B1019" s="1">
        <v>44791</v>
      </c>
      <c r="C1019" t="s">
        <v>2061</v>
      </c>
      <c r="D1019" t="s">
        <v>40</v>
      </c>
      <c r="E1019" t="s">
        <v>13</v>
      </c>
      <c r="F1019" t="s">
        <v>36</v>
      </c>
      <c r="G1019" t="s">
        <v>1355</v>
      </c>
      <c r="H1019" s="8">
        <v>2528.3200000000002</v>
      </c>
      <c r="I1019" s="8">
        <v>-844.26</v>
      </c>
      <c r="J1019" s="8">
        <v>0.16</v>
      </c>
      <c r="K1019" t="str">
        <f>IF(SalesData[[#This Row],[Profit]]&gt;0,"Profit","Loss")</f>
        <v>Loss</v>
      </c>
      <c r="L1019" s="8">
        <f>SalesData[[#This Row],[Profit]]/SalesData[[#This Row],[Sales]]</f>
        <v>-0.33392133907100363</v>
      </c>
      <c r="M1019" t="str">
        <f>TEXT(SalesData[[#This Row],[Order_Date]],"mmm")</f>
        <v>Aug</v>
      </c>
      <c r="N1019">
        <f>YEAR(SalesData[[#This Row],[Order_Date]])</f>
        <v>2022</v>
      </c>
    </row>
    <row r="1020" spans="1:14" x14ac:dyDescent="0.3">
      <c r="A1020" t="s">
        <v>2062</v>
      </c>
      <c r="B1020" s="1">
        <v>44645</v>
      </c>
      <c r="C1020" t="s">
        <v>986</v>
      </c>
      <c r="D1020" t="s">
        <v>12</v>
      </c>
      <c r="E1020" t="s">
        <v>19</v>
      </c>
      <c r="F1020" t="s">
        <v>141</v>
      </c>
      <c r="G1020" t="s">
        <v>2063</v>
      </c>
      <c r="H1020" s="8">
        <v>2299.42</v>
      </c>
      <c r="I1020" s="8">
        <v>-191.39</v>
      </c>
      <c r="J1020" s="8">
        <v>0</v>
      </c>
      <c r="K1020" t="str">
        <f>IF(SalesData[[#This Row],[Profit]]&gt;0,"Profit","Loss")</f>
        <v>Loss</v>
      </c>
      <c r="L1020" s="8">
        <f>SalesData[[#This Row],[Profit]]/SalesData[[#This Row],[Sales]]</f>
        <v>-8.3234032930043222E-2</v>
      </c>
      <c r="M1020" t="str">
        <f>TEXT(SalesData[[#This Row],[Order_Date]],"mmm")</f>
        <v>Mar</v>
      </c>
      <c r="N1020">
        <f>YEAR(SalesData[[#This Row],[Order_Date]])</f>
        <v>2022</v>
      </c>
    </row>
    <row r="1021" spans="1:14" x14ac:dyDescent="0.3">
      <c r="A1021" t="s">
        <v>2064</v>
      </c>
      <c r="B1021" s="1">
        <v>44730</v>
      </c>
      <c r="C1021" t="s">
        <v>2065</v>
      </c>
      <c r="D1021" t="s">
        <v>40</v>
      </c>
      <c r="E1021" t="s">
        <v>56</v>
      </c>
      <c r="F1021" t="s">
        <v>73</v>
      </c>
      <c r="G1021" t="s">
        <v>843</v>
      </c>
      <c r="H1021" s="8">
        <v>2176.7199999999998</v>
      </c>
      <c r="I1021" s="8">
        <v>-152.38999999999999</v>
      </c>
      <c r="J1021" s="8">
        <v>0.02</v>
      </c>
      <c r="K1021" t="str">
        <f>IF(SalesData[[#This Row],[Profit]]&gt;0,"Profit","Loss")</f>
        <v>Loss</v>
      </c>
      <c r="L1021" s="8">
        <f>SalesData[[#This Row],[Profit]]/SalesData[[#This Row],[Sales]]</f>
        <v>-7.0009004373552869E-2</v>
      </c>
      <c r="M1021" t="str">
        <f>TEXT(SalesData[[#This Row],[Order_Date]],"mmm")</f>
        <v>Jun</v>
      </c>
      <c r="N1021">
        <f>YEAR(SalesData[[#This Row],[Order_Date]])</f>
        <v>2022</v>
      </c>
    </row>
    <row r="1022" spans="1:14" x14ac:dyDescent="0.3">
      <c r="A1022" t="s">
        <v>2066</v>
      </c>
      <c r="B1022" s="1">
        <v>45168</v>
      </c>
      <c r="C1022" t="s">
        <v>1898</v>
      </c>
      <c r="D1022" t="s">
        <v>40</v>
      </c>
      <c r="E1022" t="s">
        <v>13</v>
      </c>
      <c r="F1022" t="s">
        <v>24</v>
      </c>
      <c r="G1022" t="s">
        <v>225</v>
      </c>
      <c r="H1022" s="8">
        <v>573.96</v>
      </c>
      <c r="I1022" s="8">
        <v>83.13</v>
      </c>
      <c r="J1022" s="8">
        <v>0.14000000000000001</v>
      </c>
      <c r="K1022" t="str">
        <f>IF(SalesData[[#This Row],[Profit]]&gt;0,"Profit","Loss")</f>
        <v>Profit</v>
      </c>
      <c r="L1022" s="8">
        <f>SalesData[[#This Row],[Profit]]/SalesData[[#This Row],[Sales]]</f>
        <v>0.1448358770646038</v>
      </c>
      <c r="M1022" t="str">
        <f>TEXT(SalesData[[#This Row],[Order_Date]],"mmm")</f>
        <v>Aug</v>
      </c>
      <c r="N1022">
        <f>YEAR(SalesData[[#This Row],[Order_Date]])</f>
        <v>2023</v>
      </c>
    </row>
    <row r="1023" spans="1:14" x14ac:dyDescent="0.3">
      <c r="A1023" t="s">
        <v>2067</v>
      </c>
      <c r="B1023" s="1">
        <v>44617</v>
      </c>
      <c r="C1023" t="s">
        <v>1687</v>
      </c>
      <c r="D1023" t="s">
        <v>18</v>
      </c>
      <c r="E1023" t="s">
        <v>19</v>
      </c>
      <c r="F1023" t="s">
        <v>20</v>
      </c>
      <c r="G1023" t="s">
        <v>148</v>
      </c>
      <c r="H1023" s="8">
        <v>628.41999999999996</v>
      </c>
      <c r="I1023" s="8">
        <v>-41.17</v>
      </c>
      <c r="J1023" s="8">
        <v>7.0000000000000007E-2</v>
      </c>
      <c r="K1023" t="str">
        <f>IF(SalesData[[#This Row],[Profit]]&gt;0,"Profit","Loss")</f>
        <v>Loss</v>
      </c>
      <c r="L1023" s="8">
        <f>SalesData[[#This Row],[Profit]]/SalesData[[#This Row],[Sales]]</f>
        <v>-6.5513510072881198E-2</v>
      </c>
      <c r="M1023" t="str">
        <f>TEXT(SalesData[[#This Row],[Order_Date]],"mmm")</f>
        <v>Feb</v>
      </c>
      <c r="N1023">
        <f>YEAR(SalesData[[#This Row],[Order_Date]])</f>
        <v>2022</v>
      </c>
    </row>
    <row r="1024" spans="1:14" x14ac:dyDescent="0.3">
      <c r="A1024" t="s">
        <v>2068</v>
      </c>
      <c r="B1024" s="1">
        <v>45154</v>
      </c>
      <c r="C1024" t="s">
        <v>32</v>
      </c>
      <c r="D1024" t="s">
        <v>12</v>
      </c>
      <c r="E1024" t="s">
        <v>56</v>
      </c>
      <c r="F1024" t="s">
        <v>73</v>
      </c>
      <c r="G1024" t="s">
        <v>1308</v>
      </c>
      <c r="H1024" s="8">
        <v>3135.88</v>
      </c>
      <c r="I1024" s="8">
        <v>-171.82</v>
      </c>
      <c r="J1024" s="8">
        <v>0.23</v>
      </c>
      <c r="K1024" t="str">
        <f>IF(SalesData[[#This Row],[Profit]]&gt;0,"Profit","Loss")</f>
        <v>Loss</v>
      </c>
      <c r="L1024" s="8">
        <f>SalesData[[#This Row],[Profit]]/SalesData[[#This Row],[Sales]]</f>
        <v>-5.4791637435105928E-2</v>
      </c>
      <c r="M1024" t="str">
        <f>TEXT(SalesData[[#This Row],[Order_Date]],"mmm")</f>
        <v>Aug</v>
      </c>
      <c r="N1024">
        <f>YEAR(SalesData[[#This Row],[Order_Date]])</f>
        <v>2023</v>
      </c>
    </row>
    <row r="1025" spans="1:14" x14ac:dyDescent="0.3">
      <c r="A1025" t="s">
        <v>2069</v>
      </c>
      <c r="B1025" s="1">
        <v>44692</v>
      </c>
      <c r="C1025" t="s">
        <v>1082</v>
      </c>
      <c r="D1025" t="s">
        <v>28</v>
      </c>
      <c r="E1025" t="s">
        <v>56</v>
      </c>
      <c r="F1025" t="s">
        <v>57</v>
      </c>
      <c r="G1025" t="s">
        <v>1560</v>
      </c>
      <c r="H1025" s="8">
        <v>1949.24</v>
      </c>
      <c r="I1025" s="8">
        <v>-105.22</v>
      </c>
      <c r="J1025" s="8">
        <v>0.27</v>
      </c>
      <c r="K1025" t="str">
        <f>IF(SalesData[[#This Row],[Profit]]&gt;0,"Profit","Loss")</f>
        <v>Loss</v>
      </c>
      <c r="L1025" s="8">
        <f>SalesData[[#This Row],[Profit]]/SalesData[[#This Row],[Sales]]</f>
        <v>-5.3980012722907388E-2</v>
      </c>
      <c r="M1025" t="str">
        <f>TEXT(SalesData[[#This Row],[Order_Date]],"mmm")</f>
        <v>May</v>
      </c>
      <c r="N1025">
        <f>YEAR(SalesData[[#This Row],[Order_Date]])</f>
        <v>2022</v>
      </c>
    </row>
    <row r="1026" spans="1:14" x14ac:dyDescent="0.3">
      <c r="A1026" t="s">
        <v>2070</v>
      </c>
      <c r="B1026" s="1">
        <v>45134</v>
      </c>
      <c r="C1026" t="s">
        <v>2071</v>
      </c>
      <c r="D1026" t="s">
        <v>40</v>
      </c>
      <c r="E1026" t="s">
        <v>19</v>
      </c>
      <c r="F1026" t="s">
        <v>141</v>
      </c>
      <c r="G1026" t="s">
        <v>119</v>
      </c>
      <c r="H1026" s="8">
        <v>3168.31</v>
      </c>
      <c r="I1026" s="8">
        <v>591.01</v>
      </c>
      <c r="J1026" s="8">
        <v>0.02</v>
      </c>
      <c r="K1026" t="str">
        <f>IF(SalesData[[#This Row],[Profit]]&gt;0,"Profit","Loss")</f>
        <v>Profit</v>
      </c>
      <c r="L1026" s="8">
        <f>SalesData[[#This Row],[Profit]]/SalesData[[#This Row],[Sales]]</f>
        <v>0.18653793347241904</v>
      </c>
      <c r="M1026" t="str">
        <f>TEXT(SalesData[[#This Row],[Order_Date]],"mmm")</f>
        <v>Jul</v>
      </c>
      <c r="N1026">
        <f>YEAR(SalesData[[#This Row],[Order_Date]])</f>
        <v>2023</v>
      </c>
    </row>
    <row r="1027" spans="1:14" x14ac:dyDescent="0.3">
      <c r="A1027" t="s">
        <v>2072</v>
      </c>
      <c r="B1027" s="1">
        <v>45175</v>
      </c>
      <c r="C1027" t="s">
        <v>1512</v>
      </c>
      <c r="D1027" t="s">
        <v>12</v>
      </c>
      <c r="E1027" t="s">
        <v>19</v>
      </c>
      <c r="F1027" t="s">
        <v>29</v>
      </c>
      <c r="G1027" t="s">
        <v>41</v>
      </c>
      <c r="H1027" s="8">
        <v>569.57000000000005</v>
      </c>
      <c r="I1027" s="8">
        <v>-165.25</v>
      </c>
      <c r="J1027" s="8">
        <v>0.23</v>
      </c>
      <c r="K1027" t="str">
        <f>IF(SalesData[[#This Row],[Profit]]&gt;0,"Profit","Loss")</f>
        <v>Loss</v>
      </c>
      <c r="L1027" s="8">
        <f>SalesData[[#This Row],[Profit]]/SalesData[[#This Row],[Sales]]</f>
        <v>-0.29013115157048297</v>
      </c>
      <c r="M1027" t="str">
        <f>TEXT(SalesData[[#This Row],[Order_Date]],"mmm")</f>
        <v>Sep</v>
      </c>
      <c r="N1027">
        <f>YEAR(SalesData[[#This Row],[Order_Date]])</f>
        <v>2023</v>
      </c>
    </row>
    <row r="1028" spans="1:14" x14ac:dyDescent="0.3">
      <c r="A1028" t="s">
        <v>2073</v>
      </c>
      <c r="B1028" s="1">
        <v>44909</v>
      </c>
      <c r="C1028" t="s">
        <v>2074</v>
      </c>
      <c r="D1028" t="s">
        <v>12</v>
      </c>
      <c r="E1028" t="s">
        <v>19</v>
      </c>
      <c r="F1028" t="s">
        <v>29</v>
      </c>
      <c r="G1028" t="s">
        <v>41</v>
      </c>
      <c r="H1028" s="8">
        <v>3996.31</v>
      </c>
      <c r="I1028" s="8">
        <v>-353.52</v>
      </c>
      <c r="J1028" s="8">
        <v>0.26</v>
      </c>
      <c r="K1028" t="str">
        <f>IF(SalesData[[#This Row],[Profit]]&gt;0,"Profit","Loss")</f>
        <v>Loss</v>
      </c>
      <c r="L1028" s="8">
        <f>SalesData[[#This Row],[Profit]]/SalesData[[#This Row],[Sales]]</f>
        <v>-8.846160583137945E-2</v>
      </c>
      <c r="M1028" t="str">
        <f>TEXT(SalesData[[#This Row],[Order_Date]],"mmm")</f>
        <v>Dec</v>
      </c>
      <c r="N1028">
        <f>YEAR(SalesData[[#This Row],[Order_Date]])</f>
        <v>2022</v>
      </c>
    </row>
    <row r="1029" spans="1:14" x14ac:dyDescent="0.3">
      <c r="A1029" t="s">
        <v>2075</v>
      </c>
      <c r="B1029" s="1">
        <v>45292</v>
      </c>
      <c r="C1029" t="s">
        <v>1831</v>
      </c>
      <c r="D1029" t="s">
        <v>18</v>
      </c>
      <c r="E1029" t="s">
        <v>13</v>
      </c>
      <c r="F1029" t="s">
        <v>36</v>
      </c>
      <c r="G1029" t="s">
        <v>2076</v>
      </c>
      <c r="H1029" s="8">
        <v>2980.29</v>
      </c>
      <c r="I1029" s="8">
        <v>-663.49</v>
      </c>
      <c r="J1029" s="8">
        <v>0.03</v>
      </c>
      <c r="K1029" t="str">
        <f>IF(SalesData[[#This Row],[Profit]]&gt;0,"Profit","Loss")</f>
        <v>Loss</v>
      </c>
      <c r="L1029" s="8">
        <f>SalesData[[#This Row],[Profit]]/SalesData[[#This Row],[Sales]]</f>
        <v>-0.2226259860617591</v>
      </c>
      <c r="M1029" t="str">
        <f>TEXT(SalesData[[#This Row],[Order_Date]],"mmm")</f>
        <v>Jan</v>
      </c>
      <c r="N1029">
        <f>YEAR(SalesData[[#This Row],[Order_Date]])</f>
        <v>2024</v>
      </c>
    </row>
    <row r="1030" spans="1:14" x14ac:dyDescent="0.3">
      <c r="A1030" t="s">
        <v>2077</v>
      </c>
      <c r="B1030" s="1">
        <v>45197</v>
      </c>
      <c r="C1030" t="s">
        <v>2078</v>
      </c>
      <c r="D1030" t="s">
        <v>18</v>
      </c>
      <c r="E1030" t="s">
        <v>13</v>
      </c>
      <c r="F1030" t="s">
        <v>14</v>
      </c>
      <c r="G1030" t="s">
        <v>96</v>
      </c>
      <c r="H1030" s="8">
        <v>3223.08</v>
      </c>
      <c r="I1030" s="8">
        <v>-88.3</v>
      </c>
      <c r="J1030" s="8">
        <v>0.08</v>
      </c>
      <c r="K1030" t="str">
        <f>IF(SalesData[[#This Row],[Profit]]&gt;0,"Profit","Loss")</f>
        <v>Loss</v>
      </c>
      <c r="L1030" s="8">
        <f>SalesData[[#This Row],[Profit]]/SalesData[[#This Row],[Sales]]</f>
        <v>-2.7396155230400735E-2</v>
      </c>
      <c r="M1030" t="str">
        <f>TEXT(SalesData[[#This Row],[Order_Date]],"mmm")</f>
        <v>Sep</v>
      </c>
      <c r="N1030">
        <f>YEAR(SalesData[[#This Row],[Order_Date]])</f>
        <v>2023</v>
      </c>
    </row>
    <row r="1031" spans="1:14" x14ac:dyDescent="0.3">
      <c r="A1031" t="s">
        <v>2079</v>
      </c>
      <c r="B1031" s="1">
        <v>45229</v>
      </c>
      <c r="C1031" t="s">
        <v>768</v>
      </c>
      <c r="D1031" t="s">
        <v>40</v>
      </c>
      <c r="E1031" t="s">
        <v>56</v>
      </c>
      <c r="F1031" t="s">
        <v>57</v>
      </c>
      <c r="G1031" t="s">
        <v>331</v>
      </c>
      <c r="H1031" s="8">
        <v>396.41</v>
      </c>
      <c r="I1031" s="8">
        <v>-11.29</v>
      </c>
      <c r="J1031" s="8">
        <v>0.09</v>
      </c>
      <c r="K1031" t="str">
        <f>IF(SalesData[[#This Row],[Profit]]&gt;0,"Profit","Loss")</f>
        <v>Loss</v>
      </c>
      <c r="L1031" s="8">
        <f>SalesData[[#This Row],[Profit]]/SalesData[[#This Row],[Sales]]</f>
        <v>-2.8480613506218305E-2</v>
      </c>
      <c r="M1031" t="str">
        <f>TEXT(SalesData[[#This Row],[Order_Date]],"mmm")</f>
        <v>Oct</v>
      </c>
      <c r="N1031">
        <f>YEAR(SalesData[[#This Row],[Order_Date]])</f>
        <v>2023</v>
      </c>
    </row>
    <row r="1032" spans="1:14" x14ac:dyDescent="0.3">
      <c r="A1032" t="s">
        <v>2080</v>
      </c>
      <c r="B1032" s="1">
        <v>44913</v>
      </c>
      <c r="C1032" t="s">
        <v>560</v>
      </c>
      <c r="D1032" t="s">
        <v>40</v>
      </c>
      <c r="E1032" t="s">
        <v>13</v>
      </c>
      <c r="F1032" t="s">
        <v>24</v>
      </c>
      <c r="G1032" t="s">
        <v>108</v>
      </c>
      <c r="H1032" s="8">
        <v>3899.93</v>
      </c>
      <c r="I1032" s="8">
        <v>-213.7</v>
      </c>
      <c r="J1032" s="8">
        <v>0.04</v>
      </c>
      <c r="K1032" t="str">
        <f>IF(SalesData[[#This Row],[Profit]]&gt;0,"Profit","Loss")</f>
        <v>Loss</v>
      </c>
      <c r="L1032" s="8">
        <f>SalesData[[#This Row],[Profit]]/SalesData[[#This Row],[Sales]]</f>
        <v>-5.4795855310223518E-2</v>
      </c>
      <c r="M1032" t="str">
        <f>TEXT(SalesData[[#This Row],[Order_Date]],"mmm")</f>
        <v>Dec</v>
      </c>
      <c r="N1032">
        <f>YEAR(SalesData[[#This Row],[Order_Date]])</f>
        <v>2022</v>
      </c>
    </row>
    <row r="1033" spans="1:14" x14ac:dyDescent="0.3">
      <c r="A1033" t="s">
        <v>2081</v>
      </c>
      <c r="B1033" s="1">
        <v>45081</v>
      </c>
      <c r="C1033" t="s">
        <v>1798</v>
      </c>
      <c r="D1033" t="s">
        <v>12</v>
      </c>
      <c r="E1033" t="s">
        <v>56</v>
      </c>
      <c r="F1033" t="s">
        <v>73</v>
      </c>
      <c r="G1033" t="s">
        <v>1091</v>
      </c>
      <c r="H1033" s="8">
        <v>2973.56</v>
      </c>
      <c r="I1033" s="8">
        <v>-1087.1600000000001</v>
      </c>
      <c r="J1033" s="8">
        <v>0.2</v>
      </c>
      <c r="K1033" t="str">
        <f>IF(SalesData[[#This Row],[Profit]]&gt;0,"Profit","Loss")</f>
        <v>Loss</v>
      </c>
      <c r="L1033" s="8">
        <f>SalesData[[#This Row],[Profit]]/SalesData[[#This Row],[Sales]]</f>
        <v>-0.36560889976997274</v>
      </c>
      <c r="M1033" t="str">
        <f>TEXT(SalesData[[#This Row],[Order_Date]],"mmm")</f>
        <v>Jun</v>
      </c>
      <c r="N1033">
        <f>YEAR(SalesData[[#This Row],[Order_Date]])</f>
        <v>2023</v>
      </c>
    </row>
    <row r="1034" spans="1:14" x14ac:dyDescent="0.3">
      <c r="A1034" t="s">
        <v>2082</v>
      </c>
      <c r="B1034" s="1">
        <v>44632</v>
      </c>
      <c r="C1034" t="s">
        <v>530</v>
      </c>
      <c r="D1034" t="s">
        <v>18</v>
      </c>
      <c r="E1034" t="s">
        <v>19</v>
      </c>
      <c r="F1034" t="s">
        <v>20</v>
      </c>
      <c r="G1034" t="s">
        <v>154</v>
      </c>
      <c r="H1034" s="8">
        <v>4884.8999999999996</v>
      </c>
      <c r="I1034" s="8">
        <v>-1315.23</v>
      </c>
      <c r="J1034" s="8">
        <v>0.19</v>
      </c>
      <c r="K1034" t="str">
        <f>IF(SalesData[[#This Row],[Profit]]&gt;0,"Profit","Loss")</f>
        <v>Loss</v>
      </c>
      <c r="L1034" s="8">
        <f>SalesData[[#This Row],[Profit]]/SalesData[[#This Row],[Sales]]</f>
        <v>-0.26924399680648531</v>
      </c>
      <c r="M1034" t="str">
        <f>TEXT(SalesData[[#This Row],[Order_Date]],"mmm")</f>
        <v>Mar</v>
      </c>
      <c r="N1034">
        <f>YEAR(SalesData[[#This Row],[Order_Date]])</f>
        <v>2022</v>
      </c>
    </row>
    <row r="1035" spans="1:14" x14ac:dyDescent="0.3">
      <c r="A1035" t="s">
        <v>2083</v>
      </c>
      <c r="B1035" s="1">
        <v>45154</v>
      </c>
      <c r="C1035" t="s">
        <v>1673</v>
      </c>
      <c r="D1035" t="s">
        <v>40</v>
      </c>
      <c r="E1035" t="s">
        <v>19</v>
      </c>
      <c r="F1035" t="s">
        <v>141</v>
      </c>
      <c r="G1035" t="s">
        <v>254</v>
      </c>
      <c r="H1035" s="8">
        <v>3490.02</v>
      </c>
      <c r="I1035" s="8">
        <v>263.32</v>
      </c>
      <c r="J1035" s="8">
        <v>0.14000000000000001</v>
      </c>
      <c r="K1035" t="str">
        <f>IF(SalesData[[#This Row],[Profit]]&gt;0,"Profit","Loss")</f>
        <v>Profit</v>
      </c>
      <c r="L1035" s="8">
        <f>SalesData[[#This Row],[Profit]]/SalesData[[#This Row],[Sales]]</f>
        <v>7.5449424358599665E-2</v>
      </c>
      <c r="M1035" t="str">
        <f>TEXT(SalesData[[#This Row],[Order_Date]],"mmm")</f>
        <v>Aug</v>
      </c>
      <c r="N1035">
        <f>YEAR(SalesData[[#This Row],[Order_Date]])</f>
        <v>2023</v>
      </c>
    </row>
    <row r="1036" spans="1:14" x14ac:dyDescent="0.3">
      <c r="A1036" t="s">
        <v>2084</v>
      </c>
      <c r="B1036" s="1">
        <v>44605</v>
      </c>
      <c r="C1036" t="s">
        <v>319</v>
      </c>
      <c r="D1036" t="s">
        <v>18</v>
      </c>
      <c r="E1036" t="s">
        <v>19</v>
      </c>
      <c r="F1036" t="s">
        <v>29</v>
      </c>
      <c r="G1036" t="s">
        <v>1563</v>
      </c>
      <c r="H1036" s="8">
        <v>1710.23</v>
      </c>
      <c r="I1036" s="8">
        <v>505.65</v>
      </c>
      <c r="J1036" s="8">
        <v>0.03</v>
      </c>
      <c r="K1036" t="str">
        <f>IF(SalesData[[#This Row],[Profit]]&gt;0,"Profit","Loss")</f>
        <v>Profit</v>
      </c>
      <c r="L1036" s="8">
        <f>SalesData[[#This Row],[Profit]]/SalesData[[#This Row],[Sales]]</f>
        <v>0.29566198698420676</v>
      </c>
      <c r="M1036" t="str">
        <f>TEXT(SalesData[[#This Row],[Order_Date]],"mmm")</f>
        <v>Feb</v>
      </c>
      <c r="N1036">
        <f>YEAR(SalesData[[#This Row],[Order_Date]])</f>
        <v>2022</v>
      </c>
    </row>
    <row r="1037" spans="1:14" x14ac:dyDescent="0.3">
      <c r="A1037" t="s">
        <v>2085</v>
      </c>
      <c r="B1037" s="1">
        <v>44806</v>
      </c>
      <c r="C1037" t="s">
        <v>2086</v>
      </c>
      <c r="D1037" t="s">
        <v>40</v>
      </c>
      <c r="E1037" t="s">
        <v>56</v>
      </c>
      <c r="F1037" t="s">
        <v>73</v>
      </c>
      <c r="G1037" t="s">
        <v>2087</v>
      </c>
      <c r="H1037" s="8">
        <v>1192.82</v>
      </c>
      <c r="I1037" s="8">
        <v>124.47</v>
      </c>
      <c r="J1037" s="8">
        <v>7.0000000000000007E-2</v>
      </c>
      <c r="K1037" t="str">
        <f>IF(SalesData[[#This Row],[Profit]]&gt;0,"Profit","Loss")</f>
        <v>Profit</v>
      </c>
      <c r="L1037" s="8">
        <f>SalesData[[#This Row],[Profit]]/SalesData[[#This Row],[Sales]]</f>
        <v>0.10434935698596604</v>
      </c>
      <c r="M1037" t="str">
        <f>TEXT(SalesData[[#This Row],[Order_Date]],"mmm")</f>
        <v>Sep</v>
      </c>
      <c r="N1037">
        <f>YEAR(SalesData[[#This Row],[Order_Date]])</f>
        <v>2022</v>
      </c>
    </row>
    <row r="1038" spans="1:14" x14ac:dyDescent="0.3">
      <c r="A1038" t="s">
        <v>2088</v>
      </c>
      <c r="B1038" s="1">
        <v>44933</v>
      </c>
      <c r="C1038" t="s">
        <v>1349</v>
      </c>
      <c r="D1038" t="s">
        <v>12</v>
      </c>
      <c r="E1038" t="s">
        <v>13</v>
      </c>
      <c r="F1038" t="s">
        <v>36</v>
      </c>
      <c r="G1038" t="s">
        <v>1264</v>
      </c>
      <c r="H1038" s="8">
        <v>1106.05</v>
      </c>
      <c r="I1038" s="8">
        <v>369.34</v>
      </c>
      <c r="J1038" s="8">
        <v>0.06</v>
      </c>
      <c r="K1038" t="str">
        <f>IF(SalesData[[#This Row],[Profit]]&gt;0,"Profit","Loss")</f>
        <v>Profit</v>
      </c>
      <c r="L1038" s="8">
        <f>SalesData[[#This Row],[Profit]]/SalesData[[#This Row],[Sales]]</f>
        <v>0.33392703765652548</v>
      </c>
      <c r="M1038" t="str">
        <f>TEXT(SalesData[[#This Row],[Order_Date]],"mmm")</f>
        <v>Jan</v>
      </c>
      <c r="N1038">
        <f>YEAR(SalesData[[#This Row],[Order_Date]])</f>
        <v>2023</v>
      </c>
    </row>
    <row r="1039" spans="1:14" x14ac:dyDescent="0.3">
      <c r="A1039" t="s">
        <v>2089</v>
      </c>
      <c r="B1039" s="1">
        <v>45161</v>
      </c>
      <c r="C1039" t="s">
        <v>1266</v>
      </c>
      <c r="D1039" t="s">
        <v>40</v>
      </c>
      <c r="E1039" t="s">
        <v>56</v>
      </c>
      <c r="F1039" t="s">
        <v>73</v>
      </c>
      <c r="G1039" t="s">
        <v>981</v>
      </c>
      <c r="H1039" s="8">
        <v>664.43</v>
      </c>
      <c r="I1039" s="8">
        <v>-115.18</v>
      </c>
      <c r="J1039" s="8">
        <v>0.09</v>
      </c>
      <c r="K1039" t="str">
        <f>IF(SalesData[[#This Row],[Profit]]&gt;0,"Profit","Loss")</f>
        <v>Loss</v>
      </c>
      <c r="L1039" s="8">
        <f>SalesData[[#This Row],[Profit]]/SalesData[[#This Row],[Sales]]</f>
        <v>-0.17335159459988264</v>
      </c>
      <c r="M1039" t="str">
        <f>TEXT(SalesData[[#This Row],[Order_Date]],"mmm")</f>
        <v>Aug</v>
      </c>
      <c r="N1039">
        <f>YEAR(SalesData[[#This Row],[Order_Date]])</f>
        <v>2023</v>
      </c>
    </row>
    <row r="1040" spans="1:14" x14ac:dyDescent="0.3">
      <c r="A1040" t="s">
        <v>2090</v>
      </c>
      <c r="B1040" s="1">
        <v>44740</v>
      </c>
      <c r="C1040" t="s">
        <v>461</v>
      </c>
      <c r="D1040" t="s">
        <v>18</v>
      </c>
      <c r="E1040" t="s">
        <v>56</v>
      </c>
      <c r="F1040" t="s">
        <v>57</v>
      </c>
      <c r="G1040" t="s">
        <v>2091</v>
      </c>
      <c r="H1040" s="8">
        <v>1069.3399999999999</v>
      </c>
      <c r="I1040" s="8">
        <v>300.73</v>
      </c>
      <c r="J1040" s="8">
        <v>0.05</v>
      </c>
      <c r="K1040" t="str">
        <f>IF(SalesData[[#This Row],[Profit]]&gt;0,"Profit","Loss")</f>
        <v>Profit</v>
      </c>
      <c r="L1040" s="8">
        <f>SalesData[[#This Row],[Profit]]/SalesData[[#This Row],[Sales]]</f>
        <v>0.28122954345671164</v>
      </c>
      <c r="M1040" t="str">
        <f>TEXT(SalesData[[#This Row],[Order_Date]],"mmm")</f>
        <v>Jun</v>
      </c>
      <c r="N1040">
        <f>YEAR(SalesData[[#This Row],[Order_Date]])</f>
        <v>2022</v>
      </c>
    </row>
    <row r="1041" spans="1:14" x14ac:dyDescent="0.3">
      <c r="A1041" t="s">
        <v>2092</v>
      </c>
      <c r="B1041" s="1">
        <v>45255</v>
      </c>
      <c r="C1041" t="s">
        <v>1172</v>
      </c>
      <c r="D1041" t="s">
        <v>28</v>
      </c>
      <c r="E1041" t="s">
        <v>56</v>
      </c>
      <c r="F1041" t="s">
        <v>57</v>
      </c>
      <c r="G1041" t="s">
        <v>1132</v>
      </c>
      <c r="H1041" s="8">
        <v>962.78</v>
      </c>
      <c r="I1041" s="8">
        <v>-211.12</v>
      </c>
      <c r="J1041" s="8">
        <v>0.08</v>
      </c>
      <c r="K1041" t="str">
        <f>IF(SalesData[[#This Row],[Profit]]&gt;0,"Profit","Loss")</f>
        <v>Loss</v>
      </c>
      <c r="L1041" s="8">
        <f>SalesData[[#This Row],[Profit]]/SalesData[[#This Row],[Sales]]</f>
        <v>-0.21928166351606806</v>
      </c>
      <c r="M1041" t="str">
        <f>TEXT(SalesData[[#This Row],[Order_Date]],"mmm")</f>
        <v>Nov</v>
      </c>
      <c r="N1041">
        <f>YEAR(SalesData[[#This Row],[Order_Date]])</f>
        <v>2023</v>
      </c>
    </row>
    <row r="1042" spans="1:14" x14ac:dyDescent="0.3">
      <c r="A1042" t="s">
        <v>2093</v>
      </c>
      <c r="B1042" s="1">
        <v>44943</v>
      </c>
      <c r="C1042" t="s">
        <v>754</v>
      </c>
      <c r="D1042" t="s">
        <v>18</v>
      </c>
      <c r="E1042" t="s">
        <v>56</v>
      </c>
      <c r="F1042" t="s">
        <v>95</v>
      </c>
      <c r="G1042" t="s">
        <v>1373</v>
      </c>
      <c r="H1042" s="8">
        <v>4686.96</v>
      </c>
      <c r="I1042" s="8">
        <v>-683.87</v>
      </c>
      <c r="J1042" s="8">
        <v>0.09</v>
      </c>
      <c r="K1042" t="str">
        <f>IF(SalesData[[#This Row],[Profit]]&gt;0,"Profit","Loss")</f>
        <v>Loss</v>
      </c>
      <c r="L1042" s="8">
        <f>SalesData[[#This Row],[Profit]]/SalesData[[#This Row],[Sales]]</f>
        <v>-0.14590907539215184</v>
      </c>
      <c r="M1042" t="str">
        <f>TEXT(SalesData[[#This Row],[Order_Date]],"mmm")</f>
        <v>Jan</v>
      </c>
      <c r="N1042">
        <f>YEAR(SalesData[[#This Row],[Order_Date]])</f>
        <v>2023</v>
      </c>
    </row>
    <row r="1043" spans="1:14" x14ac:dyDescent="0.3">
      <c r="A1043" t="s">
        <v>2094</v>
      </c>
      <c r="B1043" s="1">
        <v>44709</v>
      </c>
      <c r="C1043" t="s">
        <v>1015</v>
      </c>
      <c r="D1043" t="s">
        <v>18</v>
      </c>
      <c r="E1043" t="s">
        <v>13</v>
      </c>
      <c r="F1043" t="s">
        <v>24</v>
      </c>
      <c r="G1043" t="s">
        <v>531</v>
      </c>
      <c r="H1043" s="8">
        <v>4420.1499999999996</v>
      </c>
      <c r="I1043" s="8">
        <v>-1859.88</v>
      </c>
      <c r="J1043" s="8">
        <v>0.26</v>
      </c>
      <c r="K1043" t="str">
        <f>IF(SalesData[[#This Row],[Profit]]&gt;0,"Profit","Loss")</f>
        <v>Loss</v>
      </c>
      <c r="L1043" s="8">
        <f>SalesData[[#This Row],[Profit]]/SalesData[[#This Row],[Sales]]</f>
        <v>-0.4207730506883251</v>
      </c>
      <c r="M1043" t="str">
        <f>TEXT(SalesData[[#This Row],[Order_Date]],"mmm")</f>
        <v>May</v>
      </c>
      <c r="N1043">
        <f>YEAR(SalesData[[#This Row],[Order_Date]])</f>
        <v>2022</v>
      </c>
    </row>
    <row r="1044" spans="1:14" x14ac:dyDescent="0.3">
      <c r="A1044" t="s">
        <v>2095</v>
      </c>
      <c r="B1044" s="1">
        <v>45213</v>
      </c>
      <c r="C1044" t="s">
        <v>2096</v>
      </c>
      <c r="D1044" t="s">
        <v>12</v>
      </c>
      <c r="E1044" t="s">
        <v>13</v>
      </c>
      <c r="F1044" t="s">
        <v>36</v>
      </c>
      <c r="G1044" t="s">
        <v>728</v>
      </c>
      <c r="H1044" s="8">
        <v>3502.33</v>
      </c>
      <c r="I1044" s="8">
        <v>-148.06</v>
      </c>
      <c r="J1044" s="8">
        <v>0.1</v>
      </c>
      <c r="K1044" t="str">
        <f>IF(SalesData[[#This Row],[Profit]]&gt;0,"Profit","Loss")</f>
        <v>Loss</v>
      </c>
      <c r="L1044" s="8">
        <f>SalesData[[#This Row],[Profit]]/SalesData[[#This Row],[Sales]]</f>
        <v>-4.2274714261648673E-2</v>
      </c>
      <c r="M1044" t="str">
        <f>TEXT(SalesData[[#This Row],[Order_Date]],"mmm")</f>
        <v>Oct</v>
      </c>
      <c r="N1044">
        <f>YEAR(SalesData[[#This Row],[Order_Date]])</f>
        <v>2023</v>
      </c>
    </row>
    <row r="1045" spans="1:14" x14ac:dyDescent="0.3">
      <c r="A1045" t="s">
        <v>2097</v>
      </c>
      <c r="B1045" s="1">
        <v>44897</v>
      </c>
      <c r="C1045" t="s">
        <v>751</v>
      </c>
      <c r="D1045" t="s">
        <v>12</v>
      </c>
      <c r="E1045" t="s">
        <v>13</v>
      </c>
      <c r="F1045" t="s">
        <v>24</v>
      </c>
      <c r="G1045" t="s">
        <v>1434</v>
      </c>
      <c r="H1045" s="8">
        <v>1026.5999999999999</v>
      </c>
      <c r="I1045" s="8">
        <v>116.78</v>
      </c>
      <c r="J1045" s="8">
        <v>0.16</v>
      </c>
      <c r="K1045" t="str">
        <f>IF(SalesData[[#This Row],[Profit]]&gt;0,"Profit","Loss")</f>
        <v>Profit</v>
      </c>
      <c r="L1045" s="8">
        <f>SalesData[[#This Row],[Profit]]/SalesData[[#This Row],[Sales]]</f>
        <v>0.11375413987921294</v>
      </c>
      <c r="M1045" t="str">
        <f>TEXT(SalesData[[#This Row],[Order_Date]],"mmm")</f>
        <v>Dec</v>
      </c>
      <c r="N1045">
        <f>YEAR(SalesData[[#This Row],[Order_Date]])</f>
        <v>2022</v>
      </c>
    </row>
    <row r="1046" spans="1:14" x14ac:dyDescent="0.3">
      <c r="A1046" t="s">
        <v>2098</v>
      </c>
      <c r="B1046" s="1">
        <v>44776</v>
      </c>
      <c r="C1046" t="s">
        <v>1652</v>
      </c>
      <c r="D1046" t="s">
        <v>12</v>
      </c>
      <c r="E1046" t="s">
        <v>19</v>
      </c>
      <c r="F1046" t="s">
        <v>20</v>
      </c>
      <c r="G1046" t="s">
        <v>957</v>
      </c>
      <c r="H1046" s="8">
        <v>4272.3599999999997</v>
      </c>
      <c r="I1046" s="8">
        <v>177.31</v>
      </c>
      <c r="J1046" s="8">
        <v>0.28999999999999998</v>
      </c>
      <c r="K1046" t="str">
        <f>IF(SalesData[[#This Row],[Profit]]&gt;0,"Profit","Loss")</f>
        <v>Profit</v>
      </c>
      <c r="L1046" s="8">
        <f>SalesData[[#This Row],[Profit]]/SalesData[[#This Row],[Sales]]</f>
        <v>4.1501652482468711E-2</v>
      </c>
      <c r="M1046" t="str">
        <f>TEXT(SalesData[[#This Row],[Order_Date]],"mmm")</f>
        <v>Aug</v>
      </c>
      <c r="N1046">
        <f>YEAR(SalesData[[#This Row],[Order_Date]])</f>
        <v>2022</v>
      </c>
    </row>
    <row r="1047" spans="1:14" x14ac:dyDescent="0.3">
      <c r="A1047" t="s">
        <v>2099</v>
      </c>
      <c r="B1047" s="1">
        <v>45222</v>
      </c>
      <c r="C1047" t="s">
        <v>2100</v>
      </c>
      <c r="D1047" t="s">
        <v>40</v>
      </c>
      <c r="E1047" t="s">
        <v>19</v>
      </c>
      <c r="F1047" t="s">
        <v>141</v>
      </c>
      <c r="G1047" t="s">
        <v>598</v>
      </c>
      <c r="H1047" s="8">
        <v>3112.94</v>
      </c>
      <c r="I1047" s="8">
        <v>-53.33</v>
      </c>
      <c r="J1047" s="8">
        <v>0.05</v>
      </c>
      <c r="K1047" t="str">
        <f>IF(SalesData[[#This Row],[Profit]]&gt;0,"Profit","Loss")</f>
        <v>Loss</v>
      </c>
      <c r="L1047" s="8">
        <f>SalesData[[#This Row],[Profit]]/SalesData[[#This Row],[Sales]]</f>
        <v>-1.7131714713422036E-2</v>
      </c>
      <c r="M1047" t="str">
        <f>TEXT(SalesData[[#This Row],[Order_Date]],"mmm")</f>
        <v>Oct</v>
      </c>
      <c r="N1047">
        <f>YEAR(SalesData[[#This Row],[Order_Date]])</f>
        <v>2023</v>
      </c>
    </row>
    <row r="1048" spans="1:14" x14ac:dyDescent="0.3">
      <c r="A1048" t="s">
        <v>2101</v>
      </c>
      <c r="B1048" s="1">
        <v>45056</v>
      </c>
      <c r="C1048" t="s">
        <v>1839</v>
      </c>
      <c r="D1048" t="s">
        <v>28</v>
      </c>
      <c r="E1048" t="s">
        <v>13</v>
      </c>
      <c r="F1048" t="s">
        <v>36</v>
      </c>
      <c r="G1048" t="s">
        <v>1123</v>
      </c>
      <c r="H1048" s="8">
        <v>977.09</v>
      </c>
      <c r="I1048" s="8">
        <v>-92.54</v>
      </c>
      <c r="J1048" s="8">
        <v>0.21</v>
      </c>
      <c r="K1048" t="str">
        <f>IF(SalesData[[#This Row],[Profit]]&gt;0,"Profit","Loss")</f>
        <v>Loss</v>
      </c>
      <c r="L1048" s="8">
        <f>SalesData[[#This Row],[Profit]]/SalesData[[#This Row],[Sales]]</f>
        <v>-9.4709801553592821E-2</v>
      </c>
      <c r="M1048" t="str">
        <f>TEXT(SalesData[[#This Row],[Order_Date]],"mmm")</f>
        <v>May</v>
      </c>
      <c r="N1048">
        <f>YEAR(SalesData[[#This Row],[Order_Date]])</f>
        <v>2023</v>
      </c>
    </row>
    <row r="1049" spans="1:14" x14ac:dyDescent="0.3">
      <c r="A1049" t="s">
        <v>2102</v>
      </c>
      <c r="B1049" s="1">
        <v>44599</v>
      </c>
      <c r="C1049" t="s">
        <v>819</v>
      </c>
      <c r="D1049" t="s">
        <v>18</v>
      </c>
      <c r="E1049" t="s">
        <v>19</v>
      </c>
      <c r="F1049" t="s">
        <v>141</v>
      </c>
      <c r="G1049" t="s">
        <v>581</v>
      </c>
      <c r="H1049" s="8">
        <v>2064.64</v>
      </c>
      <c r="I1049" s="8">
        <v>-267.60000000000002</v>
      </c>
      <c r="J1049" s="8">
        <v>0.28000000000000003</v>
      </c>
      <c r="K1049" t="str">
        <f>IF(SalesData[[#This Row],[Profit]]&gt;0,"Profit","Loss")</f>
        <v>Loss</v>
      </c>
      <c r="L1049" s="8">
        <f>SalesData[[#This Row],[Profit]]/SalesData[[#This Row],[Sales]]</f>
        <v>-0.12961097334159952</v>
      </c>
      <c r="M1049" t="str">
        <f>TEXT(SalesData[[#This Row],[Order_Date]],"mmm")</f>
        <v>Feb</v>
      </c>
      <c r="N1049">
        <f>YEAR(SalesData[[#This Row],[Order_Date]])</f>
        <v>2022</v>
      </c>
    </row>
    <row r="1050" spans="1:14" x14ac:dyDescent="0.3">
      <c r="A1050" t="s">
        <v>2103</v>
      </c>
      <c r="B1050" s="1">
        <v>44948</v>
      </c>
      <c r="C1050" t="s">
        <v>986</v>
      </c>
      <c r="D1050" t="s">
        <v>18</v>
      </c>
      <c r="E1050" t="s">
        <v>56</v>
      </c>
      <c r="F1050" t="s">
        <v>95</v>
      </c>
      <c r="G1050" t="s">
        <v>700</v>
      </c>
      <c r="H1050" s="8">
        <v>4329.5200000000004</v>
      </c>
      <c r="I1050" s="8">
        <v>-590.54999999999995</v>
      </c>
      <c r="J1050" s="8">
        <v>0.12</v>
      </c>
      <c r="K1050" t="str">
        <f>IF(SalesData[[#This Row],[Profit]]&gt;0,"Profit","Loss")</f>
        <v>Loss</v>
      </c>
      <c r="L1050" s="8">
        <f>SalesData[[#This Row],[Profit]]/SalesData[[#This Row],[Sales]]</f>
        <v>-0.1364008019364733</v>
      </c>
      <c r="M1050" t="str">
        <f>TEXT(SalesData[[#This Row],[Order_Date]],"mmm")</f>
        <v>Jan</v>
      </c>
      <c r="N1050">
        <f>YEAR(SalesData[[#This Row],[Order_Date]])</f>
        <v>2023</v>
      </c>
    </row>
    <row r="1051" spans="1:14" x14ac:dyDescent="0.3">
      <c r="A1051" t="s">
        <v>2104</v>
      </c>
      <c r="B1051" s="1">
        <v>45017</v>
      </c>
      <c r="C1051" t="s">
        <v>1541</v>
      </c>
      <c r="D1051" t="s">
        <v>40</v>
      </c>
      <c r="E1051" t="s">
        <v>19</v>
      </c>
      <c r="F1051" t="s">
        <v>29</v>
      </c>
      <c r="G1051" t="s">
        <v>816</v>
      </c>
      <c r="H1051" s="8">
        <v>2797.7</v>
      </c>
      <c r="I1051" s="8">
        <v>-530.4</v>
      </c>
      <c r="J1051" s="8">
        <v>0.04</v>
      </c>
      <c r="K1051" t="str">
        <f>IF(SalesData[[#This Row],[Profit]]&gt;0,"Profit","Loss")</f>
        <v>Loss</v>
      </c>
      <c r="L1051" s="8">
        <f>SalesData[[#This Row],[Profit]]/SalesData[[#This Row],[Sales]]</f>
        <v>-0.18958430139042787</v>
      </c>
      <c r="M1051" t="str">
        <f>TEXT(SalesData[[#This Row],[Order_Date]],"mmm")</f>
        <v>Apr</v>
      </c>
      <c r="N1051">
        <f>YEAR(SalesData[[#This Row],[Order_Date]])</f>
        <v>2023</v>
      </c>
    </row>
    <row r="1052" spans="1:14" x14ac:dyDescent="0.3">
      <c r="A1052" t="s">
        <v>2105</v>
      </c>
      <c r="B1052" s="1">
        <v>45040</v>
      </c>
      <c r="C1052" t="s">
        <v>308</v>
      </c>
      <c r="D1052" t="s">
        <v>28</v>
      </c>
      <c r="E1052" t="s">
        <v>13</v>
      </c>
      <c r="F1052" t="s">
        <v>14</v>
      </c>
      <c r="G1052" t="s">
        <v>979</v>
      </c>
      <c r="H1052" s="8">
        <v>2379.7399999999998</v>
      </c>
      <c r="I1052" s="8">
        <v>-319.69</v>
      </c>
      <c r="J1052" s="8">
        <v>0.19</v>
      </c>
      <c r="K1052" t="str">
        <f>IF(SalesData[[#This Row],[Profit]]&gt;0,"Profit","Loss")</f>
        <v>Loss</v>
      </c>
      <c r="L1052" s="8">
        <f>SalesData[[#This Row],[Profit]]/SalesData[[#This Row],[Sales]]</f>
        <v>-0.13433820501399313</v>
      </c>
      <c r="M1052" t="str">
        <f>TEXT(SalesData[[#This Row],[Order_Date]],"mmm")</f>
        <v>Apr</v>
      </c>
      <c r="N1052">
        <f>YEAR(SalesData[[#This Row],[Order_Date]])</f>
        <v>2023</v>
      </c>
    </row>
    <row r="1053" spans="1:14" x14ac:dyDescent="0.3">
      <c r="A1053" t="s">
        <v>2106</v>
      </c>
      <c r="B1053" s="1">
        <v>44833</v>
      </c>
      <c r="C1053" t="s">
        <v>2107</v>
      </c>
      <c r="D1053" t="s">
        <v>12</v>
      </c>
      <c r="E1053" t="s">
        <v>19</v>
      </c>
      <c r="F1053" t="s">
        <v>29</v>
      </c>
      <c r="G1053" t="s">
        <v>1264</v>
      </c>
      <c r="H1053" s="8">
        <v>1437.8</v>
      </c>
      <c r="I1053" s="8">
        <v>79.099999999999994</v>
      </c>
      <c r="J1053" s="8">
        <v>0.01</v>
      </c>
      <c r="K1053" t="str">
        <f>IF(SalesData[[#This Row],[Profit]]&gt;0,"Profit","Loss")</f>
        <v>Profit</v>
      </c>
      <c r="L1053" s="8">
        <f>SalesData[[#This Row],[Profit]]/SalesData[[#This Row],[Sales]]</f>
        <v>5.5014605647517041E-2</v>
      </c>
      <c r="M1053" t="str">
        <f>TEXT(SalesData[[#This Row],[Order_Date]],"mmm")</f>
        <v>Sep</v>
      </c>
      <c r="N1053">
        <f>YEAR(SalesData[[#This Row],[Order_Date]])</f>
        <v>2022</v>
      </c>
    </row>
    <row r="1054" spans="1:14" x14ac:dyDescent="0.3">
      <c r="A1054" t="s">
        <v>2108</v>
      </c>
      <c r="B1054" s="1">
        <v>44845</v>
      </c>
      <c r="C1054" t="s">
        <v>165</v>
      </c>
      <c r="D1054" t="s">
        <v>12</v>
      </c>
      <c r="E1054" t="s">
        <v>56</v>
      </c>
      <c r="F1054" t="s">
        <v>95</v>
      </c>
      <c r="G1054" t="s">
        <v>747</v>
      </c>
      <c r="H1054" s="8">
        <v>4228.76</v>
      </c>
      <c r="I1054" s="8">
        <v>153.05000000000001</v>
      </c>
      <c r="J1054" s="8">
        <v>0.15</v>
      </c>
      <c r="K1054" t="str">
        <f>IF(SalesData[[#This Row],[Profit]]&gt;0,"Profit","Loss")</f>
        <v>Profit</v>
      </c>
      <c r="L1054" s="8">
        <f>SalesData[[#This Row],[Profit]]/SalesData[[#This Row],[Sales]]</f>
        <v>3.6192642760525542E-2</v>
      </c>
      <c r="M1054" t="str">
        <f>TEXT(SalesData[[#This Row],[Order_Date]],"mmm")</f>
        <v>Oct</v>
      </c>
      <c r="N1054">
        <f>YEAR(SalesData[[#This Row],[Order_Date]])</f>
        <v>2022</v>
      </c>
    </row>
    <row r="1055" spans="1:14" x14ac:dyDescent="0.3">
      <c r="A1055" t="s">
        <v>2109</v>
      </c>
      <c r="B1055" s="1">
        <v>44899</v>
      </c>
      <c r="C1055" t="s">
        <v>388</v>
      </c>
      <c r="D1055" t="s">
        <v>40</v>
      </c>
      <c r="E1055" t="s">
        <v>56</v>
      </c>
      <c r="F1055" t="s">
        <v>95</v>
      </c>
      <c r="G1055" t="s">
        <v>2110</v>
      </c>
      <c r="H1055" s="8">
        <v>287.58</v>
      </c>
      <c r="I1055" s="8">
        <v>-40.840000000000003</v>
      </c>
      <c r="J1055" s="8">
        <v>0.06</v>
      </c>
      <c r="K1055" t="str">
        <f>IF(SalesData[[#This Row],[Profit]]&gt;0,"Profit","Loss")</f>
        <v>Loss</v>
      </c>
      <c r="L1055" s="8">
        <f>SalesData[[#This Row],[Profit]]/SalesData[[#This Row],[Sales]]</f>
        <v>-0.14201265734752072</v>
      </c>
      <c r="M1055" t="str">
        <f>TEXT(SalesData[[#This Row],[Order_Date]],"mmm")</f>
        <v>Dec</v>
      </c>
      <c r="N1055">
        <f>YEAR(SalesData[[#This Row],[Order_Date]])</f>
        <v>2022</v>
      </c>
    </row>
    <row r="1056" spans="1:14" x14ac:dyDescent="0.3">
      <c r="A1056" t="s">
        <v>2111</v>
      </c>
      <c r="B1056" s="1">
        <v>45118</v>
      </c>
      <c r="C1056" t="s">
        <v>2112</v>
      </c>
      <c r="D1056" t="s">
        <v>12</v>
      </c>
      <c r="E1056" t="s">
        <v>13</v>
      </c>
      <c r="F1056" t="s">
        <v>36</v>
      </c>
      <c r="G1056" t="s">
        <v>1974</v>
      </c>
      <c r="H1056" s="8">
        <v>1034.1500000000001</v>
      </c>
      <c r="I1056" s="8">
        <v>-307.43</v>
      </c>
      <c r="J1056" s="8">
        <v>0.18</v>
      </c>
      <c r="K1056" t="str">
        <f>IF(SalesData[[#This Row],[Profit]]&gt;0,"Profit","Loss")</f>
        <v>Loss</v>
      </c>
      <c r="L1056" s="8">
        <f>SalesData[[#This Row],[Profit]]/SalesData[[#This Row],[Sales]]</f>
        <v>-0.29727795774307403</v>
      </c>
      <c r="M1056" t="str">
        <f>TEXT(SalesData[[#This Row],[Order_Date]],"mmm")</f>
        <v>Jul</v>
      </c>
      <c r="N1056">
        <f>YEAR(SalesData[[#This Row],[Order_Date]])</f>
        <v>2023</v>
      </c>
    </row>
    <row r="1057" spans="1:14" x14ac:dyDescent="0.3">
      <c r="A1057" t="s">
        <v>2113</v>
      </c>
      <c r="B1057" s="1">
        <v>44977</v>
      </c>
      <c r="C1057" t="s">
        <v>2114</v>
      </c>
      <c r="D1057" t="s">
        <v>12</v>
      </c>
      <c r="E1057" t="s">
        <v>19</v>
      </c>
      <c r="F1057" t="s">
        <v>29</v>
      </c>
      <c r="G1057" t="s">
        <v>406</v>
      </c>
      <c r="H1057" s="8">
        <v>4129.3100000000004</v>
      </c>
      <c r="I1057" s="8">
        <v>-775.13</v>
      </c>
      <c r="J1057" s="8">
        <v>0.23</v>
      </c>
      <c r="K1057" t="str">
        <f>IF(SalesData[[#This Row],[Profit]]&gt;0,"Profit","Loss")</f>
        <v>Loss</v>
      </c>
      <c r="L1057" s="8">
        <f>SalesData[[#This Row],[Profit]]/SalesData[[#This Row],[Sales]]</f>
        <v>-0.18771417016402253</v>
      </c>
      <c r="M1057" t="str">
        <f>TEXT(SalesData[[#This Row],[Order_Date]],"mmm")</f>
        <v>Feb</v>
      </c>
      <c r="N1057">
        <f>YEAR(SalesData[[#This Row],[Order_Date]])</f>
        <v>2023</v>
      </c>
    </row>
    <row r="1058" spans="1:14" x14ac:dyDescent="0.3">
      <c r="A1058" t="s">
        <v>2115</v>
      </c>
      <c r="B1058" s="1">
        <v>44795</v>
      </c>
      <c r="C1058" t="s">
        <v>1521</v>
      </c>
      <c r="D1058" t="s">
        <v>18</v>
      </c>
      <c r="E1058" t="s">
        <v>13</v>
      </c>
      <c r="F1058" t="s">
        <v>24</v>
      </c>
      <c r="G1058" t="s">
        <v>1123</v>
      </c>
      <c r="H1058" s="8">
        <v>4947.45</v>
      </c>
      <c r="I1058" s="8">
        <v>144.86000000000001</v>
      </c>
      <c r="J1058" s="8">
        <v>0.28999999999999998</v>
      </c>
      <c r="K1058" t="str">
        <f>IF(SalesData[[#This Row],[Profit]]&gt;0,"Profit","Loss")</f>
        <v>Profit</v>
      </c>
      <c r="L1058" s="8">
        <f>SalesData[[#This Row],[Profit]]/SalesData[[#This Row],[Sales]]</f>
        <v>2.9279729961899568E-2</v>
      </c>
      <c r="M1058" t="str">
        <f>TEXT(SalesData[[#This Row],[Order_Date]],"mmm")</f>
        <v>Aug</v>
      </c>
      <c r="N1058">
        <f>YEAR(SalesData[[#This Row],[Order_Date]])</f>
        <v>2022</v>
      </c>
    </row>
    <row r="1059" spans="1:14" x14ac:dyDescent="0.3">
      <c r="A1059" t="s">
        <v>2116</v>
      </c>
      <c r="B1059" s="1">
        <v>45034</v>
      </c>
      <c r="C1059" t="s">
        <v>2117</v>
      </c>
      <c r="D1059" t="s">
        <v>12</v>
      </c>
      <c r="E1059" t="s">
        <v>56</v>
      </c>
      <c r="F1059" t="s">
        <v>73</v>
      </c>
      <c r="G1059" t="s">
        <v>447</v>
      </c>
      <c r="H1059" s="8">
        <v>2976.32</v>
      </c>
      <c r="I1059" s="8">
        <v>-264.17</v>
      </c>
      <c r="J1059" s="8">
        <v>0.17</v>
      </c>
      <c r="K1059" t="str">
        <f>IF(SalesData[[#This Row],[Profit]]&gt;0,"Profit","Loss")</f>
        <v>Loss</v>
      </c>
      <c r="L1059" s="8">
        <f>SalesData[[#This Row],[Profit]]/SalesData[[#This Row],[Sales]]</f>
        <v>-8.8757257284162991E-2</v>
      </c>
      <c r="M1059" t="str">
        <f>TEXT(SalesData[[#This Row],[Order_Date]],"mmm")</f>
        <v>Apr</v>
      </c>
      <c r="N1059">
        <f>YEAR(SalesData[[#This Row],[Order_Date]])</f>
        <v>2023</v>
      </c>
    </row>
    <row r="1060" spans="1:14" x14ac:dyDescent="0.3">
      <c r="A1060" t="s">
        <v>2118</v>
      </c>
      <c r="B1060" s="1">
        <v>45022</v>
      </c>
      <c r="C1060" t="s">
        <v>871</v>
      </c>
      <c r="D1060" t="s">
        <v>12</v>
      </c>
      <c r="E1060" t="s">
        <v>56</v>
      </c>
      <c r="F1060" t="s">
        <v>95</v>
      </c>
      <c r="G1060" t="s">
        <v>656</v>
      </c>
      <c r="H1060" s="8">
        <v>3873.64</v>
      </c>
      <c r="I1060" s="8">
        <v>-1101.08</v>
      </c>
      <c r="J1060" s="8">
        <v>0.21</v>
      </c>
      <c r="K1060" t="str">
        <f>IF(SalesData[[#This Row],[Profit]]&gt;0,"Profit","Loss")</f>
        <v>Loss</v>
      </c>
      <c r="L1060" s="8">
        <f>SalesData[[#This Row],[Profit]]/SalesData[[#This Row],[Sales]]</f>
        <v>-0.28424943980338907</v>
      </c>
      <c r="M1060" t="str">
        <f>TEXT(SalesData[[#This Row],[Order_Date]],"mmm")</f>
        <v>Apr</v>
      </c>
      <c r="N1060">
        <f>YEAR(SalesData[[#This Row],[Order_Date]])</f>
        <v>2023</v>
      </c>
    </row>
    <row r="1061" spans="1:14" x14ac:dyDescent="0.3">
      <c r="A1061" t="s">
        <v>2119</v>
      </c>
      <c r="B1061" s="1">
        <v>45073</v>
      </c>
      <c r="C1061" t="s">
        <v>189</v>
      </c>
      <c r="D1061" t="s">
        <v>40</v>
      </c>
      <c r="E1061" t="s">
        <v>56</v>
      </c>
      <c r="F1061" t="s">
        <v>73</v>
      </c>
      <c r="G1061" t="s">
        <v>2017</v>
      </c>
      <c r="H1061" s="8">
        <v>4381.38</v>
      </c>
      <c r="I1061" s="8">
        <v>668.96</v>
      </c>
      <c r="J1061" s="8">
        <v>0.09</v>
      </c>
      <c r="K1061" t="str">
        <f>IF(SalesData[[#This Row],[Profit]]&gt;0,"Profit","Loss")</f>
        <v>Profit</v>
      </c>
      <c r="L1061" s="8">
        <f>SalesData[[#This Row],[Profit]]/SalesData[[#This Row],[Sales]]</f>
        <v>0.15268248816582902</v>
      </c>
      <c r="M1061" t="str">
        <f>TEXT(SalesData[[#This Row],[Order_Date]],"mmm")</f>
        <v>May</v>
      </c>
      <c r="N1061">
        <f>YEAR(SalesData[[#This Row],[Order_Date]])</f>
        <v>2023</v>
      </c>
    </row>
    <row r="1062" spans="1:14" x14ac:dyDescent="0.3">
      <c r="A1062" t="s">
        <v>2120</v>
      </c>
      <c r="B1062" s="1">
        <v>45269</v>
      </c>
      <c r="C1062" t="s">
        <v>130</v>
      </c>
      <c r="D1062" t="s">
        <v>40</v>
      </c>
      <c r="E1062" t="s">
        <v>56</v>
      </c>
      <c r="F1062" t="s">
        <v>95</v>
      </c>
      <c r="G1062" t="s">
        <v>1376</v>
      </c>
      <c r="H1062" s="8">
        <v>2186.02</v>
      </c>
      <c r="I1062" s="8">
        <v>60.56</v>
      </c>
      <c r="J1062" s="8">
        <v>0.23</v>
      </c>
      <c r="K1062" t="str">
        <f>IF(SalesData[[#This Row],[Profit]]&gt;0,"Profit","Loss")</f>
        <v>Profit</v>
      </c>
      <c r="L1062" s="8">
        <f>SalesData[[#This Row],[Profit]]/SalesData[[#This Row],[Sales]]</f>
        <v>2.770331469977402E-2</v>
      </c>
      <c r="M1062" t="str">
        <f>TEXT(SalesData[[#This Row],[Order_Date]],"mmm")</f>
        <v>Dec</v>
      </c>
      <c r="N1062">
        <f>YEAR(SalesData[[#This Row],[Order_Date]])</f>
        <v>2023</v>
      </c>
    </row>
    <row r="1063" spans="1:14" x14ac:dyDescent="0.3">
      <c r="A1063" t="s">
        <v>2121</v>
      </c>
      <c r="B1063" s="1">
        <v>44900</v>
      </c>
      <c r="C1063" t="s">
        <v>1848</v>
      </c>
      <c r="D1063" t="s">
        <v>28</v>
      </c>
      <c r="E1063" t="s">
        <v>13</v>
      </c>
      <c r="F1063" t="s">
        <v>14</v>
      </c>
      <c r="G1063" t="s">
        <v>441</v>
      </c>
      <c r="H1063" s="8">
        <v>2881.13</v>
      </c>
      <c r="I1063" s="8">
        <v>-364.52</v>
      </c>
      <c r="J1063" s="8">
        <v>0.01</v>
      </c>
      <c r="K1063" t="str">
        <f>IF(SalesData[[#This Row],[Profit]]&gt;0,"Profit","Loss")</f>
        <v>Loss</v>
      </c>
      <c r="L1063" s="8">
        <f>SalesData[[#This Row],[Profit]]/SalesData[[#This Row],[Sales]]</f>
        <v>-0.12651980299396418</v>
      </c>
      <c r="M1063" t="str">
        <f>TEXT(SalesData[[#This Row],[Order_Date]],"mmm")</f>
        <v>Dec</v>
      </c>
      <c r="N1063">
        <f>YEAR(SalesData[[#This Row],[Order_Date]])</f>
        <v>2022</v>
      </c>
    </row>
    <row r="1064" spans="1:14" x14ac:dyDescent="0.3">
      <c r="A1064" t="s">
        <v>2122</v>
      </c>
      <c r="B1064" s="1">
        <v>44898</v>
      </c>
      <c r="C1064" t="s">
        <v>121</v>
      </c>
      <c r="D1064" t="s">
        <v>28</v>
      </c>
      <c r="E1064" t="s">
        <v>56</v>
      </c>
      <c r="F1064" t="s">
        <v>95</v>
      </c>
      <c r="G1064" t="s">
        <v>1394</v>
      </c>
      <c r="H1064" s="8">
        <v>412.18</v>
      </c>
      <c r="I1064" s="8">
        <v>-14.48</v>
      </c>
      <c r="J1064" s="8">
        <v>0.12</v>
      </c>
      <c r="K1064" t="str">
        <f>IF(SalesData[[#This Row],[Profit]]&gt;0,"Profit","Loss")</f>
        <v>Loss</v>
      </c>
      <c r="L1064" s="8">
        <f>SalesData[[#This Row],[Profit]]/SalesData[[#This Row],[Sales]]</f>
        <v>-3.5130282886117713E-2</v>
      </c>
      <c r="M1064" t="str">
        <f>TEXT(SalesData[[#This Row],[Order_Date]],"mmm")</f>
        <v>Dec</v>
      </c>
      <c r="N1064">
        <f>YEAR(SalesData[[#This Row],[Order_Date]])</f>
        <v>2022</v>
      </c>
    </row>
    <row r="1065" spans="1:14" x14ac:dyDescent="0.3">
      <c r="A1065" t="s">
        <v>2123</v>
      </c>
      <c r="B1065" s="1">
        <v>45267</v>
      </c>
      <c r="C1065" t="s">
        <v>522</v>
      </c>
      <c r="D1065" t="s">
        <v>28</v>
      </c>
      <c r="E1065" t="s">
        <v>19</v>
      </c>
      <c r="F1065" t="s">
        <v>20</v>
      </c>
      <c r="G1065" t="s">
        <v>1529</v>
      </c>
      <c r="H1065" s="8">
        <v>939.98</v>
      </c>
      <c r="I1065" s="8">
        <v>-275.81</v>
      </c>
      <c r="J1065" s="8">
        <v>0.2</v>
      </c>
      <c r="K1065" t="str">
        <f>IF(SalesData[[#This Row],[Profit]]&gt;0,"Profit","Loss")</f>
        <v>Loss</v>
      </c>
      <c r="L1065" s="8">
        <f>SalesData[[#This Row],[Profit]]/SalesData[[#This Row],[Sales]]</f>
        <v>-0.29342113661992808</v>
      </c>
      <c r="M1065" t="str">
        <f>TEXT(SalesData[[#This Row],[Order_Date]],"mmm")</f>
        <v>Dec</v>
      </c>
      <c r="N1065">
        <f>YEAR(SalesData[[#This Row],[Order_Date]])</f>
        <v>2023</v>
      </c>
    </row>
    <row r="1066" spans="1:14" x14ac:dyDescent="0.3">
      <c r="A1066" t="s">
        <v>2124</v>
      </c>
      <c r="B1066" s="1">
        <v>44800</v>
      </c>
      <c r="C1066" t="s">
        <v>560</v>
      </c>
      <c r="D1066" t="s">
        <v>12</v>
      </c>
      <c r="E1066" t="s">
        <v>56</v>
      </c>
      <c r="F1066" t="s">
        <v>57</v>
      </c>
      <c r="G1066" t="s">
        <v>41</v>
      </c>
      <c r="H1066" s="8">
        <v>440.51</v>
      </c>
      <c r="I1066" s="8">
        <v>-140.84</v>
      </c>
      <c r="J1066" s="8">
        <v>0.28999999999999998</v>
      </c>
      <c r="K1066" t="str">
        <f>IF(SalesData[[#This Row],[Profit]]&gt;0,"Profit","Loss")</f>
        <v>Loss</v>
      </c>
      <c r="L1066" s="8">
        <f>SalesData[[#This Row],[Profit]]/SalesData[[#This Row],[Sales]]</f>
        <v>-0.31972032416971241</v>
      </c>
      <c r="M1066" t="str">
        <f>TEXT(SalesData[[#This Row],[Order_Date]],"mmm")</f>
        <v>Aug</v>
      </c>
      <c r="N1066">
        <f>YEAR(SalesData[[#This Row],[Order_Date]])</f>
        <v>2022</v>
      </c>
    </row>
    <row r="1067" spans="1:14" x14ac:dyDescent="0.3">
      <c r="A1067" t="s">
        <v>2125</v>
      </c>
      <c r="B1067" s="1">
        <v>44982</v>
      </c>
      <c r="C1067" t="s">
        <v>2126</v>
      </c>
      <c r="D1067" t="s">
        <v>18</v>
      </c>
      <c r="E1067" t="s">
        <v>56</v>
      </c>
      <c r="F1067" t="s">
        <v>95</v>
      </c>
      <c r="G1067" t="s">
        <v>556</v>
      </c>
      <c r="H1067" s="8">
        <v>2640.81</v>
      </c>
      <c r="I1067" s="8">
        <v>701.99</v>
      </c>
      <c r="J1067" s="8">
        <v>0.05</v>
      </c>
      <c r="K1067" t="str">
        <f>IF(SalesData[[#This Row],[Profit]]&gt;0,"Profit","Loss")</f>
        <v>Profit</v>
      </c>
      <c r="L1067" s="8">
        <f>SalesData[[#This Row],[Profit]]/SalesData[[#This Row],[Sales]]</f>
        <v>0.26582374347264665</v>
      </c>
      <c r="M1067" t="str">
        <f>TEXT(SalesData[[#This Row],[Order_Date]],"mmm")</f>
        <v>Feb</v>
      </c>
      <c r="N1067">
        <f>YEAR(SalesData[[#This Row],[Order_Date]])</f>
        <v>2023</v>
      </c>
    </row>
    <row r="1068" spans="1:14" x14ac:dyDescent="0.3">
      <c r="A1068" t="s">
        <v>2127</v>
      </c>
      <c r="B1068" s="1">
        <v>44773</v>
      </c>
      <c r="C1068" t="s">
        <v>1015</v>
      </c>
      <c r="D1068" t="s">
        <v>18</v>
      </c>
      <c r="E1068" t="s">
        <v>56</v>
      </c>
      <c r="F1068" t="s">
        <v>73</v>
      </c>
      <c r="G1068" t="s">
        <v>507</v>
      </c>
      <c r="H1068" s="8">
        <v>2150.2199999999998</v>
      </c>
      <c r="I1068" s="8">
        <v>-401.24</v>
      </c>
      <c r="J1068" s="8">
        <v>0.22</v>
      </c>
      <c r="K1068" t="str">
        <f>IF(SalesData[[#This Row],[Profit]]&gt;0,"Profit","Loss")</f>
        <v>Loss</v>
      </c>
      <c r="L1068" s="8">
        <f>SalesData[[#This Row],[Profit]]/SalesData[[#This Row],[Sales]]</f>
        <v>-0.18660416143464392</v>
      </c>
      <c r="M1068" t="str">
        <f>TEXT(SalesData[[#This Row],[Order_Date]],"mmm")</f>
        <v>Jul</v>
      </c>
      <c r="N1068">
        <f>YEAR(SalesData[[#This Row],[Order_Date]])</f>
        <v>2022</v>
      </c>
    </row>
    <row r="1069" spans="1:14" x14ac:dyDescent="0.3">
      <c r="A1069" t="s">
        <v>2128</v>
      </c>
      <c r="B1069" s="1">
        <v>44879</v>
      </c>
      <c r="C1069" t="s">
        <v>311</v>
      </c>
      <c r="D1069" t="s">
        <v>18</v>
      </c>
      <c r="E1069" t="s">
        <v>19</v>
      </c>
      <c r="F1069" t="s">
        <v>141</v>
      </c>
      <c r="G1069" t="s">
        <v>624</v>
      </c>
      <c r="H1069" s="8">
        <v>3357.48</v>
      </c>
      <c r="I1069" s="8">
        <v>319.14</v>
      </c>
      <c r="J1069" s="8">
        <v>0.05</v>
      </c>
      <c r="K1069" t="str">
        <f>IF(SalesData[[#This Row],[Profit]]&gt;0,"Profit","Loss")</f>
        <v>Profit</v>
      </c>
      <c r="L1069" s="8">
        <f>SalesData[[#This Row],[Profit]]/SalesData[[#This Row],[Sales]]</f>
        <v>9.5053432931841736E-2</v>
      </c>
      <c r="M1069" t="str">
        <f>TEXT(SalesData[[#This Row],[Order_Date]],"mmm")</f>
        <v>Nov</v>
      </c>
      <c r="N1069">
        <f>YEAR(SalesData[[#This Row],[Order_Date]])</f>
        <v>2022</v>
      </c>
    </row>
    <row r="1070" spans="1:14" x14ac:dyDescent="0.3">
      <c r="A1070" t="s">
        <v>2129</v>
      </c>
      <c r="B1070" s="1">
        <v>45018</v>
      </c>
      <c r="C1070" t="s">
        <v>2130</v>
      </c>
      <c r="D1070" t="s">
        <v>28</v>
      </c>
      <c r="E1070" t="s">
        <v>13</v>
      </c>
      <c r="F1070" t="s">
        <v>24</v>
      </c>
      <c r="G1070" t="s">
        <v>309</v>
      </c>
      <c r="H1070" s="8">
        <v>2348.89</v>
      </c>
      <c r="I1070" s="8">
        <v>786.06</v>
      </c>
      <c r="J1070" s="8">
        <v>0.06</v>
      </c>
      <c r="K1070" t="str">
        <f>IF(SalesData[[#This Row],[Profit]]&gt;0,"Profit","Loss")</f>
        <v>Profit</v>
      </c>
      <c r="L1070" s="8">
        <f>SalesData[[#This Row],[Profit]]/SalesData[[#This Row],[Sales]]</f>
        <v>0.33465168654130251</v>
      </c>
      <c r="M1070" t="str">
        <f>TEXT(SalesData[[#This Row],[Order_Date]],"mmm")</f>
        <v>Apr</v>
      </c>
      <c r="N1070">
        <f>YEAR(SalesData[[#This Row],[Order_Date]])</f>
        <v>2023</v>
      </c>
    </row>
    <row r="1071" spans="1:14" x14ac:dyDescent="0.3">
      <c r="A1071" t="s">
        <v>2131</v>
      </c>
      <c r="B1071" s="1">
        <v>45035</v>
      </c>
      <c r="C1071" t="s">
        <v>1334</v>
      </c>
      <c r="D1071" t="s">
        <v>12</v>
      </c>
      <c r="E1071" t="s">
        <v>56</v>
      </c>
      <c r="F1071" t="s">
        <v>73</v>
      </c>
      <c r="G1071" t="s">
        <v>2063</v>
      </c>
      <c r="H1071" s="8">
        <v>1711.57</v>
      </c>
      <c r="I1071" s="8">
        <v>-129.09</v>
      </c>
      <c r="J1071" s="8">
        <v>0.17</v>
      </c>
      <c r="K1071" t="str">
        <f>IF(SalesData[[#This Row],[Profit]]&gt;0,"Profit","Loss")</f>
        <v>Loss</v>
      </c>
      <c r="L1071" s="8">
        <f>SalesData[[#This Row],[Profit]]/SalesData[[#This Row],[Sales]]</f>
        <v>-7.5421980988215509E-2</v>
      </c>
      <c r="M1071" t="str">
        <f>TEXT(SalesData[[#This Row],[Order_Date]],"mmm")</f>
        <v>Apr</v>
      </c>
      <c r="N1071">
        <f>YEAR(SalesData[[#This Row],[Order_Date]])</f>
        <v>2023</v>
      </c>
    </row>
    <row r="1072" spans="1:14" x14ac:dyDescent="0.3">
      <c r="A1072" t="s">
        <v>2132</v>
      </c>
      <c r="B1072" s="1">
        <v>45290</v>
      </c>
      <c r="C1072" t="s">
        <v>2133</v>
      </c>
      <c r="D1072" t="s">
        <v>28</v>
      </c>
      <c r="E1072" t="s">
        <v>56</v>
      </c>
      <c r="F1072" t="s">
        <v>95</v>
      </c>
      <c r="G1072" t="s">
        <v>600</v>
      </c>
      <c r="H1072" s="8">
        <v>3266.87</v>
      </c>
      <c r="I1072" s="8">
        <v>-888.36</v>
      </c>
      <c r="J1072" s="8">
        <v>0.28000000000000003</v>
      </c>
      <c r="K1072" t="str">
        <f>IF(SalesData[[#This Row],[Profit]]&gt;0,"Profit","Loss")</f>
        <v>Loss</v>
      </c>
      <c r="L1072" s="8">
        <f>SalesData[[#This Row],[Profit]]/SalesData[[#This Row],[Sales]]</f>
        <v>-0.27193001251962889</v>
      </c>
      <c r="M1072" t="str">
        <f>TEXT(SalesData[[#This Row],[Order_Date]],"mmm")</f>
        <v>Dec</v>
      </c>
      <c r="N1072">
        <f>YEAR(SalesData[[#This Row],[Order_Date]])</f>
        <v>2023</v>
      </c>
    </row>
    <row r="1073" spans="1:14" x14ac:dyDescent="0.3">
      <c r="A1073" t="s">
        <v>2134</v>
      </c>
      <c r="B1073" s="1">
        <v>45030</v>
      </c>
      <c r="C1073" t="s">
        <v>1218</v>
      </c>
      <c r="D1073" t="s">
        <v>18</v>
      </c>
      <c r="E1073" t="s">
        <v>56</v>
      </c>
      <c r="F1073" t="s">
        <v>95</v>
      </c>
      <c r="G1073" t="s">
        <v>25</v>
      </c>
      <c r="H1073" s="8">
        <v>1320.76</v>
      </c>
      <c r="I1073" s="8">
        <v>-39.69</v>
      </c>
      <c r="J1073" s="8">
        <v>0.27</v>
      </c>
      <c r="K1073" t="str">
        <f>IF(SalesData[[#This Row],[Profit]]&gt;0,"Profit","Loss")</f>
        <v>Loss</v>
      </c>
      <c r="L1073" s="8">
        <f>SalesData[[#This Row],[Profit]]/SalesData[[#This Row],[Sales]]</f>
        <v>-3.0050879796480811E-2</v>
      </c>
      <c r="M1073" t="str">
        <f>TEXT(SalesData[[#This Row],[Order_Date]],"mmm")</f>
        <v>Apr</v>
      </c>
      <c r="N1073">
        <f>YEAR(SalesData[[#This Row],[Order_Date]])</f>
        <v>2023</v>
      </c>
    </row>
    <row r="1074" spans="1:14" x14ac:dyDescent="0.3">
      <c r="A1074" t="s">
        <v>2135</v>
      </c>
      <c r="B1074" s="1">
        <v>44723</v>
      </c>
      <c r="C1074" t="s">
        <v>2059</v>
      </c>
      <c r="D1074" t="s">
        <v>40</v>
      </c>
      <c r="E1074" t="s">
        <v>13</v>
      </c>
      <c r="F1074" t="s">
        <v>14</v>
      </c>
      <c r="G1074" t="s">
        <v>154</v>
      </c>
      <c r="H1074" s="8">
        <v>2028.4</v>
      </c>
      <c r="I1074" s="8">
        <v>-681.91</v>
      </c>
      <c r="J1074" s="8">
        <v>0.28000000000000003</v>
      </c>
      <c r="K1074" t="str">
        <f>IF(SalesData[[#This Row],[Profit]]&gt;0,"Profit","Loss")</f>
        <v>Loss</v>
      </c>
      <c r="L1074" s="8">
        <f>SalesData[[#This Row],[Profit]]/SalesData[[#This Row],[Sales]]</f>
        <v>-0.33618122658252808</v>
      </c>
      <c r="M1074" t="str">
        <f>TEXT(SalesData[[#This Row],[Order_Date]],"mmm")</f>
        <v>Jun</v>
      </c>
      <c r="N1074">
        <f>YEAR(SalesData[[#This Row],[Order_Date]])</f>
        <v>2022</v>
      </c>
    </row>
    <row r="1075" spans="1:14" x14ac:dyDescent="0.3">
      <c r="A1075" t="s">
        <v>2136</v>
      </c>
      <c r="B1075" s="1">
        <v>44983</v>
      </c>
      <c r="C1075" t="s">
        <v>1499</v>
      </c>
      <c r="D1075" t="s">
        <v>12</v>
      </c>
      <c r="E1075" t="s">
        <v>56</v>
      </c>
      <c r="F1075" t="s">
        <v>73</v>
      </c>
      <c r="G1075" t="s">
        <v>979</v>
      </c>
      <c r="H1075" s="8">
        <v>3660.03</v>
      </c>
      <c r="I1075" s="8">
        <v>275.39</v>
      </c>
      <c r="J1075" s="8">
        <v>0.27</v>
      </c>
      <c r="K1075" t="str">
        <f>IF(SalesData[[#This Row],[Profit]]&gt;0,"Profit","Loss")</f>
        <v>Profit</v>
      </c>
      <c r="L1075" s="8">
        <f>SalesData[[#This Row],[Profit]]/SalesData[[#This Row],[Sales]]</f>
        <v>7.5242552656672207E-2</v>
      </c>
      <c r="M1075" t="str">
        <f>TEXT(SalesData[[#This Row],[Order_Date]],"mmm")</f>
        <v>Feb</v>
      </c>
      <c r="N1075">
        <f>YEAR(SalesData[[#This Row],[Order_Date]])</f>
        <v>2023</v>
      </c>
    </row>
    <row r="1076" spans="1:14" x14ac:dyDescent="0.3">
      <c r="A1076" t="s">
        <v>2137</v>
      </c>
      <c r="B1076" s="1">
        <v>44730</v>
      </c>
      <c r="C1076" t="s">
        <v>232</v>
      </c>
      <c r="D1076" t="s">
        <v>18</v>
      </c>
      <c r="E1076" t="s">
        <v>56</v>
      </c>
      <c r="F1076" t="s">
        <v>57</v>
      </c>
      <c r="G1076" t="s">
        <v>70</v>
      </c>
      <c r="H1076" s="8">
        <v>2571.5300000000002</v>
      </c>
      <c r="I1076" s="8">
        <v>-473.01</v>
      </c>
      <c r="J1076" s="8">
        <v>0.23</v>
      </c>
      <c r="K1076" t="str">
        <f>IF(SalesData[[#This Row],[Profit]]&gt;0,"Profit","Loss")</f>
        <v>Loss</v>
      </c>
      <c r="L1076" s="8">
        <f>SalesData[[#This Row],[Profit]]/SalesData[[#This Row],[Sales]]</f>
        <v>-0.18394107787970584</v>
      </c>
      <c r="M1076" t="str">
        <f>TEXT(SalesData[[#This Row],[Order_Date]],"mmm")</f>
        <v>Jun</v>
      </c>
      <c r="N1076">
        <f>YEAR(SalesData[[#This Row],[Order_Date]])</f>
        <v>2022</v>
      </c>
    </row>
    <row r="1077" spans="1:14" x14ac:dyDescent="0.3">
      <c r="A1077" t="s">
        <v>2138</v>
      </c>
      <c r="B1077" s="1">
        <v>45034</v>
      </c>
      <c r="C1077" t="s">
        <v>1429</v>
      </c>
      <c r="D1077" t="s">
        <v>40</v>
      </c>
      <c r="E1077" t="s">
        <v>56</v>
      </c>
      <c r="F1077" t="s">
        <v>95</v>
      </c>
      <c r="G1077" t="s">
        <v>2110</v>
      </c>
      <c r="H1077" s="8">
        <v>230.92</v>
      </c>
      <c r="I1077" s="8">
        <v>3.55</v>
      </c>
      <c r="J1077" s="8">
        <v>0.19</v>
      </c>
      <c r="K1077" t="str">
        <f>IF(SalesData[[#This Row],[Profit]]&gt;0,"Profit","Loss")</f>
        <v>Profit</v>
      </c>
      <c r="L1077" s="8">
        <f>SalesData[[#This Row],[Profit]]/SalesData[[#This Row],[Sales]]</f>
        <v>1.5373289450892084E-2</v>
      </c>
      <c r="M1077" t="str">
        <f>TEXT(SalesData[[#This Row],[Order_Date]],"mmm")</f>
        <v>Apr</v>
      </c>
      <c r="N1077">
        <f>YEAR(SalesData[[#This Row],[Order_Date]])</f>
        <v>2023</v>
      </c>
    </row>
    <row r="1078" spans="1:14" x14ac:dyDescent="0.3">
      <c r="A1078" t="s">
        <v>2139</v>
      </c>
      <c r="B1078" s="1">
        <v>44701</v>
      </c>
      <c r="C1078" t="s">
        <v>2140</v>
      </c>
      <c r="D1078" t="s">
        <v>28</v>
      </c>
      <c r="E1078" t="s">
        <v>19</v>
      </c>
      <c r="F1078" t="s">
        <v>20</v>
      </c>
      <c r="G1078" t="s">
        <v>2141</v>
      </c>
      <c r="H1078" s="8">
        <v>2043.7</v>
      </c>
      <c r="I1078" s="8">
        <v>-268.11</v>
      </c>
      <c r="J1078" s="8">
        <v>0</v>
      </c>
      <c r="K1078" t="str">
        <f>IF(SalesData[[#This Row],[Profit]]&gt;0,"Profit","Loss")</f>
        <v>Loss</v>
      </c>
      <c r="L1078" s="8">
        <f>SalesData[[#This Row],[Profit]]/SalesData[[#This Row],[Sales]]</f>
        <v>-0.13118853060625338</v>
      </c>
      <c r="M1078" t="str">
        <f>TEXT(SalesData[[#This Row],[Order_Date]],"mmm")</f>
        <v>May</v>
      </c>
      <c r="N1078">
        <f>YEAR(SalesData[[#This Row],[Order_Date]])</f>
        <v>2022</v>
      </c>
    </row>
    <row r="1079" spans="1:14" x14ac:dyDescent="0.3">
      <c r="A1079" t="s">
        <v>2142</v>
      </c>
      <c r="B1079" s="1">
        <v>45010</v>
      </c>
      <c r="C1079" t="s">
        <v>758</v>
      </c>
      <c r="D1079" t="s">
        <v>28</v>
      </c>
      <c r="E1079" t="s">
        <v>19</v>
      </c>
      <c r="F1079" t="s">
        <v>20</v>
      </c>
      <c r="G1079" t="s">
        <v>282</v>
      </c>
      <c r="H1079" s="8">
        <v>504.49</v>
      </c>
      <c r="I1079" s="8">
        <v>14.2</v>
      </c>
      <c r="J1079" s="8">
        <v>0.2</v>
      </c>
      <c r="K1079" t="str">
        <f>IF(SalesData[[#This Row],[Profit]]&gt;0,"Profit","Loss")</f>
        <v>Profit</v>
      </c>
      <c r="L1079" s="8">
        <f>SalesData[[#This Row],[Profit]]/SalesData[[#This Row],[Sales]]</f>
        <v>2.8147237804515449E-2</v>
      </c>
      <c r="M1079" t="str">
        <f>TEXT(SalesData[[#This Row],[Order_Date]],"mmm")</f>
        <v>Mar</v>
      </c>
      <c r="N1079">
        <f>YEAR(SalesData[[#This Row],[Order_Date]])</f>
        <v>2023</v>
      </c>
    </row>
    <row r="1080" spans="1:14" x14ac:dyDescent="0.3">
      <c r="A1080" t="s">
        <v>2143</v>
      </c>
      <c r="B1080" s="1">
        <v>44863</v>
      </c>
      <c r="C1080" t="s">
        <v>32</v>
      </c>
      <c r="D1080" t="s">
        <v>28</v>
      </c>
      <c r="E1080" t="s">
        <v>19</v>
      </c>
      <c r="F1080" t="s">
        <v>20</v>
      </c>
      <c r="G1080" t="s">
        <v>2144</v>
      </c>
      <c r="H1080" s="8">
        <v>935.89</v>
      </c>
      <c r="I1080" s="8">
        <v>-140.09</v>
      </c>
      <c r="J1080" s="8">
        <v>0.01</v>
      </c>
      <c r="K1080" t="str">
        <f>IF(SalesData[[#This Row],[Profit]]&gt;0,"Profit","Loss")</f>
        <v>Loss</v>
      </c>
      <c r="L1080" s="8">
        <f>SalesData[[#This Row],[Profit]]/SalesData[[#This Row],[Sales]]</f>
        <v>-0.14968639476861598</v>
      </c>
      <c r="M1080" t="str">
        <f>TEXT(SalesData[[#This Row],[Order_Date]],"mmm")</f>
        <v>Oct</v>
      </c>
      <c r="N1080">
        <f>YEAR(SalesData[[#This Row],[Order_Date]])</f>
        <v>2022</v>
      </c>
    </row>
    <row r="1081" spans="1:14" x14ac:dyDescent="0.3">
      <c r="A1081" t="s">
        <v>2145</v>
      </c>
      <c r="B1081" s="1">
        <v>44928</v>
      </c>
      <c r="C1081" t="s">
        <v>1680</v>
      </c>
      <c r="D1081" t="s">
        <v>18</v>
      </c>
      <c r="E1081" t="s">
        <v>56</v>
      </c>
      <c r="F1081" t="s">
        <v>73</v>
      </c>
      <c r="G1081" t="s">
        <v>1960</v>
      </c>
      <c r="H1081" s="8">
        <v>3841.59</v>
      </c>
      <c r="I1081" s="8">
        <v>-1182.83</v>
      </c>
      <c r="J1081" s="8">
        <v>0.2</v>
      </c>
      <c r="K1081" t="str">
        <f>IF(SalesData[[#This Row],[Profit]]&gt;0,"Profit","Loss")</f>
        <v>Loss</v>
      </c>
      <c r="L1081" s="8">
        <f>SalesData[[#This Row],[Profit]]/SalesData[[#This Row],[Sales]]</f>
        <v>-0.30790115551112945</v>
      </c>
      <c r="M1081" t="str">
        <f>TEXT(SalesData[[#This Row],[Order_Date]],"mmm")</f>
        <v>Jan</v>
      </c>
      <c r="N1081">
        <f>YEAR(SalesData[[#This Row],[Order_Date]])</f>
        <v>2023</v>
      </c>
    </row>
    <row r="1082" spans="1:14" x14ac:dyDescent="0.3">
      <c r="A1082" t="s">
        <v>2146</v>
      </c>
      <c r="B1082" s="1">
        <v>45212</v>
      </c>
      <c r="C1082" t="s">
        <v>517</v>
      </c>
      <c r="D1082" t="s">
        <v>12</v>
      </c>
      <c r="E1082" t="s">
        <v>56</v>
      </c>
      <c r="F1082" t="s">
        <v>73</v>
      </c>
      <c r="G1082" t="s">
        <v>1993</v>
      </c>
      <c r="H1082" s="8">
        <v>2708.26</v>
      </c>
      <c r="I1082" s="8">
        <v>-816.12</v>
      </c>
      <c r="J1082" s="8">
        <v>0.13</v>
      </c>
      <c r="K1082" t="str">
        <f>IF(SalesData[[#This Row],[Profit]]&gt;0,"Profit","Loss")</f>
        <v>Loss</v>
      </c>
      <c r="L1082" s="8">
        <f>SalesData[[#This Row],[Profit]]/SalesData[[#This Row],[Sales]]</f>
        <v>-0.30134477487390426</v>
      </c>
      <c r="M1082" t="str">
        <f>TEXT(SalesData[[#This Row],[Order_Date]],"mmm")</f>
        <v>Oct</v>
      </c>
      <c r="N1082">
        <f>YEAR(SalesData[[#This Row],[Order_Date]])</f>
        <v>2023</v>
      </c>
    </row>
    <row r="1083" spans="1:14" x14ac:dyDescent="0.3">
      <c r="A1083" t="s">
        <v>2147</v>
      </c>
      <c r="B1083" s="1">
        <v>44948</v>
      </c>
      <c r="C1083" t="s">
        <v>2148</v>
      </c>
      <c r="D1083" t="s">
        <v>18</v>
      </c>
      <c r="E1083" t="s">
        <v>13</v>
      </c>
      <c r="F1083" t="s">
        <v>36</v>
      </c>
      <c r="G1083" t="s">
        <v>83</v>
      </c>
      <c r="H1083" s="8">
        <v>2275.5300000000002</v>
      </c>
      <c r="I1083" s="8">
        <v>-798.26</v>
      </c>
      <c r="J1083" s="8">
        <v>0.18</v>
      </c>
      <c r="K1083" t="str">
        <f>IF(SalesData[[#This Row],[Profit]]&gt;0,"Profit","Loss")</f>
        <v>Loss</v>
      </c>
      <c r="L1083" s="8">
        <f>SalesData[[#This Row],[Profit]]/SalesData[[#This Row],[Sales]]</f>
        <v>-0.35080179123105382</v>
      </c>
      <c r="M1083" t="str">
        <f>TEXT(SalesData[[#This Row],[Order_Date]],"mmm")</f>
        <v>Jan</v>
      </c>
      <c r="N1083">
        <f>YEAR(SalesData[[#This Row],[Order_Date]])</f>
        <v>2023</v>
      </c>
    </row>
    <row r="1084" spans="1:14" x14ac:dyDescent="0.3">
      <c r="A1084" t="s">
        <v>2149</v>
      </c>
      <c r="B1084" s="1">
        <v>44590</v>
      </c>
      <c r="C1084" t="s">
        <v>1901</v>
      </c>
      <c r="D1084" t="s">
        <v>40</v>
      </c>
      <c r="E1084" t="s">
        <v>56</v>
      </c>
      <c r="F1084" t="s">
        <v>95</v>
      </c>
      <c r="G1084" t="s">
        <v>282</v>
      </c>
      <c r="H1084" s="8">
        <v>4552.91</v>
      </c>
      <c r="I1084" s="8">
        <v>-1139.94</v>
      </c>
      <c r="J1084" s="8">
        <v>0.06</v>
      </c>
      <c r="K1084" t="str">
        <f>IF(SalesData[[#This Row],[Profit]]&gt;0,"Profit","Loss")</f>
        <v>Loss</v>
      </c>
      <c r="L1084" s="8">
        <f>SalesData[[#This Row],[Profit]]/SalesData[[#This Row],[Sales]]</f>
        <v>-0.25037613306654427</v>
      </c>
      <c r="M1084" t="str">
        <f>TEXT(SalesData[[#This Row],[Order_Date]],"mmm")</f>
        <v>Jan</v>
      </c>
      <c r="N1084">
        <f>YEAR(SalesData[[#This Row],[Order_Date]])</f>
        <v>2022</v>
      </c>
    </row>
    <row r="1085" spans="1:14" x14ac:dyDescent="0.3">
      <c r="A1085" t="s">
        <v>2150</v>
      </c>
      <c r="B1085" s="1">
        <v>45242</v>
      </c>
      <c r="C1085" t="s">
        <v>1323</v>
      </c>
      <c r="D1085" t="s">
        <v>18</v>
      </c>
      <c r="E1085" t="s">
        <v>56</v>
      </c>
      <c r="F1085" t="s">
        <v>73</v>
      </c>
      <c r="G1085" t="s">
        <v>981</v>
      </c>
      <c r="H1085" s="8">
        <v>3377.85</v>
      </c>
      <c r="I1085" s="8">
        <v>876.12</v>
      </c>
      <c r="J1085" s="8">
        <v>7.0000000000000007E-2</v>
      </c>
      <c r="K1085" t="str">
        <f>IF(SalesData[[#This Row],[Profit]]&gt;0,"Profit","Loss")</f>
        <v>Profit</v>
      </c>
      <c r="L1085" s="8">
        <f>SalesData[[#This Row],[Profit]]/SalesData[[#This Row],[Sales]]</f>
        <v>0.25937208579421822</v>
      </c>
      <c r="M1085" t="str">
        <f>TEXT(SalesData[[#This Row],[Order_Date]],"mmm")</f>
        <v>Nov</v>
      </c>
      <c r="N1085">
        <f>YEAR(SalesData[[#This Row],[Order_Date]])</f>
        <v>2023</v>
      </c>
    </row>
    <row r="1086" spans="1:14" x14ac:dyDescent="0.3">
      <c r="A1086" t="s">
        <v>2151</v>
      </c>
      <c r="B1086" s="1">
        <v>44756</v>
      </c>
      <c r="C1086" t="s">
        <v>2152</v>
      </c>
      <c r="D1086" t="s">
        <v>18</v>
      </c>
      <c r="E1086" t="s">
        <v>19</v>
      </c>
      <c r="F1086" t="s">
        <v>141</v>
      </c>
      <c r="G1086" t="s">
        <v>700</v>
      </c>
      <c r="H1086" s="8">
        <v>627.65</v>
      </c>
      <c r="I1086" s="8">
        <v>23.37</v>
      </c>
      <c r="J1086" s="8">
        <v>0.1</v>
      </c>
      <c r="K1086" t="str">
        <f>IF(SalesData[[#This Row],[Profit]]&gt;0,"Profit","Loss")</f>
        <v>Profit</v>
      </c>
      <c r="L1086" s="8">
        <f>SalesData[[#This Row],[Profit]]/SalesData[[#This Row],[Sales]]</f>
        <v>3.7234127300246958E-2</v>
      </c>
      <c r="M1086" t="str">
        <f>TEXT(SalesData[[#This Row],[Order_Date]],"mmm")</f>
        <v>Jul</v>
      </c>
      <c r="N1086">
        <f>YEAR(SalesData[[#This Row],[Order_Date]])</f>
        <v>2022</v>
      </c>
    </row>
    <row r="1087" spans="1:14" x14ac:dyDescent="0.3">
      <c r="A1087" t="s">
        <v>2153</v>
      </c>
      <c r="B1087" s="1">
        <v>44927</v>
      </c>
      <c r="C1087" t="s">
        <v>1453</v>
      </c>
      <c r="D1087" t="s">
        <v>18</v>
      </c>
      <c r="E1087" t="s">
        <v>13</v>
      </c>
      <c r="F1087" t="s">
        <v>36</v>
      </c>
      <c r="G1087" t="s">
        <v>354</v>
      </c>
      <c r="H1087" s="8">
        <v>4700.72</v>
      </c>
      <c r="I1087" s="8">
        <v>-525.22</v>
      </c>
      <c r="J1087" s="8">
        <v>0.04</v>
      </c>
      <c r="K1087" t="str">
        <f>IF(SalesData[[#This Row],[Profit]]&gt;0,"Profit","Loss")</f>
        <v>Loss</v>
      </c>
      <c r="L1087" s="8">
        <f>SalesData[[#This Row],[Profit]]/SalesData[[#This Row],[Sales]]</f>
        <v>-0.11173181980632754</v>
      </c>
      <c r="M1087" t="str">
        <f>TEXT(SalesData[[#This Row],[Order_Date]],"mmm")</f>
        <v>Jan</v>
      </c>
      <c r="N1087">
        <f>YEAR(SalesData[[#This Row],[Order_Date]])</f>
        <v>2023</v>
      </c>
    </row>
    <row r="1088" spans="1:14" x14ac:dyDescent="0.3">
      <c r="A1088" t="s">
        <v>2154</v>
      </c>
      <c r="B1088" s="1">
        <v>44629</v>
      </c>
      <c r="C1088" t="s">
        <v>1915</v>
      </c>
      <c r="D1088" t="s">
        <v>40</v>
      </c>
      <c r="E1088" t="s">
        <v>19</v>
      </c>
      <c r="F1088" t="s">
        <v>141</v>
      </c>
      <c r="G1088" t="s">
        <v>1303</v>
      </c>
      <c r="H1088" s="8">
        <v>1649.58</v>
      </c>
      <c r="I1088" s="8">
        <v>-73.790000000000006</v>
      </c>
      <c r="J1088" s="8">
        <v>0.12</v>
      </c>
      <c r="K1088" t="str">
        <f>IF(SalesData[[#This Row],[Profit]]&gt;0,"Profit","Loss")</f>
        <v>Loss</v>
      </c>
      <c r="L1088" s="8">
        <f>SalesData[[#This Row],[Profit]]/SalesData[[#This Row],[Sales]]</f>
        <v>-4.4732598600855981E-2</v>
      </c>
      <c r="M1088" t="str">
        <f>TEXT(SalesData[[#This Row],[Order_Date]],"mmm")</f>
        <v>Mar</v>
      </c>
      <c r="N1088">
        <f>YEAR(SalesData[[#This Row],[Order_Date]])</f>
        <v>2022</v>
      </c>
    </row>
    <row r="1089" spans="1:14" x14ac:dyDescent="0.3">
      <c r="A1089" t="s">
        <v>2155</v>
      </c>
      <c r="B1089" s="1">
        <v>45175</v>
      </c>
      <c r="C1089" t="s">
        <v>978</v>
      </c>
      <c r="D1089" t="s">
        <v>12</v>
      </c>
      <c r="E1089" t="s">
        <v>13</v>
      </c>
      <c r="F1089" t="s">
        <v>36</v>
      </c>
      <c r="G1089" t="s">
        <v>438</v>
      </c>
      <c r="H1089" s="8">
        <v>315.3</v>
      </c>
      <c r="I1089" s="8">
        <v>-70.42</v>
      </c>
      <c r="J1089" s="8">
        <v>0.27</v>
      </c>
      <c r="K1089" t="str">
        <f>IF(SalesData[[#This Row],[Profit]]&gt;0,"Profit","Loss")</f>
        <v>Loss</v>
      </c>
      <c r="L1089" s="8">
        <f>SalesData[[#This Row],[Profit]]/SalesData[[#This Row],[Sales]]</f>
        <v>-0.22334284808119251</v>
      </c>
      <c r="M1089" t="str">
        <f>TEXT(SalesData[[#This Row],[Order_Date]],"mmm")</f>
        <v>Sep</v>
      </c>
      <c r="N1089">
        <f>YEAR(SalesData[[#This Row],[Order_Date]])</f>
        <v>2023</v>
      </c>
    </row>
    <row r="1090" spans="1:14" x14ac:dyDescent="0.3">
      <c r="A1090" t="s">
        <v>2156</v>
      </c>
      <c r="B1090" s="1">
        <v>45208</v>
      </c>
      <c r="C1090" t="s">
        <v>113</v>
      </c>
      <c r="D1090" t="s">
        <v>28</v>
      </c>
      <c r="E1090" t="s">
        <v>13</v>
      </c>
      <c r="F1090" t="s">
        <v>24</v>
      </c>
      <c r="G1090" t="s">
        <v>169</v>
      </c>
      <c r="H1090" s="8">
        <v>940.15</v>
      </c>
      <c r="I1090" s="8">
        <v>-122.29</v>
      </c>
      <c r="J1090" s="8">
        <v>0.28999999999999998</v>
      </c>
      <c r="K1090" t="str">
        <f>IF(SalesData[[#This Row],[Profit]]&gt;0,"Profit","Loss")</f>
        <v>Loss</v>
      </c>
      <c r="L1090" s="8">
        <f>SalesData[[#This Row],[Profit]]/SalesData[[#This Row],[Sales]]</f>
        <v>-0.13007498803382439</v>
      </c>
      <c r="M1090" t="str">
        <f>TEXT(SalesData[[#This Row],[Order_Date]],"mmm")</f>
        <v>Oct</v>
      </c>
      <c r="N1090">
        <f>YEAR(SalesData[[#This Row],[Order_Date]])</f>
        <v>2023</v>
      </c>
    </row>
    <row r="1091" spans="1:14" x14ac:dyDescent="0.3">
      <c r="A1091" t="s">
        <v>2157</v>
      </c>
      <c r="B1091" s="1">
        <v>44887</v>
      </c>
      <c r="C1091" t="s">
        <v>802</v>
      </c>
      <c r="D1091" t="s">
        <v>28</v>
      </c>
      <c r="E1091" t="s">
        <v>13</v>
      </c>
      <c r="F1091" t="s">
        <v>14</v>
      </c>
      <c r="G1091" t="s">
        <v>564</v>
      </c>
      <c r="H1091" s="8">
        <v>1727.03</v>
      </c>
      <c r="I1091" s="8">
        <v>242.44</v>
      </c>
      <c r="J1091" s="8">
        <v>0.19</v>
      </c>
      <c r="K1091" t="str">
        <f>IF(SalesData[[#This Row],[Profit]]&gt;0,"Profit","Loss")</f>
        <v>Profit</v>
      </c>
      <c r="L1091" s="8">
        <f>SalesData[[#This Row],[Profit]]/SalesData[[#This Row],[Sales]]</f>
        <v>0.14037972704585328</v>
      </c>
      <c r="M1091" t="str">
        <f>TEXT(SalesData[[#This Row],[Order_Date]],"mmm")</f>
        <v>Nov</v>
      </c>
      <c r="N1091">
        <f>YEAR(SalesData[[#This Row],[Order_Date]])</f>
        <v>2022</v>
      </c>
    </row>
    <row r="1092" spans="1:14" x14ac:dyDescent="0.3">
      <c r="A1092" t="s">
        <v>2158</v>
      </c>
      <c r="B1092" s="1">
        <v>45217</v>
      </c>
      <c r="C1092" t="s">
        <v>2159</v>
      </c>
      <c r="D1092" t="s">
        <v>18</v>
      </c>
      <c r="E1092" t="s">
        <v>19</v>
      </c>
      <c r="F1092" t="s">
        <v>20</v>
      </c>
      <c r="G1092" t="s">
        <v>624</v>
      </c>
      <c r="H1092" s="8">
        <v>3081.81</v>
      </c>
      <c r="I1092" s="8">
        <v>-464.05</v>
      </c>
      <c r="J1092" s="8">
        <v>0.18</v>
      </c>
      <c r="K1092" t="str">
        <f>IF(SalesData[[#This Row],[Profit]]&gt;0,"Profit","Loss")</f>
        <v>Loss</v>
      </c>
      <c r="L1092" s="8">
        <f>SalesData[[#This Row],[Profit]]/SalesData[[#This Row],[Sales]]</f>
        <v>-0.15057709592739332</v>
      </c>
      <c r="M1092" t="str">
        <f>TEXT(SalesData[[#This Row],[Order_Date]],"mmm")</f>
        <v>Oct</v>
      </c>
      <c r="N1092">
        <f>YEAR(SalesData[[#This Row],[Order_Date]])</f>
        <v>2023</v>
      </c>
    </row>
    <row r="1093" spans="1:14" x14ac:dyDescent="0.3">
      <c r="A1093" t="s">
        <v>2160</v>
      </c>
      <c r="B1093" s="1">
        <v>44689</v>
      </c>
      <c r="C1093" t="s">
        <v>1405</v>
      </c>
      <c r="D1093" t="s">
        <v>18</v>
      </c>
      <c r="E1093" t="s">
        <v>13</v>
      </c>
      <c r="F1093" t="s">
        <v>24</v>
      </c>
      <c r="G1093" t="s">
        <v>2063</v>
      </c>
      <c r="H1093" s="8">
        <v>4943.07</v>
      </c>
      <c r="I1093" s="8">
        <v>493.36</v>
      </c>
      <c r="J1093" s="8">
        <v>7.0000000000000007E-2</v>
      </c>
      <c r="K1093" t="str">
        <f>IF(SalesData[[#This Row],[Profit]]&gt;0,"Profit","Loss")</f>
        <v>Profit</v>
      </c>
      <c r="L1093" s="8">
        <f>SalesData[[#This Row],[Profit]]/SalesData[[#This Row],[Sales]]</f>
        <v>9.9808418654803596E-2</v>
      </c>
      <c r="M1093" t="str">
        <f>TEXT(SalesData[[#This Row],[Order_Date]],"mmm")</f>
        <v>May</v>
      </c>
      <c r="N1093">
        <f>YEAR(SalesData[[#This Row],[Order_Date]])</f>
        <v>2022</v>
      </c>
    </row>
    <row r="1094" spans="1:14" x14ac:dyDescent="0.3">
      <c r="A1094" t="s">
        <v>2161</v>
      </c>
      <c r="B1094" s="1">
        <v>44865</v>
      </c>
      <c r="C1094" t="s">
        <v>1548</v>
      </c>
      <c r="D1094" t="s">
        <v>18</v>
      </c>
      <c r="E1094" t="s">
        <v>19</v>
      </c>
      <c r="F1094" t="s">
        <v>20</v>
      </c>
      <c r="G1094" t="s">
        <v>1306</v>
      </c>
      <c r="H1094" s="8">
        <v>3136.85</v>
      </c>
      <c r="I1094" s="8">
        <v>14.79</v>
      </c>
      <c r="J1094" s="8">
        <v>0.02</v>
      </c>
      <c r="K1094" t="str">
        <f>IF(SalesData[[#This Row],[Profit]]&gt;0,"Profit","Loss")</f>
        <v>Profit</v>
      </c>
      <c r="L1094" s="8">
        <f>SalesData[[#This Row],[Profit]]/SalesData[[#This Row],[Sales]]</f>
        <v>4.7149210194940786E-3</v>
      </c>
      <c r="M1094" t="str">
        <f>TEXT(SalesData[[#This Row],[Order_Date]],"mmm")</f>
        <v>Oct</v>
      </c>
      <c r="N1094">
        <f>YEAR(SalesData[[#This Row],[Order_Date]])</f>
        <v>2022</v>
      </c>
    </row>
    <row r="1095" spans="1:14" x14ac:dyDescent="0.3">
      <c r="A1095" t="s">
        <v>2162</v>
      </c>
      <c r="B1095" s="1">
        <v>45016</v>
      </c>
      <c r="C1095" t="s">
        <v>1953</v>
      </c>
      <c r="D1095" t="s">
        <v>40</v>
      </c>
      <c r="E1095" t="s">
        <v>56</v>
      </c>
      <c r="F1095" t="s">
        <v>73</v>
      </c>
      <c r="G1095" t="s">
        <v>1637</v>
      </c>
      <c r="H1095" s="8">
        <v>285.74</v>
      </c>
      <c r="I1095" s="8">
        <v>-34.619999999999997</v>
      </c>
      <c r="J1095" s="8">
        <v>0.28000000000000003</v>
      </c>
      <c r="K1095" t="str">
        <f>IF(SalesData[[#This Row],[Profit]]&gt;0,"Profit","Loss")</f>
        <v>Loss</v>
      </c>
      <c r="L1095" s="8">
        <f>SalesData[[#This Row],[Profit]]/SalesData[[#This Row],[Sales]]</f>
        <v>-0.12115909568138866</v>
      </c>
      <c r="M1095" t="str">
        <f>TEXT(SalesData[[#This Row],[Order_Date]],"mmm")</f>
        <v>Mar</v>
      </c>
      <c r="N1095">
        <f>YEAR(SalesData[[#This Row],[Order_Date]])</f>
        <v>2023</v>
      </c>
    </row>
    <row r="1096" spans="1:14" x14ac:dyDescent="0.3">
      <c r="A1096" t="s">
        <v>2163</v>
      </c>
      <c r="B1096" s="1">
        <v>44986</v>
      </c>
      <c r="C1096" t="s">
        <v>408</v>
      </c>
      <c r="D1096" t="s">
        <v>40</v>
      </c>
      <c r="E1096" t="s">
        <v>19</v>
      </c>
      <c r="F1096" t="s">
        <v>29</v>
      </c>
      <c r="G1096" t="s">
        <v>2164</v>
      </c>
      <c r="H1096" s="8">
        <v>3253.65</v>
      </c>
      <c r="I1096" s="8">
        <v>-382.23</v>
      </c>
      <c r="J1096" s="8">
        <v>0.23</v>
      </c>
      <c r="K1096" t="str">
        <f>IF(SalesData[[#This Row],[Profit]]&gt;0,"Profit","Loss")</f>
        <v>Loss</v>
      </c>
      <c r="L1096" s="8">
        <f>SalesData[[#This Row],[Profit]]/SalesData[[#This Row],[Sales]]</f>
        <v>-0.11747729473053341</v>
      </c>
      <c r="M1096" t="str">
        <f>TEXT(SalesData[[#This Row],[Order_Date]],"mmm")</f>
        <v>Mar</v>
      </c>
      <c r="N1096">
        <f>YEAR(SalesData[[#This Row],[Order_Date]])</f>
        <v>2023</v>
      </c>
    </row>
    <row r="1097" spans="1:14" x14ac:dyDescent="0.3">
      <c r="A1097" t="s">
        <v>2165</v>
      </c>
      <c r="B1097" s="1">
        <v>45114</v>
      </c>
      <c r="C1097" t="s">
        <v>1073</v>
      </c>
      <c r="D1097" t="s">
        <v>18</v>
      </c>
      <c r="E1097" t="s">
        <v>56</v>
      </c>
      <c r="F1097" t="s">
        <v>57</v>
      </c>
      <c r="G1097" t="s">
        <v>1191</v>
      </c>
      <c r="H1097" s="8">
        <v>4249.9799999999996</v>
      </c>
      <c r="I1097" s="8">
        <v>-657.26</v>
      </c>
      <c r="J1097" s="8">
        <v>0.1</v>
      </c>
      <c r="K1097" t="str">
        <f>IF(SalesData[[#This Row],[Profit]]&gt;0,"Profit","Loss")</f>
        <v>Loss</v>
      </c>
      <c r="L1097" s="8">
        <f>SalesData[[#This Row],[Profit]]/SalesData[[#This Row],[Sales]]</f>
        <v>-0.1546501395300684</v>
      </c>
      <c r="M1097" t="str">
        <f>TEXT(SalesData[[#This Row],[Order_Date]],"mmm")</f>
        <v>Jul</v>
      </c>
      <c r="N1097">
        <f>YEAR(SalesData[[#This Row],[Order_Date]])</f>
        <v>2023</v>
      </c>
    </row>
    <row r="1098" spans="1:14" x14ac:dyDescent="0.3">
      <c r="A1098" t="s">
        <v>2166</v>
      </c>
      <c r="B1098" s="1">
        <v>44891</v>
      </c>
      <c r="C1098" t="s">
        <v>1792</v>
      </c>
      <c r="D1098" t="s">
        <v>28</v>
      </c>
      <c r="E1098" t="s">
        <v>13</v>
      </c>
      <c r="F1098" t="s">
        <v>24</v>
      </c>
      <c r="G1098" t="s">
        <v>1434</v>
      </c>
      <c r="H1098" s="8">
        <v>3625.56</v>
      </c>
      <c r="I1098" s="8">
        <v>-547.85</v>
      </c>
      <c r="J1098" s="8">
        <v>0.18</v>
      </c>
      <c r="K1098" t="str">
        <f>IF(SalesData[[#This Row],[Profit]]&gt;0,"Profit","Loss")</f>
        <v>Loss</v>
      </c>
      <c r="L1098" s="8">
        <f>SalesData[[#This Row],[Profit]]/SalesData[[#This Row],[Sales]]</f>
        <v>-0.15110769094981191</v>
      </c>
      <c r="M1098" t="str">
        <f>TEXT(SalesData[[#This Row],[Order_Date]],"mmm")</f>
        <v>Nov</v>
      </c>
      <c r="N1098">
        <f>YEAR(SalesData[[#This Row],[Order_Date]])</f>
        <v>2022</v>
      </c>
    </row>
    <row r="1099" spans="1:14" x14ac:dyDescent="0.3">
      <c r="A1099" t="s">
        <v>2167</v>
      </c>
      <c r="B1099" s="1">
        <v>45211</v>
      </c>
      <c r="C1099" t="s">
        <v>2168</v>
      </c>
      <c r="D1099" t="s">
        <v>18</v>
      </c>
      <c r="E1099" t="s">
        <v>56</v>
      </c>
      <c r="F1099" t="s">
        <v>57</v>
      </c>
      <c r="G1099" t="s">
        <v>1400</v>
      </c>
      <c r="H1099" s="8">
        <v>4362.3500000000004</v>
      </c>
      <c r="I1099" s="8">
        <v>-455.96</v>
      </c>
      <c r="J1099" s="8">
        <v>0.02</v>
      </c>
      <c r="K1099" t="str">
        <f>IF(SalesData[[#This Row],[Profit]]&gt;0,"Profit","Loss")</f>
        <v>Loss</v>
      </c>
      <c r="L1099" s="8">
        <f>SalesData[[#This Row],[Profit]]/SalesData[[#This Row],[Sales]]</f>
        <v>-0.10452164544339632</v>
      </c>
      <c r="M1099" t="str">
        <f>TEXT(SalesData[[#This Row],[Order_Date]],"mmm")</f>
        <v>Oct</v>
      </c>
      <c r="N1099">
        <f>YEAR(SalesData[[#This Row],[Order_Date]])</f>
        <v>2023</v>
      </c>
    </row>
    <row r="1100" spans="1:14" x14ac:dyDescent="0.3">
      <c r="A1100" t="s">
        <v>2169</v>
      </c>
      <c r="B1100" s="1">
        <v>44803</v>
      </c>
      <c r="C1100" t="s">
        <v>1763</v>
      </c>
      <c r="D1100" t="s">
        <v>12</v>
      </c>
      <c r="E1100" t="s">
        <v>56</v>
      </c>
      <c r="F1100" t="s">
        <v>57</v>
      </c>
      <c r="G1100" t="s">
        <v>1570</v>
      </c>
      <c r="H1100" s="8">
        <v>3003.89</v>
      </c>
      <c r="I1100" s="8">
        <v>327.69</v>
      </c>
      <c r="J1100" s="8">
        <v>0.25</v>
      </c>
      <c r="K1100" t="str">
        <f>IF(SalesData[[#This Row],[Profit]]&gt;0,"Profit","Loss")</f>
        <v>Profit</v>
      </c>
      <c r="L1100" s="8">
        <f>SalesData[[#This Row],[Profit]]/SalesData[[#This Row],[Sales]]</f>
        <v>0.109088548515425</v>
      </c>
      <c r="M1100" t="str">
        <f>TEXT(SalesData[[#This Row],[Order_Date]],"mmm")</f>
        <v>Aug</v>
      </c>
      <c r="N1100">
        <f>YEAR(SalesData[[#This Row],[Order_Date]])</f>
        <v>2022</v>
      </c>
    </row>
    <row r="1101" spans="1:14" x14ac:dyDescent="0.3">
      <c r="A1101" t="s">
        <v>2170</v>
      </c>
      <c r="B1101" s="1">
        <v>44742</v>
      </c>
      <c r="C1101" t="s">
        <v>385</v>
      </c>
      <c r="D1101" t="s">
        <v>18</v>
      </c>
      <c r="E1101" t="s">
        <v>13</v>
      </c>
      <c r="F1101" t="s">
        <v>36</v>
      </c>
      <c r="G1101" t="s">
        <v>184</v>
      </c>
      <c r="H1101" s="8">
        <v>1626.17</v>
      </c>
      <c r="I1101" s="8">
        <v>-444.02</v>
      </c>
      <c r="J1101" s="8">
        <v>0.22</v>
      </c>
      <c r="K1101" t="str">
        <f>IF(SalesData[[#This Row],[Profit]]&gt;0,"Profit","Loss")</f>
        <v>Loss</v>
      </c>
      <c r="L1101" s="8">
        <f>SalesData[[#This Row],[Profit]]/SalesData[[#This Row],[Sales]]</f>
        <v>-0.27304648345498933</v>
      </c>
      <c r="M1101" t="str">
        <f>TEXT(SalesData[[#This Row],[Order_Date]],"mmm")</f>
        <v>Jun</v>
      </c>
      <c r="N1101">
        <f>YEAR(SalesData[[#This Row],[Order_Date]])</f>
        <v>2022</v>
      </c>
    </row>
    <row r="1102" spans="1:14" x14ac:dyDescent="0.3">
      <c r="A1102" t="s">
        <v>2171</v>
      </c>
      <c r="B1102" s="1">
        <v>45054</v>
      </c>
      <c r="C1102" t="s">
        <v>1396</v>
      </c>
      <c r="D1102" t="s">
        <v>40</v>
      </c>
      <c r="E1102" t="s">
        <v>19</v>
      </c>
      <c r="F1102" t="s">
        <v>141</v>
      </c>
      <c r="G1102" t="s">
        <v>1402</v>
      </c>
      <c r="H1102" s="8">
        <v>2296.5300000000002</v>
      </c>
      <c r="I1102" s="8">
        <v>-521.04</v>
      </c>
      <c r="J1102" s="8">
        <v>0.19</v>
      </c>
      <c r="K1102" t="str">
        <f>IF(SalesData[[#This Row],[Profit]]&gt;0,"Profit","Loss")</f>
        <v>Loss</v>
      </c>
      <c r="L1102" s="8">
        <f>SalesData[[#This Row],[Profit]]/SalesData[[#This Row],[Sales]]</f>
        <v>-0.22688142545492543</v>
      </c>
      <c r="M1102" t="str">
        <f>TEXT(SalesData[[#This Row],[Order_Date]],"mmm")</f>
        <v>May</v>
      </c>
      <c r="N1102">
        <f>YEAR(SalesData[[#This Row],[Order_Date]])</f>
        <v>2023</v>
      </c>
    </row>
    <row r="1103" spans="1:14" x14ac:dyDescent="0.3">
      <c r="A1103" t="s">
        <v>2172</v>
      </c>
      <c r="B1103" s="1">
        <v>45005</v>
      </c>
      <c r="C1103" t="s">
        <v>79</v>
      </c>
      <c r="D1103" t="s">
        <v>18</v>
      </c>
      <c r="E1103" t="s">
        <v>19</v>
      </c>
      <c r="F1103" t="s">
        <v>20</v>
      </c>
      <c r="G1103" t="s">
        <v>2173</v>
      </c>
      <c r="H1103" s="8">
        <v>2406.5</v>
      </c>
      <c r="I1103" s="8">
        <v>85.76</v>
      </c>
      <c r="J1103" s="8">
        <v>0.13</v>
      </c>
      <c r="K1103" t="str">
        <f>IF(SalesData[[#This Row],[Profit]]&gt;0,"Profit","Loss")</f>
        <v>Profit</v>
      </c>
      <c r="L1103" s="8">
        <f>SalesData[[#This Row],[Profit]]/SalesData[[#This Row],[Sales]]</f>
        <v>3.5636816954082697E-2</v>
      </c>
      <c r="M1103" t="str">
        <f>TEXT(SalesData[[#This Row],[Order_Date]],"mmm")</f>
        <v>Mar</v>
      </c>
      <c r="N1103">
        <f>YEAR(SalesData[[#This Row],[Order_Date]])</f>
        <v>2023</v>
      </c>
    </row>
    <row r="1104" spans="1:14" x14ac:dyDescent="0.3">
      <c r="A1104" t="s">
        <v>2174</v>
      </c>
      <c r="B1104" s="1">
        <v>44869</v>
      </c>
      <c r="C1104" t="s">
        <v>204</v>
      </c>
      <c r="D1104" t="s">
        <v>18</v>
      </c>
      <c r="E1104" t="s">
        <v>19</v>
      </c>
      <c r="F1104" t="s">
        <v>20</v>
      </c>
      <c r="G1104" t="s">
        <v>1084</v>
      </c>
      <c r="H1104" s="8">
        <v>3833.45</v>
      </c>
      <c r="I1104" s="8">
        <v>-1073.5999999999999</v>
      </c>
      <c r="J1104" s="8">
        <v>0.13</v>
      </c>
      <c r="K1104" t="str">
        <f>IF(SalesData[[#This Row],[Profit]]&gt;0,"Profit","Loss")</f>
        <v>Loss</v>
      </c>
      <c r="L1104" s="8">
        <f>SalesData[[#This Row],[Profit]]/SalesData[[#This Row],[Sales]]</f>
        <v>-0.28006104162047241</v>
      </c>
      <c r="M1104" t="str">
        <f>TEXT(SalesData[[#This Row],[Order_Date]],"mmm")</f>
        <v>Nov</v>
      </c>
      <c r="N1104">
        <f>YEAR(SalesData[[#This Row],[Order_Date]])</f>
        <v>2022</v>
      </c>
    </row>
    <row r="1105" spans="1:14" x14ac:dyDescent="0.3">
      <c r="A1105" t="s">
        <v>2175</v>
      </c>
      <c r="B1105" s="1">
        <v>44946</v>
      </c>
      <c r="C1105" t="s">
        <v>771</v>
      </c>
      <c r="D1105" t="s">
        <v>28</v>
      </c>
      <c r="E1105" t="s">
        <v>13</v>
      </c>
      <c r="F1105" t="s">
        <v>14</v>
      </c>
      <c r="G1105" t="s">
        <v>2176</v>
      </c>
      <c r="H1105" s="8">
        <v>1360.73</v>
      </c>
      <c r="I1105" s="8">
        <v>-92.31</v>
      </c>
      <c r="J1105" s="8">
        <v>0.14000000000000001</v>
      </c>
      <c r="K1105" t="str">
        <f>IF(SalesData[[#This Row],[Profit]]&gt;0,"Profit","Loss")</f>
        <v>Loss</v>
      </c>
      <c r="L1105" s="8">
        <f>SalesData[[#This Row],[Profit]]/SalesData[[#This Row],[Sales]]</f>
        <v>-6.7838586640994167E-2</v>
      </c>
      <c r="M1105" t="str">
        <f>TEXT(SalesData[[#This Row],[Order_Date]],"mmm")</f>
        <v>Jan</v>
      </c>
      <c r="N1105">
        <f>YEAR(SalesData[[#This Row],[Order_Date]])</f>
        <v>2023</v>
      </c>
    </row>
    <row r="1106" spans="1:14" x14ac:dyDescent="0.3">
      <c r="A1106" t="s">
        <v>2177</v>
      </c>
      <c r="B1106" s="1">
        <v>44566</v>
      </c>
      <c r="C1106" t="s">
        <v>2178</v>
      </c>
      <c r="D1106" t="s">
        <v>40</v>
      </c>
      <c r="E1106" t="s">
        <v>19</v>
      </c>
      <c r="F1106" t="s">
        <v>20</v>
      </c>
      <c r="G1106" t="s">
        <v>1835</v>
      </c>
      <c r="H1106" s="8">
        <v>3602.83</v>
      </c>
      <c r="I1106" s="8">
        <v>1043.6600000000001</v>
      </c>
      <c r="J1106" s="8">
        <v>0.06</v>
      </c>
      <c r="K1106" t="str">
        <f>IF(SalesData[[#This Row],[Profit]]&gt;0,"Profit","Loss")</f>
        <v>Profit</v>
      </c>
      <c r="L1106" s="8">
        <f>SalesData[[#This Row],[Profit]]/SalesData[[#This Row],[Sales]]</f>
        <v>0.28967783658956991</v>
      </c>
      <c r="M1106" t="str">
        <f>TEXT(SalesData[[#This Row],[Order_Date]],"mmm")</f>
        <v>Jan</v>
      </c>
      <c r="N1106">
        <f>YEAR(SalesData[[#This Row],[Order_Date]])</f>
        <v>2022</v>
      </c>
    </row>
    <row r="1107" spans="1:14" x14ac:dyDescent="0.3">
      <c r="A1107" t="s">
        <v>2179</v>
      </c>
      <c r="B1107" s="1">
        <v>45063</v>
      </c>
      <c r="C1107" t="s">
        <v>475</v>
      </c>
      <c r="D1107" t="s">
        <v>12</v>
      </c>
      <c r="E1107" t="s">
        <v>19</v>
      </c>
      <c r="F1107" t="s">
        <v>29</v>
      </c>
      <c r="G1107" t="s">
        <v>317</v>
      </c>
      <c r="H1107" s="8">
        <v>4707.3999999999996</v>
      </c>
      <c r="I1107" s="8">
        <v>-1252.7</v>
      </c>
      <c r="J1107" s="8">
        <v>0.28999999999999998</v>
      </c>
      <c r="K1107" t="str">
        <f>IF(SalesData[[#This Row],[Profit]]&gt;0,"Profit","Loss")</f>
        <v>Loss</v>
      </c>
      <c r="L1107" s="8">
        <f>SalesData[[#This Row],[Profit]]/SalesData[[#This Row],[Sales]]</f>
        <v>-0.26611292858053281</v>
      </c>
      <c r="M1107" t="str">
        <f>TEXT(SalesData[[#This Row],[Order_Date]],"mmm")</f>
        <v>May</v>
      </c>
      <c r="N1107">
        <f>YEAR(SalesData[[#This Row],[Order_Date]])</f>
        <v>2023</v>
      </c>
    </row>
    <row r="1108" spans="1:14" x14ac:dyDescent="0.3">
      <c r="A1108" t="s">
        <v>2180</v>
      </c>
      <c r="B1108" s="1">
        <v>45008</v>
      </c>
      <c r="C1108" t="s">
        <v>2181</v>
      </c>
      <c r="D1108" t="s">
        <v>40</v>
      </c>
      <c r="E1108" t="s">
        <v>56</v>
      </c>
      <c r="F1108" t="s">
        <v>57</v>
      </c>
      <c r="G1108" t="s">
        <v>1615</v>
      </c>
      <c r="H1108" s="8">
        <v>1985.65</v>
      </c>
      <c r="I1108" s="8">
        <v>-503.29</v>
      </c>
      <c r="J1108" s="8">
        <v>0.17</v>
      </c>
      <c r="K1108" t="str">
        <f>IF(SalesData[[#This Row],[Profit]]&gt;0,"Profit","Loss")</f>
        <v>Loss</v>
      </c>
      <c r="L1108" s="8">
        <f>SalesData[[#This Row],[Profit]]/SalesData[[#This Row],[Sales]]</f>
        <v>-0.25346360133961171</v>
      </c>
      <c r="M1108" t="str">
        <f>TEXT(SalesData[[#This Row],[Order_Date]],"mmm")</f>
        <v>Mar</v>
      </c>
      <c r="N1108">
        <f>YEAR(SalesData[[#This Row],[Order_Date]])</f>
        <v>2023</v>
      </c>
    </row>
    <row r="1109" spans="1:14" x14ac:dyDescent="0.3">
      <c r="A1109" t="s">
        <v>2182</v>
      </c>
      <c r="B1109" s="1">
        <v>44956</v>
      </c>
      <c r="C1109" t="s">
        <v>1827</v>
      </c>
      <c r="D1109" t="s">
        <v>18</v>
      </c>
      <c r="E1109" t="s">
        <v>13</v>
      </c>
      <c r="F1109" t="s">
        <v>36</v>
      </c>
      <c r="G1109" t="s">
        <v>96</v>
      </c>
      <c r="H1109" s="8">
        <v>3211.4</v>
      </c>
      <c r="I1109" s="8">
        <v>-884.35</v>
      </c>
      <c r="J1109" s="8">
        <v>0.11</v>
      </c>
      <c r="K1109" t="str">
        <f>IF(SalesData[[#This Row],[Profit]]&gt;0,"Profit","Loss")</f>
        <v>Loss</v>
      </c>
      <c r="L1109" s="8">
        <f>SalesData[[#This Row],[Profit]]/SalesData[[#This Row],[Sales]]</f>
        <v>-0.27537833966494363</v>
      </c>
      <c r="M1109" t="str">
        <f>TEXT(SalesData[[#This Row],[Order_Date]],"mmm")</f>
        <v>Jan</v>
      </c>
      <c r="N1109">
        <f>YEAR(SalesData[[#This Row],[Order_Date]])</f>
        <v>2023</v>
      </c>
    </row>
    <row r="1110" spans="1:14" x14ac:dyDescent="0.3">
      <c r="A1110" t="s">
        <v>2183</v>
      </c>
      <c r="B1110" s="1">
        <v>44590</v>
      </c>
      <c r="C1110" t="s">
        <v>1494</v>
      </c>
      <c r="D1110" t="s">
        <v>18</v>
      </c>
      <c r="E1110" t="s">
        <v>19</v>
      </c>
      <c r="F1110" t="s">
        <v>20</v>
      </c>
      <c r="G1110" t="s">
        <v>1011</v>
      </c>
      <c r="H1110" s="8">
        <v>4615.2</v>
      </c>
      <c r="I1110" s="8">
        <v>525.83000000000004</v>
      </c>
      <c r="J1110" s="8">
        <v>0.11</v>
      </c>
      <c r="K1110" t="str">
        <f>IF(SalesData[[#This Row],[Profit]]&gt;0,"Profit","Loss")</f>
        <v>Profit</v>
      </c>
      <c r="L1110" s="8">
        <f>SalesData[[#This Row],[Profit]]/SalesData[[#This Row],[Sales]]</f>
        <v>0.11393439070896171</v>
      </c>
      <c r="M1110" t="str">
        <f>TEXT(SalesData[[#This Row],[Order_Date]],"mmm")</f>
        <v>Jan</v>
      </c>
      <c r="N1110">
        <f>YEAR(SalesData[[#This Row],[Order_Date]])</f>
        <v>2022</v>
      </c>
    </row>
    <row r="1111" spans="1:14" x14ac:dyDescent="0.3">
      <c r="A1111" t="s">
        <v>2184</v>
      </c>
      <c r="B1111" s="1">
        <v>45154</v>
      </c>
      <c r="C1111" t="s">
        <v>2185</v>
      </c>
      <c r="D1111" t="s">
        <v>18</v>
      </c>
      <c r="E1111" t="s">
        <v>13</v>
      </c>
      <c r="F1111" t="s">
        <v>36</v>
      </c>
      <c r="G1111" t="s">
        <v>1234</v>
      </c>
      <c r="H1111" s="8">
        <v>4726.8999999999996</v>
      </c>
      <c r="I1111" s="8">
        <v>-432.75</v>
      </c>
      <c r="J1111" s="8">
        <v>0.04</v>
      </c>
      <c r="K1111" t="str">
        <f>IF(SalesData[[#This Row],[Profit]]&gt;0,"Profit","Loss")</f>
        <v>Loss</v>
      </c>
      <c r="L1111" s="8">
        <f>SalesData[[#This Row],[Profit]]/SalesData[[#This Row],[Sales]]</f>
        <v>-9.1550487634601968E-2</v>
      </c>
      <c r="M1111" t="str">
        <f>TEXT(SalesData[[#This Row],[Order_Date]],"mmm")</f>
        <v>Aug</v>
      </c>
      <c r="N1111">
        <f>YEAR(SalesData[[#This Row],[Order_Date]])</f>
        <v>2023</v>
      </c>
    </row>
    <row r="1112" spans="1:14" x14ac:dyDescent="0.3">
      <c r="A1112" t="s">
        <v>2186</v>
      </c>
      <c r="B1112" s="1">
        <v>45162</v>
      </c>
      <c r="C1112" t="s">
        <v>213</v>
      </c>
      <c r="D1112" t="s">
        <v>18</v>
      </c>
      <c r="E1112" t="s">
        <v>56</v>
      </c>
      <c r="F1112" t="s">
        <v>57</v>
      </c>
      <c r="G1112" t="s">
        <v>761</v>
      </c>
      <c r="H1112" s="8">
        <v>3257.55</v>
      </c>
      <c r="I1112" s="8">
        <v>-786.37</v>
      </c>
      <c r="J1112" s="8">
        <v>0.28000000000000003</v>
      </c>
      <c r="K1112" t="str">
        <f>IF(SalesData[[#This Row],[Profit]]&gt;0,"Profit","Loss")</f>
        <v>Loss</v>
      </c>
      <c r="L1112" s="8">
        <f>SalesData[[#This Row],[Profit]]/SalesData[[#This Row],[Sales]]</f>
        <v>-0.24139921106352932</v>
      </c>
      <c r="M1112" t="str">
        <f>TEXT(SalesData[[#This Row],[Order_Date]],"mmm")</f>
        <v>Aug</v>
      </c>
      <c r="N1112">
        <f>YEAR(SalesData[[#This Row],[Order_Date]])</f>
        <v>2023</v>
      </c>
    </row>
    <row r="1113" spans="1:14" x14ac:dyDescent="0.3">
      <c r="A1113" t="s">
        <v>2187</v>
      </c>
      <c r="B1113" s="1">
        <v>45107</v>
      </c>
      <c r="C1113" t="s">
        <v>189</v>
      </c>
      <c r="D1113" t="s">
        <v>28</v>
      </c>
      <c r="E1113" t="s">
        <v>19</v>
      </c>
      <c r="F1113" t="s">
        <v>20</v>
      </c>
      <c r="G1113" t="s">
        <v>414</v>
      </c>
      <c r="H1113" s="8">
        <v>4165.7700000000004</v>
      </c>
      <c r="I1113" s="8">
        <v>-411.03</v>
      </c>
      <c r="J1113" s="8">
        <v>0.08</v>
      </c>
      <c r="K1113" t="str">
        <f>IF(SalesData[[#This Row],[Profit]]&gt;0,"Profit","Loss")</f>
        <v>Loss</v>
      </c>
      <c r="L1113" s="8">
        <f>SalesData[[#This Row],[Profit]]/SalesData[[#This Row],[Sales]]</f>
        <v>-9.8668433446877757E-2</v>
      </c>
      <c r="M1113" t="str">
        <f>TEXT(SalesData[[#This Row],[Order_Date]],"mmm")</f>
        <v>Jun</v>
      </c>
      <c r="N1113">
        <f>YEAR(SalesData[[#This Row],[Order_Date]])</f>
        <v>2023</v>
      </c>
    </row>
    <row r="1114" spans="1:14" x14ac:dyDescent="0.3">
      <c r="A1114" t="s">
        <v>2188</v>
      </c>
      <c r="B1114" s="1">
        <v>44653</v>
      </c>
      <c r="C1114" t="s">
        <v>866</v>
      </c>
      <c r="D1114" t="s">
        <v>40</v>
      </c>
      <c r="E1114" t="s">
        <v>19</v>
      </c>
      <c r="F1114" t="s">
        <v>141</v>
      </c>
      <c r="G1114" t="s">
        <v>891</v>
      </c>
      <c r="H1114" s="8">
        <v>2116.88</v>
      </c>
      <c r="I1114" s="8">
        <v>-49.55</v>
      </c>
      <c r="J1114" s="8">
        <v>0.26</v>
      </c>
      <c r="K1114" t="str">
        <f>IF(SalesData[[#This Row],[Profit]]&gt;0,"Profit","Loss")</f>
        <v>Loss</v>
      </c>
      <c r="L1114" s="8">
        <f>SalesData[[#This Row],[Profit]]/SalesData[[#This Row],[Sales]]</f>
        <v>-2.3407089679150447E-2</v>
      </c>
      <c r="M1114" t="str">
        <f>TEXT(SalesData[[#This Row],[Order_Date]],"mmm")</f>
        <v>Apr</v>
      </c>
      <c r="N1114">
        <f>YEAR(SalesData[[#This Row],[Order_Date]])</f>
        <v>2022</v>
      </c>
    </row>
    <row r="1115" spans="1:14" x14ac:dyDescent="0.3">
      <c r="A1115" t="s">
        <v>2189</v>
      </c>
      <c r="B1115" s="1">
        <v>44877</v>
      </c>
      <c r="C1115" t="s">
        <v>847</v>
      </c>
      <c r="D1115" t="s">
        <v>18</v>
      </c>
      <c r="E1115" t="s">
        <v>56</v>
      </c>
      <c r="F1115" t="s">
        <v>95</v>
      </c>
      <c r="G1115" t="s">
        <v>575</v>
      </c>
      <c r="H1115" s="8">
        <v>3768.78</v>
      </c>
      <c r="I1115" s="8">
        <v>-909.1</v>
      </c>
      <c r="J1115" s="8">
        <v>0.28000000000000003</v>
      </c>
      <c r="K1115" t="str">
        <f>IF(SalesData[[#This Row],[Profit]]&gt;0,"Profit","Loss")</f>
        <v>Loss</v>
      </c>
      <c r="L1115" s="8">
        <f>SalesData[[#This Row],[Profit]]/SalesData[[#This Row],[Sales]]</f>
        <v>-0.24121864369902196</v>
      </c>
      <c r="M1115" t="str">
        <f>TEXT(SalesData[[#This Row],[Order_Date]],"mmm")</f>
        <v>Nov</v>
      </c>
      <c r="N1115">
        <f>YEAR(SalesData[[#This Row],[Order_Date]])</f>
        <v>2022</v>
      </c>
    </row>
    <row r="1116" spans="1:14" x14ac:dyDescent="0.3">
      <c r="A1116" t="s">
        <v>2190</v>
      </c>
      <c r="B1116" s="1">
        <v>44988</v>
      </c>
      <c r="C1116" t="s">
        <v>2191</v>
      </c>
      <c r="D1116" t="s">
        <v>40</v>
      </c>
      <c r="E1116" t="s">
        <v>19</v>
      </c>
      <c r="F1116" t="s">
        <v>20</v>
      </c>
      <c r="G1116" t="s">
        <v>637</v>
      </c>
      <c r="H1116" s="8">
        <v>574.66999999999996</v>
      </c>
      <c r="I1116" s="8">
        <v>-103.04</v>
      </c>
      <c r="J1116" s="8">
        <v>0.23</v>
      </c>
      <c r="K1116" t="str">
        <f>IF(SalesData[[#This Row],[Profit]]&gt;0,"Profit","Loss")</f>
        <v>Loss</v>
      </c>
      <c r="L1116" s="8">
        <f>SalesData[[#This Row],[Profit]]/SalesData[[#This Row],[Sales]]</f>
        <v>-0.17930290427549728</v>
      </c>
      <c r="M1116" t="str">
        <f>TEXT(SalesData[[#This Row],[Order_Date]],"mmm")</f>
        <v>Mar</v>
      </c>
      <c r="N1116">
        <f>YEAR(SalesData[[#This Row],[Order_Date]])</f>
        <v>2023</v>
      </c>
    </row>
    <row r="1117" spans="1:14" x14ac:dyDescent="0.3">
      <c r="A1117" t="s">
        <v>2192</v>
      </c>
      <c r="B1117" s="1">
        <v>45060</v>
      </c>
      <c r="C1117" t="s">
        <v>1420</v>
      </c>
      <c r="D1117" t="s">
        <v>12</v>
      </c>
      <c r="E1117" t="s">
        <v>19</v>
      </c>
      <c r="F1117" t="s">
        <v>20</v>
      </c>
      <c r="G1117" t="s">
        <v>288</v>
      </c>
      <c r="H1117" s="8">
        <v>964.37</v>
      </c>
      <c r="I1117" s="8">
        <v>-173.01</v>
      </c>
      <c r="J1117" s="8">
        <v>0.06</v>
      </c>
      <c r="K1117" t="str">
        <f>IF(SalesData[[#This Row],[Profit]]&gt;0,"Profit","Loss")</f>
        <v>Loss</v>
      </c>
      <c r="L1117" s="8">
        <f>SalesData[[#This Row],[Profit]]/SalesData[[#This Row],[Sales]]</f>
        <v>-0.17940209670562127</v>
      </c>
      <c r="M1117" t="str">
        <f>TEXT(SalesData[[#This Row],[Order_Date]],"mmm")</f>
        <v>May</v>
      </c>
      <c r="N1117">
        <f>YEAR(SalesData[[#This Row],[Order_Date]])</f>
        <v>2023</v>
      </c>
    </row>
    <row r="1118" spans="1:14" x14ac:dyDescent="0.3">
      <c r="A1118" t="s">
        <v>2193</v>
      </c>
      <c r="B1118" s="1">
        <v>44758</v>
      </c>
      <c r="C1118" t="s">
        <v>1018</v>
      </c>
      <c r="D1118" t="s">
        <v>28</v>
      </c>
      <c r="E1118" t="s">
        <v>13</v>
      </c>
      <c r="F1118" t="s">
        <v>14</v>
      </c>
      <c r="G1118" t="s">
        <v>504</v>
      </c>
      <c r="H1118" s="8">
        <v>1009.63</v>
      </c>
      <c r="I1118" s="8">
        <v>-111.43</v>
      </c>
      <c r="J1118" s="8">
        <v>0.02</v>
      </c>
      <c r="K1118" t="str">
        <f>IF(SalesData[[#This Row],[Profit]]&gt;0,"Profit","Loss")</f>
        <v>Loss</v>
      </c>
      <c r="L1118" s="8">
        <f>SalesData[[#This Row],[Profit]]/SalesData[[#This Row],[Sales]]</f>
        <v>-0.11036716420867052</v>
      </c>
      <c r="M1118" t="str">
        <f>TEXT(SalesData[[#This Row],[Order_Date]],"mmm")</f>
        <v>Jul</v>
      </c>
      <c r="N1118">
        <f>YEAR(SalesData[[#This Row],[Order_Date]])</f>
        <v>2022</v>
      </c>
    </row>
    <row r="1119" spans="1:14" x14ac:dyDescent="0.3">
      <c r="A1119" t="s">
        <v>2194</v>
      </c>
      <c r="B1119" s="1">
        <v>44649</v>
      </c>
      <c r="C1119" t="s">
        <v>776</v>
      </c>
      <c r="D1119" t="s">
        <v>12</v>
      </c>
      <c r="E1119" t="s">
        <v>13</v>
      </c>
      <c r="F1119" t="s">
        <v>24</v>
      </c>
      <c r="G1119" t="s">
        <v>1678</v>
      </c>
      <c r="H1119" s="8">
        <v>635.05999999999995</v>
      </c>
      <c r="I1119" s="8">
        <v>-217.26</v>
      </c>
      <c r="J1119" s="8">
        <v>0.19</v>
      </c>
      <c r="K1119" t="str">
        <f>IF(SalesData[[#This Row],[Profit]]&gt;0,"Profit","Loss")</f>
        <v>Loss</v>
      </c>
      <c r="L1119" s="8">
        <f>SalesData[[#This Row],[Profit]]/SalesData[[#This Row],[Sales]]</f>
        <v>-0.34210940698516679</v>
      </c>
      <c r="M1119" t="str">
        <f>TEXT(SalesData[[#This Row],[Order_Date]],"mmm")</f>
        <v>Mar</v>
      </c>
      <c r="N1119">
        <f>YEAR(SalesData[[#This Row],[Order_Date]])</f>
        <v>2022</v>
      </c>
    </row>
    <row r="1120" spans="1:14" x14ac:dyDescent="0.3">
      <c r="A1120" t="s">
        <v>2195</v>
      </c>
      <c r="B1120" s="1">
        <v>44665</v>
      </c>
      <c r="C1120" t="s">
        <v>899</v>
      </c>
      <c r="D1120" t="s">
        <v>12</v>
      </c>
      <c r="E1120" t="s">
        <v>56</v>
      </c>
      <c r="F1120" t="s">
        <v>95</v>
      </c>
      <c r="G1120" t="s">
        <v>1849</v>
      </c>
      <c r="H1120" s="8">
        <v>245.37</v>
      </c>
      <c r="I1120" s="8">
        <v>5.18</v>
      </c>
      <c r="J1120" s="8">
        <v>7.0000000000000007E-2</v>
      </c>
      <c r="K1120" t="str">
        <f>IF(SalesData[[#This Row],[Profit]]&gt;0,"Profit","Loss")</f>
        <v>Profit</v>
      </c>
      <c r="L1120" s="8">
        <f>SalesData[[#This Row],[Profit]]/SalesData[[#This Row],[Sales]]</f>
        <v>2.1110975261849449E-2</v>
      </c>
      <c r="M1120" t="str">
        <f>TEXT(SalesData[[#This Row],[Order_Date]],"mmm")</f>
        <v>Apr</v>
      </c>
      <c r="N1120">
        <f>YEAR(SalesData[[#This Row],[Order_Date]])</f>
        <v>2022</v>
      </c>
    </row>
    <row r="1121" spans="1:14" x14ac:dyDescent="0.3">
      <c r="A1121" t="s">
        <v>2196</v>
      </c>
      <c r="B1121" s="1">
        <v>45096</v>
      </c>
      <c r="C1121" t="s">
        <v>2052</v>
      </c>
      <c r="D1121" t="s">
        <v>28</v>
      </c>
      <c r="E1121" t="s">
        <v>56</v>
      </c>
      <c r="F1121" t="s">
        <v>73</v>
      </c>
      <c r="G1121" t="s">
        <v>1053</v>
      </c>
      <c r="H1121" s="8">
        <v>2953.98</v>
      </c>
      <c r="I1121" s="8">
        <v>-1305.3499999999999</v>
      </c>
      <c r="J1121" s="8">
        <v>0.3</v>
      </c>
      <c r="K1121" t="str">
        <f>IF(SalesData[[#This Row],[Profit]]&gt;0,"Profit","Loss")</f>
        <v>Loss</v>
      </c>
      <c r="L1121" s="8">
        <f>SalesData[[#This Row],[Profit]]/SalesData[[#This Row],[Sales]]</f>
        <v>-0.44189534120068513</v>
      </c>
      <c r="M1121" t="str">
        <f>TEXT(SalesData[[#This Row],[Order_Date]],"mmm")</f>
        <v>Jun</v>
      </c>
      <c r="N1121">
        <f>YEAR(SalesData[[#This Row],[Order_Date]])</f>
        <v>2023</v>
      </c>
    </row>
    <row r="1122" spans="1:14" x14ac:dyDescent="0.3">
      <c r="A1122" t="s">
        <v>2197</v>
      </c>
      <c r="B1122" s="1">
        <v>45001</v>
      </c>
      <c r="C1122" t="s">
        <v>2198</v>
      </c>
      <c r="D1122" t="s">
        <v>40</v>
      </c>
      <c r="E1122" t="s">
        <v>13</v>
      </c>
      <c r="F1122" t="s">
        <v>36</v>
      </c>
      <c r="G1122" t="s">
        <v>1251</v>
      </c>
      <c r="H1122" s="8">
        <v>4667.43</v>
      </c>
      <c r="I1122" s="8">
        <v>-643.09</v>
      </c>
      <c r="J1122" s="8">
        <v>0.14000000000000001</v>
      </c>
      <c r="K1122" t="str">
        <f>IF(SalesData[[#This Row],[Profit]]&gt;0,"Profit","Loss")</f>
        <v>Loss</v>
      </c>
      <c r="L1122" s="8">
        <f>SalesData[[#This Row],[Profit]]/SalesData[[#This Row],[Sales]]</f>
        <v>-0.13778246272573985</v>
      </c>
      <c r="M1122" t="str">
        <f>TEXT(SalesData[[#This Row],[Order_Date]],"mmm")</f>
        <v>Mar</v>
      </c>
      <c r="N1122">
        <f>YEAR(SalesData[[#This Row],[Order_Date]])</f>
        <v>2023</v>
      </c>
    </row>
    <row r="1123" spans="1:14" x14ac:dyDescent="0.3">
      <c r="A1123" t="s">
        <v>2199</v>
      </c>
      <c r="B1123" s="1">
        <v>44949</v>
      </c>
      <c r="C1123" t="s">
        <v>536</v>
      </c>
      <c r="D1123" t="s">
        <v>12</v>
      </c>
      <c r="E1123" t="s">
        <v>19</v>
      </c>
      <c r="F1123" t="s">
        <v>29</v>
      </c>
      <c r="G1123" t="s">
        <v>1825</v>
      </c>
      <c r="H1123" s="8">
        <v>4102.55</v>
      </c>
      <c r="I1123" s="8">
        <v>-332.11</v>
      </c>
      <c r="J1123" s="8">
        <v>0.28000000000000003</v>
      </c>
      <c r="K1123" t="str">
        <f>IF(SalesData[[#This Row],[Profit]]&gt;0,"Profit","Loss")</f>
        <v>Loss</v>
      </c>
      <c r="L1123" s="8">
        <f>SalesData[[#This Row],[Profit]]/SalesData[[#This Row],[Sales]]</f>
        <v>-8.0952090772812027E-2</v>
      </c>
      <c r="M1123" t="str">
        <f>TEXT(SalesData[[#This Row],[Order_Date]],"mmm")</f>
        <v>Jan</v>
      </c>
      <c r="N1123">
        <f>YEAR(SalesData[[#This Row],[Order_Date]])</f>
        <v>2023</v>
      </c>
    </row>
    <row r="1124" spans="1:14" x14ac:dyDescent="0.3">
      <c r="A1124" t="s">
        <v>2200</v>
      </c>
      <c r="B1124" s="1">
        <v>44973</v>
      </c>
      <c r="C1124" t="s">
        <v>839</v>
      </c>
      <c r="D1124" t="s">
        <v>18</v>
      </c>
      <c r="E1124" t="s">
        <v>19</v>
      </c>
      <c r="F1124" t="s">
        <v>29</v>
      </c>
      <c r="G1124" t="s">
        <v>1529</v>
      </c>
      <c r="H1124" s="8">
        <v>4050.72</v>
      </c>
      <c r="I1124" s="8">
        <v>1305.6500000000001</v>
      </c>
      <c r="J1124" s="8">
        <v>0</v>
      </c>
      <c r="K1124" t="str">
        <f>IF(SalesData[[#This Row],[Profit]]&gt;0,"Profit","Loss")</f>
        <v>Profit</v>
      </c>
      <c r="L1124" s="8">
        <f>SalesData[[#This Row],[Profit]]/SalesData[[#This Row],[Sales]]</f>
        <v>0.32232541375360435</v>
      </c>
      <c r="M1124" t="str">
        <f>TEXT(SalesData[[#This Row],[Order_Date]],"mmm")</f>
        <v>Feb</v>
      </c>
      <c r="N1124">
        <f>YEAR(SalesData[[#This Row],[Order_Date]])</f>
        <v>2023</v>
      </c>
    </row>
    <row r="1125" spans="1:14" x14ac:dyDescent="0.3">
      <c r="A1125" t="s">
        <v>2201</v>
      </c>
      <c r="B1125" s="1">
        <v>44816</v>
      </c>
      <c r="C1125" t="s">
        <v>664</v>
      </c>
      <c r="D1125" t="s">
        <v>28</v>
      </c>
      <c r="E1125" t="s">
        <v>13</v>
      </c>
      <c r="F1125" t="s">
        <v>14</v>
      </c>
      <c r="G1125" t="s">
        <v>2202</v>
      </c>
      <c r="H1125" s="8">
        <v>4358.13</v>
      </c>
      <c r="I1125" s="8">
        <v>608.22</v>
      </c>
      <c r="J1125" s="8">
        <v>0.08</v>
      </c>
      <c r="K1125" t="str">
        <f>IF(SalesData[[#This Row],[Profit]]&gt;0,"Profit","Loss")</f>
        <v>Profit</v>
      </c>
      <c r="L1125" s="8">
        <f>SalesData[[#This Row],[Profit]]/SalesData[[#This Row],[Sales]]</f>
        <v>0.13955985709467134</v>
      </c>
      <c r="M1125" t="str">
        <f>TEXT(SalesData[[#This Row],[Order_Date]],"mmm")</f>
        <v>Sep</v>
      </c>
      <c r="N1125">
        <f>YEAR(SalesData[[#This Row],[Order_Date]])</f>
        <v>2022</v>
      </c>
    </row>
    <row r="1126" spans="1:14" x14ac:dyDescent="0.3">
      <c r="A1126" t="s">
        <v>2203</v>
      </c>
      <c r="B1126" s="1">
        <v>44565</v>
      </c>
      <c r="C1126" t="s">
        <v>1436</v>
      </c>
      <c r="D1126" t="s">
        <v>40</v>
      </c>
      <c r="E1126" t="s">
        <v>13</v>
      </c>
      <c r="F1126" t="s">
        <v>24</v>
      </c>
      <c r="G1126" t="s">
        <v>431</v>
      </c>
      <c r="H1126" s="8">
        <v>4362.28</v>
      </c>
      <c r="I1126" s="8">
        <v>201.26</v>
      </c>
      <c r="J1126" s="8">
        <v>0.15</v>
      </c>
      <c r="K1126" t="str">
        <f>IF(SalesData[[#This Row],[Profit]]&gt;0,"Profit","Loss")</f>
        <v>Profit</v>
      </c>
      <c r="L1126" s="8">
        <f>SalesData[[#This Row],[Profit]]/SalesData[[#This Row],[Sales]]</f>
        <v>4.613642407181566E-2</v>
      </c>
      <c r="M1126" t="str">
        <f>TEXT(SalesData[[#This Row],[Order_Date]],"mmm")</f>
        <v>Jan</v>
      </c>
      <c r="N1126">
        <f>YEAR(SalesData[[#This Row],[Order_Date]])</f>
        <v>2022</v>
      </c>
    </row>
    <row r="1127" spans="1:14" x14ac:dyDescent="0.3">
      <c r="A1127" t="s">
        <v>2204</v>
      </c>
      <c r="B1127" s="1">
        <v>45256</v>
      </c>
      <c r="C1127" t="s">
        <v>364</v>
      </c>
      <c r="D1127" t="s">
        <v>18</v>
      </c>
      <c r="E1127" t="s">
        <v>13</v>
      </c>
      <c r="F1127" t="s">
        <v>36</v>
      </c>
      <c r="G1127" t="s">
        <v>2205</v>
      </c>
      <c r="H1127" s="8">
        <v>4379.83</v>
      </c>
      <c r="I1127" s="8">
        <v>-212.48</v>
      </c>
      <c r="J1127" s="8">
        <v>0.28999999999999998</v>
      </c>
      <c r="K1127" t="str">
        <f>IF(SalesData[[#This Row],[Profit]]&gt;0,"Profit","Loss")</f>
        <v>Loss</v>
      </c>
      <c r="L1127" s="8">
        <f>SalesData[[#This Row],[Profit]]/SalesData[[#This Row],[Sales]]</f>
        <v>-4.8513298461355804E-2</v>
      </c>
      <c r="M1127" t="str">
        <f>TEXT(SalesData[[#This Row],[Order_Date]],"mmm")</f>
        <v>Nov</v>
      </c>
      <c r="N1127">
        <f>YEAR(SalesData[[#This Row],[Order_Date]])</f>
        <v>2023</v>
      </c>
    </row>
    <row r="1128" spans="1:14" x14ac:dyDescent="0.3">
      <c r="A1128" t="s">
        <v>2206</v>
      </c>
      <c r="B1128" s="1">
        <v>45049</v>
      </c>
      <c r="C1128" t="s">
        <v>189</v>
      </c>
      <c r="D1128" t="s">
        <v>12</v>
      </c>
      <c r="E1128" t="s">
        <v>19</v>
      </c>
      <c r="F1128" t="s">
        <v>29</v>
      </c>
      <c r="G1128" t="s">
        <v>637</v>
      </c>
      <c r="H1128" s="8">
        <v>3722.1</v>
      </c>
      <c r="I1128" s="8">
        <v>-859.8</v>
      </c>
      <c r="J1128" s="8">
        <v>0.24</v>
      </c>
      <c r="K1128" t="str">
        <f>IF(SalesData[[#This Row],[Profit]]&gt;0,"Profit","Loss")</f>
        <v>Loss</v>
      </c>
      <c r="L1128" s="8">
        <f>SalesData[[#This Row],[Profit]]/SalesData[[#This Row],[Sales]]</f>
        <v>-0.23099862980575481</v>
      </c>
      <c r="M1128" t="str">
        <f>TEXT(SalesData[[#This Row],[Order_Date]],"mmm")</f>
        <v>May</v>
      </c>
      <c r="N1128">
        <f>YEAR(SalesData[[#This Row],[Order_Date]])</f>
        <v>2023</v>
      </c>
    </row>
    <row r="1129" spans="1:14" x14ac:dyDescent="0.3">
      <c r="A1129" t="s">
        <v>2207</v>
      </c>
      <c r="B1129" s="1">
        <v>45147</v>
      </c>
      <c r="C1129" t="s">
        <v>2208</v>
      </c>
      <c r="D1129" t="s">
        <v>12</v>
      </c>
      <c r="E1129" t="s">
        <v>19</v>
      </c>
      <c r="F1129" t="s">
        <v>29</v>
      </c>
      <c r="G1129" t="s">
        <v>80</v>
      </c>
      <c r="H1129" s="8">
        <v>3075.15</v>
      </c>
      <c r="I1129" s="8">
        <v>344.16</v>
      </c>
      <c r="J1129" s="8">
        <v>0.21</v>
      </c>
      <c r="K1129" t="str">
        <f>IF(SalesData[[#This Row],[Profit]]&gt;0,"Profit","Loss")</f>
        <v>Profit</v>
      </c>
      <c r="L1129" s="8">
        <f>SalesData[[#This Row],[Profit]]/SalesData[[#This Row],[Sales]]</f>
        <v>0.11191649187844496</v>
      </c>
      <c r="M1129" t="str">
        <f>TEXT(SalesData[[#This Row],[Order_Date]],"mmm")</f>
        <v>Aug</v>
      </c>
      <c r="N1129">
        <f>YEAR(SalesData[[#This Row],[Order_Date]])</f>
        <v>2023</v>
      </c>
    </row>
    <row r="1130" spans="1:14" x14ac:dyDescent="0.3">
      <c r="A1130" t="s">
        <v>2209</v>
      </c>
      <c r="B1130" s="1">
        <v>45040</v>
      </c>
      <c r="C1130" t="s">
        <v>1919</v>
      </c>
      <c r="D1130" t="s">
        <v>28</v>
      </c>
      <c r="E1130" t="s">
        <v>19</v>
      </c>
      <c r="F1130" t="s">
        <v>20</v>
      </c>
      <c r="G1130" t="s">
        <v>717</v>
      </c>
      <c r="H1130" s="8">
        <v>1576.61</v>
      </c>
      <c r="I1130" s="8">
        <v>-111.55</v>
      </c>
      <c r="J1130" s="8">
        <v>0.2</v>
      </c>
      <c r="K1130" t="str">
        <f>IF(SalesData[[#This Row],[Profit]]&gt;0,"Profit","Loss")</f>
        <v>Loss</v>
      </c>
      <c r="L1130" s="8">
        <f>SalesData[[#This Row],[Profit]]/SalesData[[#This Row],[Sales]]</f>
        <v>-7.0753071463456413E-2</v>
      </c>
      <c r="M1130" t="str">
        <f>TEXT(SalesData[[#This Row],[Order_Date]],"mmm")</f>
        <v>Apr</v>
      </c>
      <c r="N1130">
        <f>YEAR(SalesData[[#This Row],[Order_Date]])</f>
        <v>2023</v>
      </c>
    </row>
    <row r="1131" spans="1:14" x14ac:dyDescent="0.3">
      <c r="A1131" t="s">
        <v>2210</v>
      </c>
      <c r="B1131" s="1">
        <v>45237</v>
      </c>
      <c r="C1131" t="s">
        <v>1605</v>
      </c>
      <c r="D1131" t="s">
        <v>12</v>
      </c>
      <c r="E1131" t="s">
        <v>56</v>
      </c>
      <c r="F1131" t="s">
        <v>95</v>
      </c>
      <c r="G1131" t="s">
        <v>833</v>
      </c>
      <c r="H1131" s="8">
        <v>3346.95</v>
      </c>
      <c r="I1131" s="8">
        <v>-478.67</v>
      </c>
      <c r="J1131" s="8">
        <v>7.0000000000000007E-2</v>
      </c>
      <c r="K1131" t="str">
        <f>IF(SalesData[[#This Row],[Profit]]&gt;0,"Profit","Loss")</f>
        <v>Loss</v>
      </c>
      <c r="L1131" s="8">
        <f>SalesData[[#This Row],[Profit]]/SalesData[[#This Row],[Sales]]</f>
        <v>-0.14301677646812772</v>
      </c>
      <c r="M1131" t="str">
        <f>TEXT(SalesData[[#This Row],[Order_Date]],"mmm")</f>
        <v>Nov</v>
      </c>
      <c r="N1131">
        <f>YEAR(SalesData[[#This Row],[Order_Date]])</f>
        <v>2023</v>
      </c>
    </row>
    <row r="1132" spans="1:14" x14ac:dyDescent="0.3">
      <c r="A1132" t="s">
        <v>2211</v>
      </c>
      <c r="B1132" s="1">
        <v>44954</v>
      </c>
      <c r="C1132" t="s">
        <v>2212</v>
      </c>
      <c r="D1132" t="s">
        <v>40</v>
      </c>
      <c r="E1132" t="s">
        <v>19</v>
      </c>
      <c r="F1132" t="s">
        <v>141</v>
      </c>
      <c r="G1132" t="s">
        <v>476</v>
      </c>
      <c r="H1132" s="8">
        <v>243.19</v>
      </c>
      <c r="I1132" s="8">
        <v>-69.09</v>
      </c>
      <c r="J1132" s="8">
        <v>0.28000000000000003</v>
      </c>
      <c r="K1132" t="str">
        <f>IF(SalesData[[#This Row],[Profit]]&gt;0,"Profit","Loss")</f>
        <v>Loss</v>
      </c>
      <c r="L1132" s="8">
        <f>SalesData[[#This Row],[Profit]]/SalesData[[#This Row],[Sales]]</f>
        <v>-0.28409885274887947</v>
      </c>
      <c r="M1132" t="str">
        <f>TEXT(SalesData[[#This Row],[Order_Date]],"mmm")</f>
        <v>Jan</v>
      </c>
      <c r="N1132">
        <f>YEAR(SalesData[[#This Row],[Order_Date]])</f>
        <v>2023</v>
      </c>
    </row>
    <row r="1133" spans="1:14" x14ac:dyDescent="0.3">
      <c r="A1133" t="s">
        <v>2213</v>
      </c>
      <c r="B1133" s="1">
        <v>45243</v>
      </c>
      <c r="C1133" t="s">
        <v>2214</v>
      </c>
      <c r="D1133" t="s">
        <v>28</v>
      </c>
      <c r="E1133" t="s">
        <v>13</v>
      </c>
      <c r="F1133" t="s">
        <v>36</v>
      </c>
      <c r="G1133" t="s">
        <v>392</v>
      </c>
      <c r="H1133" s="8">
        <v>3363.07</v>
      </c>
      <c r="I1133" s="8">
        <v>-294.74</v>
      </c>
      <c r="J1133" s="8">
        <v>0.28999999999999998</v>
      </c>
      <c r="K1133" t="str">
        <f>IF(SalesData[[#This Row],[Profit]]&gt;0,"Profit","Loss")</f>
        <v>Loss</v>
      </c>
      <c r="L1133" s="8">
        <f>SalesData[[#This Row],[Profit]]/SalesData[[#This Row],[Sales]]</f>
        <v>-8.7640162113782935E-2</v>
      </c>
      <c r="M1133" t="str">
        <f>TEXT(SalesData[[#This Row],[Order_Date]],"mmm")</f>
        <v>Nov</v>
      </c>
      <c r="N1133">
        <f>YEAR(SalesData[[#This Row],[Order_Date]])</f>
        <v>2023</v>
      </c>
    </row>
    <row r="1134" spans="1:14" x14ac:dyDescent="0.3">
      <c r="A1134" t="s">
        <v>2215</v>
      </c>
      <c r="B1134" s="1">
        <v>45177</v>
      </c>
      <c r="C1134" t="s">
        <v>1612</v>
      </c>
      <c r="D1134" t="s">
        <v>40</v>
      </c>
      <c r="E1134" t="s">
        <v>13</v>
      </c>
      <c r="F1134" t="s">
        <v>36</v>
      </c>
      <c r="G1134" t="s">
        <v>1553</v>
      </c>
      <c r="H1134" s="8">
        <v>4372.51</v>
      </c>
      <c r="I1134" s="8">
        <v>-88.31</v>
      </c>
      <c r="J1134" s="8">
        <v>0.28000000000000003</v>
      </c>
      <c r="K1134" t="str">
        <f>IF(SalesData[[#This Row],[Profit]]&gt;0,"Profit","Loss")</f>
        <v>Loss</v>
      </c>
      <c r="L1134" s="8">
        <f>SalesData[[#This Row],[Profit]]/SalesData[[#This Row],[Sales]]</f>
        <v>-2.0196637629187813E-2</v>
      </c>
      <c r="M1134" t="str">
        <f>TEXT(SalesData[[#This Row],[Order_Date]],"mmm")</f>
        <v>Sep</v>
      </c>
      <c r="N1134">
        <f>YEAR(SalesData[[#This Row],[Order_Date]])</f>
        <v>2023</v>
      </c>
    </row>
    <row r="1135" spans="1:14" x14ac:dyDescent="0.3">
      <c r="A1135" t="s">
        <v>2216</v>
      </c>
      <c r="B1135" s="1">
        <v>45137</v>
      </c>
      <c r="C1135" t="s">
        <v>1639</v>
      </c>
      <c r="D1135" t="s">
        <v>18</v>
      </c>
      <c r="E1135" t="s">
        <v>13</v>
      </c>
      <c r="F1135" t="s">
        <v>24</v>
      </c>
      <c r="G1135" t="s">
        <v>984</v>
      </c>
      <c r="H1135" s="8">
        <v>3706.41</v>
      </c>
      <c r="I1135" s="8">
        <v>278.95</v>
      </c>
      <c r="J1135" s="8">
        <v>0.11</v>
      </c>
      <c r="K1135" t="str">
        <f>IF(SalesData[[#This Row],[Profit]]&gt;0,"Profit","Loss")</f>
        <v>Profit</v>
      </c>
      <c r="L1135" s="8">
        <f>SalesData[[#This Row],[Profit]]/SalesData[[#This Row],[Sales]]</f>
        <v>7.5261506417260912E-2</v>
      </c>
      <c r="M1135" t="str">
        <f>TEXT(SalesData[[#This Row],[Order_Date]],"mmm")</f>
        <v>Jul</v>
      </c>
      <c r="N1135">
        <f>YEAR(SalesData[[#This Row],[Order_Date]])</f>
        <v>2023</v>
      </c>
    </row>
    <row r="1136" spans="1:14" x14ac:dyDescent="0.3">
      <c r="A1136" t="s">
        <v>2217</v>
      </c>
      <c r="B1136" s="1">
        <v>45168</v>
      </c>
      <c r="C1136" t="s">
        <v>1422</v>
      </c>
      <c r="D1136" t="s">
        <v>12</v>
      </c>
      <c r="E1136" t="s">
        <v>19</v>
      </c>
      <c r="F1136" t="s">
        <v>20</v>
      </c>
      <c r="G1136" t="s">
        <v>279</v>
      </c>
      <c r="H1136" s="8">
        <v>1525.78</v>
      </c>
      <c r="I1136" s="8">
        <v>-39.450000000000003</v>
      </c>
      <c r="J1136" s="8">
        <v>0.03</v>
      </c>
      <c r="K1136" t="str">
        <f>IF(SalesData[[#This Row],[Profit]]&gt;0,"Profit","Loss")</f>
        <v>Loss</v>
      </c>
      <c r="L1136" s="8">
        <f>SalesData[[#This Row],[Profit]]/SalesData[[#This Row],[Sales]]</f>
        <v>-2.5855627941118644E-2</v>
      </c>
      <c r="M1136" t="str">
        <f>TEXT(SalesData[[#This Row],[Order_Date]],"mmm")</f>
        <v>Aug</v>
      </c>
      <c r="N1136">
        <f>YEAR(SalesData[[#This Row],[Order_Date]])</f>
        <v>2023</v>
      </c>
    </row>
    <row r="1137" spans="1:14" x14ac:dyDescent="0.3">
      <c r="A1137" t="s">
        <v>2218</v>
      </c>
      <c r="B1137" s="1">
        <v>44563</v>
      </c>
      <c r="C1137" t="s">
        <v>2219</v>
      </c>
      <c r="D1137" t="s">
        <v>12</v>
      </c>
      <c r="E1137" t="s">
        <v>19</v>
      </c>
      <c r="F1137" t="s">
        <v>20</v>
      </c>
      <c r="G1137" t="s">
        <v>15</v>
      </c>
      <c r="H1137" s="8">
        <v>4281.32</v>
      </c>
      <c r="I1137" s="8">
        <v>-615.87</v>
      </c>
      <c r="J1137" s="8">
        <v>0.28999999999999998</v>
      </c>
      <c r="K1137" t="str">
        <f>IF(SalesData[[#This Row],[Profit]]&gt;0,"Profit","Loss")</f>
        <v>Loss</v>
      </c>
      <c r="L1137" s="8">
        <f>SalesData[[#This Row],[Profit]]/SalesData[[#This Row],[Sales]]</f>
        <v>-0.14385049470723985</v>
      </c>
      <c r="M1137" t="str">
        <f>TEXT(SalesData[[#This Row],[Order_Date]],"mmm")</f>
        <v>Jan</v>
      </c>
      <c r="N1137">
        <f>YEAR(SalesData[[#This Row],[Order_Date]])</f>
        <v>2022</v>
      </c>
    </row>
    <row r="1138" spans="1:14" x14ac:dyDescent="0.3">
      <c r="A1138" t="s">
        <v>2220</v>
      </c>
      <c r="B1138" s="1">
        <v>44935</v>
      </c>
      <c r="C1138" t="s">
        <v>2221</v>
      </c>
      <c r="D1138" t="s">
        <v>18</v>
      </c>
      <c r="E1138" t="s">
        <v>13</v>
      </c>
      <c r="F1138" t="s">
        <v>14</v>
      </c>
      <c r="G1138" t="s">
        <v>1539</v>
      </c>
      <c r="H1138" s="8">
        <v>4250.88</v>
      </c>
      <c r="I1138" s="8">
        <v>-1267.67</v>
      </c>
      <c r="J1138" s="8">
        <v>0.28999999999999998</v>
      </c>
      <c r="K1138" t="str">
        <f>IF(SalesData[[#This Row],[Profit]]&gt;0,"Profit","Loss")</f>
        <v>Loss</v>
      </c>
      <c r="L1138" s="8">
        <f>SalesData[[#This Row],[Profit]]/SalesData[[#This Row],[Sales]]</f>
        <v>-0.29821354637157482</v>
      </c>
      <c r="M1138" t="str">
        <f>TEXT(SalesData[[#This Row],[Order_Date]],"mmm")</f>
        <v>Jan</v>
      </c>
      <c r="N1138">
        <f>YEAR(SalesData[[#This Row],[Order_Date]])</f>
        <v>2023</v>
      </c>
    </row>
    <row r="1139" spans="1:14" x14ac:dyDescent="0.3">
      <c r="A1139" t="s">
        <v>2222</v>
      </c>
      <c r="B1139" s="1">
        <v>45033</v>
      </c>
      <c r="C1139" t="s">
        <v>124</v>
      </c>
      <c r="D1139" t="s">
        <v>18</v>
      </c>
      <c r="E1139" t="s">
        <v>13</v>
      </c>
      <c r="F1139" t="s">
        <v>24</v>
      </c>
      <c r="G1139" t="s">
        <v>575</v>
      </c>
      <c r="H1139" s="8">
        <v>2994.8</v>
      </c>
      <c r="I1139" s="8">
        <v>-672.29</v>
      </c>
      <c r="J1139" s="8">
        <v>0.03</v>
      </c>
      <c r="K1139" t="str">
        <f>IF(SalesData[[#This Row],[Profit]]&gt;0,"Profit","Loss")</f>
        <v>Loss</v>
      </c>
      <c r="L1139" s="8">
        <f>SalesData[[#This Row],[Profit]]/SalesData[[#This Row],[Sales]]</f>
        <v>-0.22448577534392944</v>
      </c>
      <c r="M1139" t="str">
        <f>TEXT(SalesData[[#This Row],[Order_Date]],"mmm")</f>
        <v>Apr</v>
      </c>
      <c r="N1139">
        <f>YEAR(SalesData[[#This Row],[Order_Date]])</f>
        <v>2023</v>
      </c>
    </row>
    <row r="1140" spans="1:14" x14ac:dyDescent="0.3">
      <c r="A1140" t="s">
        <v>2223</v>
      </c>
      <c r="B1140" s="1">
        <v>44711</v>
      </c>
      <c r="C1140" t="s">
        <v>397</v>
      </c>
      <c r="D1140" t="s">
        <v>12</v>
      </c>
      <c r="E1140" t="s">
        <v>19</v>
      </c>
      <c r="F1140" t="s">
        <v>20</v>
      </c>
      <c r="G1140" t="s">
        <v>862</v>
      </c>
      <c r="H1140" s="8">
        <v>2549.1799999999998</v>
      </c>
      <c r="I1140" s="8">
        <v>53.22</v>
      </c>
      <c r="J1140" s="8">
        <v>0.14000000000000001</v>
      </c>
      <c r="K1140" t="str">
        <f>IF(SalesData[[#This Row],[Profit]]&gt;0,"Profit","Loss")</f>
        <v>Profit</v>
      </c>
      <c r="L1140" s="8">
        <f>SalesData[[#This Row],[Profit]]/SalesData[[#This Row],[Sales]]</f>
        <v>2.0877301720553278E-2</v>
      </c>
      <c r="M1140" t="str">
        <f>TEXT(SalesData[[#This Row],[Order_Date]],"mmm")</f>
        <v>May</v>
      </c>
      <c r="N1140">
        <f>YEAR(SalesData[[#This Row],[Order_Date]])</f>
        <v>2022</v>
      </c>
    </row>
    <row r="1141" spans="1:14" x14ac:dyDescent="0.3">
      <c r="A1141" t="s">
        <v>2224</v>
      </c>
      <c r="B1141" s="1">
        <v>45285</v>
      </c>
      <c r="C1141" t="s">
        <v>1623</v>
      </c>
      <c r="D1141" t="s">
        <v>28</v>
      </c>
      <c r="E1141" t="s">
        <v>19</v>
      </c>
      <c r="F1141" t="s">
        <v>29</v>
      </c>
      <c r="G1141" t="s">
        <v>1988</v>
      </c>
      <c r="H1141" s="8">
        <v>2561.65</v>
      </c>
      <c r="I1141" s="8">
        <v>-629.98</v>
      </c>
      <c r="J1141" s="8">
        <v>0.21</v>
      </c>
      <c r="K1141" t="str">
        <f>IF(SalesData[[#This Row],[Profit]]&gt;0,"Profit","Loss")</f>
        <v>Loss</v>
      </c>
      <c r="L1141" s="8">
        <f>SalesData[[#This Row],[Profit]]/SalesData[[#This Row],[Sales]]</f>
        <v>-0.24592742958639938</v>
      </c>
      <c r="M1141" t="str">
        <f>TEXT(SalesData[[#This Row],[Order_Date]],"mmm")</f>
        <v>Dec</v>
      </c>
      <c r="N1141">
        <f>YEAR(SalesData[[#This Row],[Order_Date]])</f>
        <v>2023</v>
      </c>
    </row>
    <row r="1142" spans="1:14" x14ac:dyDescent="0.3">
      <c r="A1142" t="s">
        <v>2225</v>
      </c>
      <c r="B1142" s="1">
        <v>44903</v>
      </c>
      <c r="C1142" t="s">
        <v>60</v>
      </c>
      <c r="D1142" t="s">
        <v>18</v>
      </c>
      <c r="E1142" t="s">
        <v>56</v>
      </c>
      <c r="F1142" t="s">
        <v>95</v>
      </c>
      <c r="G1142" t="s">
        <v>592</v>
      </c>
      <c r="H1142" s="8">
        <v>1528.33</v>
      </c>
      <c r="I1142" s="8">
        <v>-694.95</v>
      </c>
      <c r="J1142" s="8">
        <v>0.28999999999999998</v>
      </c>
      <c r="K1142" t="str">
        <f>IF(SalesData[[#This Row],[Profit]]&gt;0,"Profit","Loss")</f>
        <v>Loss</v>
      </c>
      <c r="L1142" s="8">
        <f>SalesData[[#This Row],[Profit]]/SalesData[[#This Row],[Sales]]</f>
        <v>-0.45471200591495298</v>
      </c>
      <c r="M1142" t="str">
        <f>TEXT(SalesData[[#This Row],[Order_Date]],"mmm")</f>
        <v>Dec</v>
      </c>
      <c r="N1142">
        <f>YEAR(SalesData[[#This Row],[Order_Date]])</f>
        <v>2022</v>
      </c>
    </row>
    <row r="1143" spans="1:14" x14ac:dyDescent="0.3">
      <c r="A1143" t="s">
        <v>2226</v>
      </c>
      <c r="B1143" s="1">
        <v>44745</v>
      </c>
      <c r="C1143" t="s">
        <v>1959</v>
      </c>
      <c r="D1143" t="s">
        <v>28</v>
      </c>
      <c r="E1143" t="s">
        <v>13</v>
      </c>
      <c r="F1143" t="s">
        <v>14</v>
      </c>
      <c r="G1143" t="s">
        <v>850</v>
      </c>
      <c r="H1143" s="8">
        <v>3532</v>
      </c>
      <c r="I1143" s="8">
        <v>1056.98</v>
      </c>
      <c r="J1143" s="8">
        <v>0.02</v>
      </c>
      <c r="K1143" t="str">
        <f>IF(SalesData[[#This Row],[Profit]]&gt;0,"Profit","Loss")</f>
        <v>Profit</v>
      </c>
      <c r="L1143" s="8">
        <f>SalesData[[#This Row],[Profit]]/SalesData[[#This Row],[Sales]]</f>
        <v>0.2992582106455266</v>
      </c>
      <c r="M1143" t="str">
        <f>TEXT(SalesData[[#This Row],[Order_Date]],"mmm")</f>
        <v>Jul</v>
      </c>
      <c r="N1143">
        <f>YEAR(SalesData[[#This Row],[Order_Date]])</f>
        <v>2022</v>
      </c>
    </row>
    <row r="1144" spans="1:14" x14ac:dyDescent="0.3">
      <c r="A1144" t="s">
        <v>2227</v>
      </c>
      <c r="B1144" s="1">
        <v>45256</v>
      </c>
      <c r="C1144" t="s">
        <v>238</v>
      </c>
      <c r="D1144" t="s">
        <v>40</v>
      </c>
      <c r="E1144" t="s">
        <v>13</v>
      </c>
      <c r="F1144" t="s">
        <v>14</v>
      </c>
      <c r="G1144" t="s">
        <v>1295</v>
      </c>
      <c r="H1144" s="8">
        <v>4956.21</v>
      </c>
      <c r="I1144" s="8">
        <v>-780.87</v>
      </c>
      <c r="J1144" s="8">
        <v>0.16</v>
      </c>
      <c r="K1144" t="str">
        <f>IF(SalesData[[#This Row],[Profit]]&gt;0,"Profit","Loss")</f>
        <v>Loss</v>
      </c>
      <c r="L1144" s="8">
        <f>SalesData[[#This Row],[Profit]]/SalesData[[#This Row],[Sales]]</f>
        <v>-0.15755385667677518</v>
      </c>
      <c r="M1144" t="str">
        <f>TEXT(SalesData[[#This Row],[Order_Date]],"mmm")</f>
        <v>Nov</v>
      </c>
      <c r="N1144">
        <f>YEAR(SalesData[[#This Row],[Order_Date]])</f>
        <v>2023</v>
      </c>
    </row>
    <row r="1145" spans="1:14" x14ac:dyDescent="0.3">
      <c r="A1145" t="s">
        <v>2228</v>
      </c>
      <c r="B1145" s="1">
        <v>44761</v>
      </c>
      <c r="C1145" t="s">
        <v>1003</v>
      </c>
      <c r="D1145" t="s">
        <v>28</v>
      </c>
      <c r="E1145" t="s">
        <v>19</v>
      </c>
      <c r="F1145" t="s">
        <v>29</v>
      </c>
      <c r="G1145" t="s">
        <v>30</v>
      </c>
      <c r="H1145" s="8">
        <v>451.93</v>
      </c>
      <c r="I1145" s="8">
        <v>-113.25</v>
      </c>
      <c r="J1145" s="8">
        <v>0.22</v>
      </c>
      <c r="K1145" t="str">
        <f>IF(SalesData[[#This Row],[Profit]]&gt;0,"Profit","Loss")</f>
        <v>Loss</v>
      </c>
      <c r="L1145" s="8">
        <f>SalesData[[#This Row],[Profit]]/SalesData[[#This Row],[Sales]]</f>
        <v>-0.25059190582612351</v>
      </c>
      <c r="M1145" t="str">
        <f>TEXT(SalesData[[#This Row],[Order_Date]],"mmm")</f>
        <v>Jul</v>
      </c>
      <c r="N1145">
        <f>YEAR(SalesData[[#This Row],[Order_Date]])</f>
        <v>2022</v>
      </c>
    </row>
    <row r="1146" spans="1:14" x14ac:dyDescent="0.3">
      <c r="A1146" t="s">
        <v>2229</v>
      </c>
      <c r="B1146" s="1">
        <v>45288</v>
      </c>
      <c r="C1146" t="s">
        <v>411</v>
      </c>
      <c r="D1146" t="s">
        <v>28</v>
      </c>
      <c r="E1146" t="s">
        <v>56</v>
      </c>
      <c r="F1146" t="s">
        <v>95</v>
      </c>
      <c r="G1146" t="s">
        <v>1132</v>
      </c>
      <c r="H1146" s="8">
        <v>3786.11</v>
      </c>
      <c r="I1146" s="8">
        <v>427.99</v>
      </c>
      <c r="J1146" s="8">
        <v>0.17</v>
      </c>
      <c r="K1146" t="str">
        <f>IF(SalesData[[#This Row],[Profit]]&gt;0,"Profit","Loss")</f>
        <v>Profit</v>
      </c>
      <c r="L1146" s="8">
        <f>SalesData[[#This Row],[Profit]]/SalesData[[#This Row],[Sales]]</f>
        <v>0.11304214616057114</v>
      </c>
      <c r="M1146" t="str">
        <f>TEXT(SalesData[[#This Row],[Order_Date]],"mmm")</f>
        <v>Dec</v>
      </c>
      <c r="N1146">
        <f>YEAR(SalesData[[#This Row],[Order_Date]])</f>
        <v>2023</v>
      </c>
    </row>
    <row r="1147" spans="1:14" x14ac:dyDescent="0.3">
      <c r="A1147" t="s">
        <v>2230</v>
      </c>
      <c r="B1147" s="1">
        <v>44710</v>
      </c>
      <c r="C1147" t="s">
        <v>913</v>
      </c>
      <c r="D1147" t="s">
        <v>18</v>
      </c>
      <c r="E1147" t="s">
        <v>56</v>
      </c>
      <c r="F1147" t="s">
        <v>73</v>
      </c>
      <c r="G1147" t="s">
        <v>398</v>
      </c>
      <c r="H1147" s="8">
        <v>774.05</v>
      </c>
      <c r="I1147" s="8">
        <v>-182.17</v>
      </c>
      <c r="J1147" s="8">
        <v>0.21</v>
      </c>
      <c r="K1147" t="str">
        <f>IF(SalesData[[#This Row],[Profit]]&gt;0,"Profit","Loss")</f>
        <v>Loss</v>
      </c>
      <c r="L1147" s="8">
        <f>SalesData[[#This Row],[Profit]]/SalesData[[#This Row],[Sales]]</f>
        <v>-0.23534655384019121</v>
      </c>
      <c r="M1147" t="str">
        <f>TEXT(SalesData[[#This Row],[Order_Date]],"mmm")</f>
        <v>May</v>
      </c>
      <c r="N1147">
        <f>YEAR(SalesData[[#This Row],[Order_Date]])</f>
        <v>2022</v>
      </c>
    </row>
    <row r="1148" spans="1:14" x14ac:dyDescent="0.3">
      <c r="A1148" t="s">
        <v>2231</v>
      </c>
      <c r="B1148" s="1">
        <v>45151</v>
      </c>
      <c r="C1148" t="s">
        <v>2232</v>
      </c>
      <c r="D1148" t="s">
        <v>18</v>
      </c>
      <c r="E1148" t="s">
        <v>13</v>
      </c>
      <c r="F1148" t="s">
        <v>14</v>
      </c>
      <c r="G1148" t="s">
        <v>1306</v>
      </c>
      <c r="H1148" s="8">
        <v>3703.06</v>
      </c>
      <c r="I1148" s="8">
        <v>872.35</v>
      </c>
      <c r="J1148" s="8">
        <v>0</v>
      </c>
      <c r="K1148" t="str">
        <f>IF(SalesData[[#This Row],[Profit]]&gt;0,"Profit","Loss")</f>
        <v>Profit</v>
      </c>
      <c r="L1148" s="8">
        <f>SalesData[[#This Row],[Profit]]/SalesData[[#This Row],[Sales]]</f>
        <v>0.23557544301199548</v>
      </c>
      <c r="M1148" t="str">
        <f>TEXT(SalesData[[#This Row],[Order_Date]],"mmm")</f>
        <v>Aug</v>
      </c>
      <c r="N1148">
        <f>YEAR(SalesData[[#This Row],[Order_Date]])</f>
        <v>2023</v>
      </c>
    </row>
    <row r="1149" spans="1:14" x14ac:dyDescent="0.3">
      <c r="A1149" t="s">
        <v>2233</v>
      </c>
      <c r="B1149" s="1">
        <v>45047</v>
      </c>
      <c r="C1149" t="s">
        <v>159</v>
      </c>
      <c r="D1149" t="s">
        <v>12</v>
      </c>
      <c r="E1149" t="s">
        <v>19</v>
      </c>
      <c r="F1149" t="s">
        <v>141</v>
      </c>
      <c r="G1149" t="s">
        <v>747</v>
      </c>
      <c r="H1149" s="8">
        <v>4224.13</v>
      </c>
      <c r="I1149" s="8">
        <v>-1784.15</v>
      </c>
      <c r="J1149" s="8">
        <v>0.28000000000000003</v>
      </c>
      <c r="K1149" t="str">
        <f>IF(SalesData[[#This Row],[Profit]]&gt;0,"Profit","Loss")</f>
        <v>Loss</v>
      </c>
      <c r="L1149" s="8">
        <f>SalesData[[#This Row],[Profit]]/SalesData[[#This Row],[Sales]]</f>
        <v>-0.42237099710472925</v>
      </c>
      <c r="M1149" t="str">
        <f>TEXT(SalesData[[#This Row],[Order_Date]],"mmm")</f>
        <v>May</v>
      </c>
      <c r="N1149">
        <f>YEAR(SalesData[[#This Row],[Order_Date]])</f>
        <v>2023</v>
      </c>
    </row>
    <row r="1150" spans="1:14" x14ac:dyDescent="0.3">
      <c r="A1150" t="s">
        <v>2234</v>
      </c>
      <c r="B1150" s="1">
        <v>44975</v>
      </c>
      <c r="C1150" t="s">
        <v>2096</v>
      </c>
      <c r="D1150" t="s">
        <v>12</v>
      </c>
      <c r="E1150" t="s">
        <v>13</v>
      </c>
      <c r="F1150" t="s">
        <v>24</v>
      </c>
      <c r="G1150" t="s">
        <v>747</v>
      </c>
      <c r="H1150" s="8">
        <v>1758.58</v>
      </c>
      <c r="I1150" s="8">
        <v>-423.57</v>
      </c>
      <c r="J1150" s="8">
        <v>0.13</v>
      </c>
      <c r="K1150" t="str">
        <f>IF(SalesData[[#This Row],[Profit]]&gt;0,"Profit","Loss")</f>
        <v>Loss</v>
      </c>
      <c r="L1150" s="8">
        <f>SalesData[[#This Row],[Profit]]/SalesData[[#This Row],[Sales]]</f>
        <v>-0.24085910223020848</v>
      </c>
      <c r="M1150" t="str">
        <f>TEXT(SalesData[[#This Row],[Order_Date]],"mmm")</f>
        <v>Feb</v>
      </c>
      <c r="N1150">
        <f>YEAR(SalesData[[#This Row],[Order_Date]])</f>
        <v>2023</v>
      </c>
    </row>
    <row r="1151" spans="1:14" x14ac:dyDescent="0.3">
      <c r="A1151" t="s">
        <v>2235</v>
      </c>
      <c r="B1151" s="1">
        <v>45230</v>
      </c>
      <c r="C1151" t="s">
        <v>493</v>
      </c>
      <c r="D1151" t="s">
        <v>28</v>
      </c>
      <c r="E1151" t="s">
        <v>56</v>
      </c>
      <c r="F1151" t="s">
        <v>95</v>
      </c>
      <c r="G1151" t="s">
        <v>468</v>
      </c>
      <c r="H1151" s="8">
        <v>2494.27</v>
      </c>
      <c r="I1151" s="8">
        <v>405.9</v>
      </c>
      <c r="J1151" s="8">
        <v>0.21</v>
      </c>
      <c r="K1151" t="str">
        <f>IF(SalesData[[#This Row],[Profit]]&gt;0,"Profit","Loss")</f>
        <v>Profit</v>
      </c>
      <c r="L1151" s="8">
        <f>SalesData[[#This Row],[Profit]]/SalesData[[#This Row],[Sales]]</f>
        <v>0.16273298399932645</v>
      </c>
      <c r="M1151" t="str">
        <f>TEXT(SalesData[[#This Row],[Order_Date]],"mmm")</f>
        <v>Oct</v>
      </c>
      <c r="N1151">
        <f>YEAR(SalesData[[#This Row],[Order_Date]])</f>
        <v>2023</v>
      </c>
    </row>
    <row r="1152" spans="1:14" x14ac:dyDescent="0.3">
      <c r="A1152" t="s">
        <v>2236</v>
      </c>
      <c r="B1152" s="1">
        <v>45227</v>
      </c>
      <c r="C1152" t="s">
        <v>2025</v>
      </c>
      <c r="D1152" t="s">
        <v>40</v>
      </c>
      <c r="E1152" t="s">
        <v>13</v>
      </c>
      <c r="F1152" t="s">
        <v>24</v>
      </c>
      <c r="G1152" t="s">
        <v>1988</v>
      </c>
      <c r="H1152" s="8">
        <v>3326.74</v>
      </c>
      <c r="I1152" s="8">
        <v>295.87</v>
      </c>
      <c r="J1152" s="8">
        <v>0.23</v>
      </c>
      <c r="K1152" t="str">
        <f>IF(SalesData[[#This Row],[Profit]]&gt;0,"Profit","Loss")</f>
        <v>Profit</v>
      </c>
      <c r="L1152" s="8">
        <f>SalesData[[#This Row],[Profit]]/SalesData[[#This Row],[Sales]]</f>
        <v>8.8936917222265655E-2</v>
      </c>
      <c r="M1152" t="str">
        <f>TEXT(SalesData[[#This Row],[Order_Date]],"mmm")</f>
        <v>Oct</v>
      </c>
      <c r="N1152">
        <f>YEAR(SalesData[[#This Row],[Order_Date]])</f>
        <v>2023</v>
      </c>
    </row>
    <row r="1153" spans="1:14" x14ac:dyDescent="0.3">
      <c r="A1153" t="s">
        <v>2237</v>
      </c>
      <c r="B1153" s="1">
        <v>45062</v>
      </c>
      <c r="C1153" t="s">
        <v>2238</v>
      </c>
      <c r="D1153" t="s">
        <v>18</v>
      </c>
      <c r="E1153" t="s">
        <v>13</v>
      </c>
      <c r="F1153" t="s">
        <v>36</v>
      </c>
      <c r="G1153" t="s">
        <v>1019</v>
      </c>
      <c r="H1153" s="8">
        <v>1899.88</v>
      </c>
      <c r="I1153" s="8">
        <v>-361.77</v>
      </c>
      <c r="J1153" s="8">
        <v>0.04</v>
      </c>
      <c r="K1153" t="str">
        <f>IF(SalesData[[#This Row],[Profit]]&gt;0,"Profit","Loss")</f>
        <v>Loss</v>
      </c>
      <c r="L1153" s="8">
        <f>SalesData[[#This Row],[Profit]]/SalesData[[#This Row],[Sales]]</f>
        <v>-0.19041728951302186</v>
      </c>
      <c r="M1153" t="str">
        <f>TEXT(SalesData[[#This Row],[Order_Date]],"mmm")</f>
        <v>May</v>
      </c>
      <c r="N1153">
        <f>YEAR(SalesData[[#This Row],[Order_Date]])</f>
        <v>2023</v>
      </c>
    </row>
    <row r="1154" spans="1:14" x14ac:dyDescent="0.3">
      <c r="A1154" t="s">
        <v>2239</v>
      </c>
      <c r="B1154" s="1">
        <v>44658</v>
      </c>
      <c r="C1154" t="s">
        <v>662</v>
      </c>
      <c r="D1154" t="s">
        <v>18</v>
      </c>
      <c r="E1154" t="s">
        <v>13</v>
      </c>
      <c r="F1154" t="s">
        <v>24</v>
      </c>
      <c r="G1154" t="s">
        <v>380</v>
      </c>
      <c r="H1154" s="8">
        <v>4938.01</v>
      </c>
      <c r="I1154" s="8">
        <v>376.45</v>
      </c>
      <c r="J1154" s="8">
        <v>0.14000000000000001</v>
      </c>
      <c r="K1154" t="str">
        <f>IF(SalesData[[#This Row],[Profit]]&gt;0,"Profit","Loss")</f>
        <v>Profit</v>
      </c>
      <c r="L1154" s="8">
        <f>SalesData[[#This Row],[Profit]]/SalesData[[#This Row],[Sales]]</f>
        <v>7.6235163557789462E-2</v>
      </c>
      <c r="M1154" t="str">
        <f>TEXT(SalesData[[#This Row],[Order_Date]],"mmm")</f>
        <v>Apr</v>
      </c>
      <c r="N1154">
        <f>YEAR(SalesData[[#This Row],[Order_Date]])</f>
        <v>2022</v>
      </c>
    </row>
    <row r="1155" spans="1:14" x14ac:dyDescent="0.3">
      <c r="A1155" t="s">
        <v>2240</v>
      </c>
      <c r="B1155" s="1">
        <v>44895</v>
      </c>
      <c r="C1155" t="s">
        <v>2130</v>
      </c>
      <c r="D1155" t="s">
        <v>18</v>
      </c>
      <c r="E1155" t="s">
        <v>19</v>
      </c>
      <c r="F1155" t="s">
        <v>141</v>
      </c>
      <c r="G1155" t="s">
        <v>488</v>
      </c>
      <c r="H1155" s="8">
        <v>3543.41</v>
      </c>
      <c r="I1155" s="8">
        <v>-761.33</v>
      </c>
      <c r="J1155" s="8">
        <v>0.09</v>
      </c>
      <c r="K1155" t="str">
        <f>IF(SalesData[[#This Row],[Profit]]&gt;0,"Profit","Loss")</f>
        <v>Loss</v>
      </c>
      <c r="L1155" s="8">
        <f>SalesData[[#This Row],[Profit]]/SalesData[[#This Row],[Sales]]</f>
        <v>-0.21485800401308347</v>
      </c>
      <c r="M1155" t="str">
        <f>TEXT(SalesData[[#This Row],[Order_Date]],"mmm")</f>
        <v>Nov</v>
      </c>
      <c r="N1155">
        <f>YEAR(SalesData[[#This Row],[Order_Date]])</f>
        <v>2022</v>
      </c>
    </row>
    <row r="1156" spans="1:14" x14ac:dyDescent="0.3">
      <c r="A1156" t="s">
        <v>2241</v>
      </c>
      <c r="B1156" s="1">
        <v>45104</v>
      </c>
      <c r="C1156" t="s">
        <v>2242</v>
      </c>
      <c r="D1156" t="s">
        <v>12</v>
      </c>
      <c r="E1156" t="s">
        <v>13</v>
      </c>
      <c r="F1156" t="s">
        <v>14</v>
      </c>
      <c r="G1156" t="s">
        <v>677</v>
      </c>
      <c r="H1156" s="8">
        <v>2029.6</v>
      </c>
      <c r="I1156" s="8">
        <v>40.76</v>
      </c>
      <c r="J1156" s="8">
        <v>0.25</v>
      </c>
      <c r="K1156" t="str">
        <f>IF(SalesData[[#This Row],[Profit]]&gt;0,"Profit","Loss")</f>
        <v>Profit</v>
      </c>
      <c r="L1156" s="8">
        <f>SalesData[[#This Row],[Profit]]/SalesData[[#This Row],[Sales]]</f>
        <v>2.008277493102089E-2</v>
      </c>
      <c r="M1156" t="str">
        <f>TEXT(SalesData[[#This Row],[Order_Date]],"mmm")</f>
        <v>Jun</v>
      </c>
      <c r="N1156">
        <f>YEAR(SalesData[[#This Row],[Order_Date]])</f>
        <v>2023</v>
      </c>
    </row>
    <row r="1157" spans="1:14" x14ac:dyDescent="0.3">
      <c r="A1157" t="s">
        <v>2243</v>
      </c>
      <c r="B1157" s="1">
        <v>44774</v>
      </c>
      <c r="C1157" t="s">
        <v>189</v>
      </c>
      <c r="D1157" t="s">
        <v>12</v>
      </c>
      <c r="E1157" t="s">
        <v>13</v>
      </c>
      <c r="F1157" t="s">
        <v>24</v>
      </c>
      <c r="G1157" t="s">
        <v>1814</v>
      </c>
      <c r="H1157" s="8">
        <v>3597.37</v>
      </c>
      <c r="I1157" s="8">
        <v>-1315.01</v>
      </c>
      <c r="J1157" s="8">
        <v>0.24</v>
      </c>
      <c r="K1157" t="str">
        <f>IF(SalesData[[#This Row],[Profit]]&gt;0,"Profit","Loss")</f>
        <v>Loss</v>
      </c>
      <c r="L1157" s="8">
        <f>SalesData[[#This Row],[Profit]]/SalesData[[#This Row],[Sales]]</f>
        <v>-0.36554760839168615</v>
      </c>
      <c r="M1157" t="str">
        <f>TEXT(SalesData[[#This Row],[Order_Date]],"mmm")</f>
        <v>Aug</v>
      </c>
      <c r="N1157">
        <f>YEAR(SalesData[[#This Row],[Order_Date]])</f>
        <v>2022</v>
      </c>
    </row>
    <row r="1158" spans="1:14" x14ac:dyDescent="0.3">
      <c r="A1158" t="s">
        <v>2244</v>
      </c>
      <c r="B1158" s="1">
        <v>44687</v>
      </c>
      <c r="C1158" t="s">
        <v>2245</v>
      </c>
      <c r="D1158" t="s">
        <v>18</v>
      </c>
      <c r="E1158" t="s">
        <v>13</v>
      </c>
      <c r="F1158" t="s">
        <v>24</v>
      </c>
      <c r="G1158" t="s">
        <v>895</v>
      </c>
      <c r="H1158" s="8">
        <v>981.69</v>
      </c>
      <c r="I1158" s="8">
        <v>108.29</v>
      </c>
      <c r="J1158" s="8">
        <v>0.17</v>
      </c>
      <c r="K1158" t="str">
        <f>IF(SalesData[[#This Row],[Profit]]&gt;0,"Profit","Loss")</f>
        <v>Profit</v>
      </c>
      <c r="L1158" s="8">
        <f>SalesData[[#This Row],[Profit]]/SalesData[[#This Row],[Sales]]</f>
        <v>0.1103097719239271</v>
      </c>
      <c r="M1158" t="str">
        <f>TEXT(SalesData[[#This Row],[Order_Date]],"mmm")</f>
        <v>May</v>
      </c>
      <c r="N1158">
        <f>YEAR(SalesData[[#This Row],[Order_Date]])</f>
        <v>2022</v>
      </c>
    </row>
    <row r="1159" spans="1:14" x14ac:dyDescent="0.3">
      <c r="A1159" t="s">
        <v>2246</v>
      </c>
      <c r="B1159" s="1">
        <v>44597</v>
      </c>
      <c r="C1159" t="s">
        <v>1985</v>
      </c>
      <c r="D1159" t="s">
        <v>12</v>
      </c>
      <c r="E1159" t="s">
        <v>56</v>
      </c>
      <c r="F1159" t="s">
        <v>73</v>
      </c>
      <c r="G1159" t="s">
        <v>70</v>
      </c>
      <c r="H1159" s="8">
        <v>889.93</v>
      </c>
      <c r="I1159" s="8">
        <v>125.36</v>
      </c>
      <c r="J1159" s="8">
        <v>0.17</v>
      </c>
      <c r="K1159" t="str">
        <f>IF(SalesData[[#This Row],[Profit]]&gt;0,"Profit","Loss")</f>
        <v>Profit</v>
      </c>
      <c r="L1159" s="8">
        <f>SalesData[[#This Row],[Profit]]/SalesData[[#This Row],[Sales]]</f>
        <v>0.140865011854865</v>
      </c>
      <c r="M1159" t="str">
        <f>TEXT(SalesData[[#This Row],[Order_Date]],"mmm")</f>
        <v>Feb</v>
      </c>
      <c r="N1159">
        <f>YEAR(SalesData[[#This Row],[Order_Date]])</f>
        <v>2022</v>
      </c>
    </row>
    <row r="1160" spans="1:14" x14ac:dyDescent="0.3">
      <c r="A1160" t="s">
        <v>2247</v>
      </c>
      <c r="B1160" s="1">
        <v>45235</v>
      </c>
      <c r="C1160" t="s">
        <v>2248</v>
      </c>
      <c r="D1160" t="s">
        <v>18</v>
      </c>
      <c r="E1160" t="s">
        <v>19</v>
      </c>
      <c r="F1160" t="s">
        <v>29</v>
      </c>
      <c r="G1160" t="s">
        <v>850</v>
      </c>
      <c r="H1160" s="8">
        <v>4834.75</v>
      </c>
      <c r="I1160" s="8">
        <v>1625.74</v>
      </c>
      <c r="J1160" s="8">
        <v>0.05</v>
      </c>
      <c r="K1160" t="str">
        <f>IF(SalesData[[#This Row],[Profit]]&gt;0,"Profit","Loss")</f>
        <v>Profit</v>
      </c>
      <c r="L1160" s="8">
        <f>SalesData[[#This Row],[Profit]]/SalesData[[#This Row],[Sales]]</f>
        <v>0.33626144061223434</v>
      </c>
      <c r="M1160" t="str">
        <f>TEXT(SalesData[[#This Row],[Order_Date]],"mmm")</f>
        <v>Nov</v>
      </c>
      <c r="N1160">
        <f>YEAR(SalesData[[#This Row],[Order_Date]])</f>
        <v>2023</v>
      </c>
    </row>
    <row r="1161" spans="1:14" x14ac:dyDescent="0.3">
      <c r="A1161" t="s">
        <v>2249</v>
      </c>
      <c r="B1161" s="1">
        <v>44705</v>
      </c>
      <c r="C1161" t="s">
        <v>94</v>
      </c>
      <c r="D1161" t="s">
        <v>28</v>
      </c>
      <c r="E1161" t="s">
        <v>56</v>
      </c>
      <c r="F1161" t="s">
        <v>73</v>
      </c>
      <c r="G1161" t="s">
        <v>365</v>
      </c>
      <c r="H1161" s="8">
        <v>4532.6400000000003</v>
      </c>
      <c r="I1161" s="8">
        <v>138.07</v>
      </c>
      <c r="J1161" s="8">
        <v>0.09</v>
      </c>
      <c r="K1161" t="str">
        <f>IF(SalesData[[#This Row],[Profit]]&gt;0,"Profit","Loss")</f>
        <v>Profit</v>
      </c>
      <c r="L1161" s="8">
        <f>SalesData[[#This Row],[Profit]]/SalesData[[#This Row],[Sales]]</f>
        <v>3.0461276430512899E-2</v>
      </c>
      <c r="M1161" t="str">
        <f>TEXT(SalesData[[#This Row],[Order_Date]],"mmm")</f>
        <v>May</v>
      </c>
      <c r="N1161">
        <f>YEAR(SalesData[[#This Row],[Order_Date]])</f>
        <v>2022</v>
      </c>
    </row>
    <row r="1162" spans="1:14" x14ac:dyDescent="0.3">
      <c r="A1162" t="s">
        <v>2250</v>
      </c>
      <c r="B1162" s="1">
        <v>45084</v>
      </c>
      <c r="C1162" t="s">
        <v>913</v>
      </c>
      <c r="D1162" t="s">
        <v>12</v>
      </c>
      <c r="E1162" t="s">
        <v>19</v>
      </c>
      <c r="F1162" t="s">
        <v>141</v>
      </c>
      <c r="G1162" t="s">
        <v>320</v>
      </c>
      <c r="H1162" s="8">
        <v>4562.84</v>
      </c>
      <c r="I1162" s="8">
        <v>-621.9</v>
      </c>
      <c r="J1162" s="8">
        <v>0.3</v>
      </c>
      <c r="K1162" t="str">
        <f>IF(SalesData[[#This Row],[Profit]]&gt;0,"Profit","Loss")</f>
        <v>Loss</v>
      </c>
      <c r="L1162" s="8">
        <f>SalesData[[#This Row],[Profit]]/SalesData[[#This Row],[Sales]]</f>
        <v>-0.13629669241086689</v>
      </c>
      <c r="M1162" t="str">
        <f>TEXT(SalesData[[#This Row],[Order_Date]],"mmm")</f>
        <v>Jun</v>
      </c>
      <c r="N1162">
        <f>YEAR(SalesData[[#This Row],[Order_Date]])</f>
        <v>2023</v>
      </c>
    </row>
    <row r="1163" spans="1:14" x14ac:dyDescent="0.3">
      <c r="A1163" t="s">
        <v>2251</v>
      </c>
      <c r="B1163" s="1">
        <v>44782</v>
      </c>
      <c r="C1163" t="s">
        <v>893</v>
      </c>
      <c r="D1163" t="s">
        <v>18</v>
      </c>
      <c r="E1163" t="s">
        <v>56</v>
      </c>
      <c r="F1163" t="s">
        <v>57</v>
      </c>
      <c r="G1163" t="s">
        <v>15</v>
      </c>
      <c r="H1163" s="8">
        <v>280</v>
      </c>
      <c r="I1163" s="8">
        <v>76.62</v>
      </c>
      <c r="J1163" s="8">
        <v>0.04</v>
      </c>
      <c r="K1163" t="str">
        <f>IF(SalesData[[#This Row],[Profit]]&gt;0,"Profit","Loss")</f>
        <v>Profit</v>
      </c>
      <c r="L1163" s="8">
        <f>SalesData[[#This Row],[Profit]]/SalesData[[#This Row],[Sales]]</f>
        <v>0.27364285714285713</v>
      </c>
      <c r="M1163" t="str">
        <f>TEXT(SalesData[[#This Row],[Order_Date]],"mmm")</f>
        <v>Aug</v>
      </c>
      <c r="N1163">
        <f>YEAR(SalesData[[#This Row],[Order_Date]])</f>
        <v>2022</v>
      </c>
    </row>
    <row r="1164" spans="1:14" x14ac:dyDescent="0.3">
      <c r="A1164" t="s">
        <v>2252</v>
      </c>
      <c r="B1164" s="1">
        <v>44823</v>
      </c>
      <c r="C1164" t="s">
        <v>1291</v>
      </c>
      <c r="D1164" t="s">
        <v>28</v>
      </c>
      <c r="E1164" t="s">
        <v>19</v>
      </c>
      <c r="F1164" t="s">
        <v>29</v>
      </c>
      <c r="G1164" t="s">
        <v>1303</v>
      </c>
      <c r="H1164" s="8">
        <v>729.61</v>
      </c>
      <c r="I1164" s="8">
        <v>-252</v>
      </c>
      <c r="J1164" s="8">
        <v>0.19</v>
      </c>
      <c r="K1164" t="str">
        <f>IF(SalesData[[#This Row],[Profit]]&gt;0,"Profit","Loss")</f>
        <v>Loss</v>
      </c>
      <c r="L1164" s="8">
        <f>SalesData[[#This Row],[Profit]]/SalesData[[#This Row],[Sales]]</f>
        <v>-0.34539000287825</v>
      </c>
      <c r="M1164" t="str">
        <f>TEXT(SalesData[[#This Row],[Order_Date]],"mmm")</f>
        <v>Sep</v>
      </c>
      <c r="N1164">
        <f>YEAR(SalesData[[#This Row],[Order_Date]])</f>
        <v>2022</v>
      </c>
    </row>
    <row r="1165" spans="1:14" x14ac:dyDescent="0.3">
      <c r="A1165" t="s">
        <v>2253</v>
      </c>
      <c r="B1165" s="1">
        <v>45273</v>
      </c>
      <c r="C1165" t="s">
        <v>1147</v>
      </c>
      <c r="D1165" t="s">
        <v>18</v>
      </c>
      <c r="E1165" t="s">
        <v>56</v>
      </c>
      <c r="F1165" t="s">
        <v>95</v>
      </c>
      <c r="G1165" t="s">
        <v>2176</v>
      </c>
      <c r="H1165" s="8">
        <v>2334.73</v>
      </c>
      <c r="I1165" s="8">
        <v>-172.97</v>
      </c>
      <c r="J1165" s="8">
        <v>0.28000000000000003</v>
      </c>
      <c r="K1165" t="str">
        <f>IF(SalesData[[#This Row],[Profit]]&gt;0,"Profit","Loss")</f>
        <v>Loss</v>
      </c>
      <c r="L1165" s="8">
        <f>SalesData[[#This Row],[Profit]]/SalesData[[#This Row],[Sales]]</f>
        <v>-7.408565444398281E-2</v>
      </c>
      <c r="M1165" t="str">
        <f>TEXT(SalesData[[#This Row],[Order_Date]],"mmm")</f>
        <v>Dec</v>
      </c>
      <c r="N1165">
        <f>YEAR(SalesData[[#This Row],[Order_Date]])</f>
        <v>2023</v>
      </c>
    </row>
    <row r="1166" spans="1:14" x14ac:dyDescent="0.3">
      <c r="A1166" t="s">
        <v>2254</v>
      </c>
      <c r="B1166" s="1">
        <v>44943</v>
      </c>
      <c r="C1166" t="s">
        <v>227</v>
      </c>
      <c r="D1166" t="s">
        <v>18</v>
      </c>
      <c r="E1166" t="s">
        <v>13</v>
      </c>
      <c r="F1166" t="s">
        <v>24</v>
      </c>
      <c r="G1166" t="s">
        <v>1904</v>
      </c>
      <c r="H1166" s="8">
        <v>1420.06</v>
      </c>
      <c r="I1166" s="8">
        <v>-3.77</v>
      </c>
      <c r="J1166" s="8">
        <v>0.19</v>
      </c>
      <c r="K1166" t="str">
        <f>IF(SalesData[[#This Row],[Profit]]&gt;0,"Profit","Loss")</f>
        <v>Loss</v>
      </c>
      <c r="L1166" s="8">
        <f>SalesData[[#This Row],[Profit]]/SalesData[[#This Row],[Sales]]</f>
        <v>-2.6548174020816022E-3</v>
      </c>
      <c r="M1166" t="str">
        <f>TEXT(SalesData[[#This Row],[Order_Date]],"mmm")</f>
        <v>Jan</v>
      </c>
      <c r="N1166">
        <f>YEAR(SalesData[[#This Row],[Order_Date]])</f>
        <v>2023</v>
      </c>
    </row>
    <row r="1167" spans="1:14" x14ac:dyDescent="0.3">
      <c r="A1167" t="s">
        <v>2255</v>
      </c>
      <c r="B1167" s="1">
        <v>45180</v>
      </c>
      <c r="C1167" t="s">
        <v>751</v>
      </c>
      <c r="D1167" t="s">
        <v>12</v>
      </c>
      <c r="E1167" t="s">
        <v>56</v>
      </c>
      <c r="F1167" t="s">
        <v>95</v>
      </c>
      <c r="G1167" t="s">
        <v>1599</v>
      </c>
      <c r="H1167" s="8">
        <v>4963</v>
      </c>
      <c r="I1167" s="8">
        <v>-1560.64</v>
      </c>
      <c r="J1167" s="8">
        <v>0.13</v>
      </c>
      <c r="K1167" t="str">
        <f>IF(SalesData[[#This Row],[Profit]]&gt;0,"Profit","Loss")</f>
        <v>Loss</v>
      </c>
      <c r="L1167" s="8">
        <f>SalesData[[#This Row],[Profit]]/SalesData[[#This Row],[Sales]]</f>
        <v>-0.31445496675397949</v>
      </c>
      <c r="M1167" t="str">
        <f>TEXT(SalesData[[#This Row],[Order_Date]],"mmm")</f>
        <v>Sep</v>
      </c>
      <c r="N1167">
        <f>YEAR(SalesData[[#This Row],[Order_Date]])</f>
        <v>2023</v>
      </c>
    </row>
    <row r="1168" spans="1:14" x14ac:dyDescent="0.3">
      <c r="A1168" t="s">
        <v>2256</v>
      </c>
      <c r="B1168" s="1">
        <v>45217</v>
      </c>
      <c r="C1168" t="s">
        <v>1410</v>
      </c>
      <c r="D1168" t="s">
        <v>40</v>
      </c>
      <c r="E1168" t="s">
        <v>56</v>
      </c>
      <c r="F1168" t="s">
        <v>73</v>
      </c>
      <c r="G1168" t="s">
        <v>2257</v>
      </c>
      <c r="H1168" s="8">
        <v>638.95000000000005</v>
      </c>
      <c r="I1168" s="8">
        <v>-204.74</v>
      </c>
      <c r="J1168" s="8">
        <v>0.16</v>
      </c>
      <c r="K1168" t="str">
        <f>IF(SalesData[[#This Row],[Profit]]&gt;0,"Profit","Loss")</f>
        <v>Loss</v>
      </c>
      <c r="L1168" s="8">
        <f>SalesData[[#This Row],[Profit]]/SalesData[[#This Row],[Sales]]</f>
        <v>-0.32043195868221297</v>
      </c>
      <c r="M1168" t="str">
        <f>TEXT(SalesData[[#This Row],[Order_Date]],"mmm")</f>
        <v>Oct</v>
      </c>
      <c r="N1168">
        <f>YEAR(SalesData[[#This Row],[Order_Date]])</f>
        <v>2023</v>
      </c>
    </row>
    <row r="1169" spans="1:14" x14ac:dyDescent="0.3">
      <c r="A1169" t="s">
        <v>2258</v>
      </c>
      <c r="B1169" s="1">
        <v>44662</v>
      </c>
      <c r="C1169" t="s">
        <v>776</v>
      </c>
      <c r="D1169" t="s">
        <v>18</v>
      </c>
      <c r="E1169" t="s">
        <v>19</v>
      </c>
      <c r="F1169" t="s">
        <v>29</v>
      </c>
      <c r="G1169" t="s">
        <v>1553</v>
      </c>
      <c r="H1169" s="8">
        <v>817.02</v>
      </c>
      <c r="I1169" s="8">
        <v>-225.34</v>
      </c>
      <c r="J1169" s="8">
        <v>0.24</v>
      </c>
      <c r="K1169" t="str">
        <f>IF(SalesData[[#This Row],[Profit]]&gt;0,"Profit","Loss")</f>
        <v>Loss</v>
      </c>
      <c r="L1169" s="8">
        <f>SalesData[[#This Row],[Profit]]/SalesData[[#This Row],[Sales]]</f>
        <v>-0.27580720178208612</v>
      </c>
      <c r="M1169" t="str">
        <f>TEXT(SalesData[[#This Row],[Order_Date]],"mmm")</f>
        <v>Apr</v>
      </c>
      <c r="N1169">
        <f>YEAR(SalesData[[#This Row],[Order_Date]])</f>
        <v>2022</v>
      </c>
    </row>
    <row r="1170" spans="1:14" x14ac:dyDescent="0.3">
      <c r="A1170" t="s">
        <v>2259</v>
      </c>
      <c r="B1170" s="1">
        <v>45063</v>
      </c>
      <c r="C1170" t="s">
        <v>2260</v>
      </c>
      <c r="D1170" t="s">
        <v>40</v>
      </c>
      <c r="E1170" t="s">
        <v>56</v>
      </c>
      <c r="F1170" t="s">
        <v>57</v>
      </c>
      <c r="G1170" t="s">
        <v>306</v>
      </c>
      <c r="H1170" s="8">
        <v>961.08</v>
      </c>
      <c r="I1170" s="8">
        <v>-226.88</v>
      </c>
      <c r="J1170" s="8">
        <v>0.22</v>
      </c>
      <c r="K1170" t="str">
        <f>IF(SalesData[[#This Row],[Profit]]&gt;0,"Profit","Loss")</f>
        <v>Loss</v>
      </c>
      <c r="L1170" s="8">
        <f>SalesData[[#This Row],[Profit]]/SalesData[[#This Row],[Sales]]</f>
        <v>-0.23606775710658839</v>
      </c>
      <c r="M1170" t="str">
        <f>TEXT(SalesData[[#This Row],[Order_Date]],"mmm")</f>
        <v>May</v>
      </c>
      <c r="N1170">
        <f>YEAR(SalesData[[#This Row],[Order_Date]])</f>
        <v>2023</v>
      </c>
    </row>
    <row r="1171" spans="1:14" x14ac:dyDescent="0.3">
      <c r="A1171" t="s">
        <v>2261</v>
      </c>
      <c r="B1171" s="1">
        <v>44736</v>
      </c>
      <c r="C1171" t="s">
        <v>2262</v>
      </c>
      <c r="D1171" t="s">
        <v>28</v>
      </c>
      <c r="E1171" t="s">
        <v>13</v>
      </c>
      <c r="F1171" t="s">
        <v>36</v>
      </c>
      <c r="G1171" t="s">
        <v>1814</v>
      </c>
      <c r="H1171" s="8">
        <v>2802.56</v>
      </c>
      <c r="I1171" s="8">
        <v>442.64</v>
      </c>
      <c r="J1171" s="8">
        <v>0.18</v>
      </c>
      <c r="K1171" t="str">
        <f>IF(SalesData[[#This Row],[Profit]]&gt;0,"Profit","Loss")</f>
        <v>Profit</v>
      </c>
      <c r="L1171" s="8">
        <f>SalesData[[#This Row],[Profit]]/SalesData[[#This Row],[Sales]]</f>
        <v>0.15794131080155285</v>
      </c>
      <c r="M1171" t="str">
        <f>TEXT(SalesData[[#This Row],[Order_Date]],"mmm")</f>
        <v>Jun</v>
      </c>
      <c r="N1171">
        <f>YEAR(SalesData[[#This Row],[Order_Date]])</f>
        <v>2022</v>
      </c>
    </row>
    <row r="1172" spans="1:14" x14ac:dyDescent="0.3">
      <c r="A1172" t="s">
        <v>2263</v>
      </c>
      <c r="B1172" s="1">
        <v>44974</v>
      </c>
      <c r="C1172" t="s">
        <v>2264</v>
      </c>
      <c r="D1172" t="s">
        <v>18</v>
      </c>
      <c r="E1172" t="s">
        <v>19</v>
      </c>
      <c r="F1172" t="s">
        <v>141</v>
      </c>
      <c r="G1172" t="s">
        <v>2265</v>
      </c>
      <c r="H1172" s="8">
        <v>3421.28</v>
      </c>
      <c r="I1172" s="8">
        <v>-372.91</v>
      </c>
      <c r="J1172" s="8">
        <v>0.24</v>
      </c>
      <c r="K1172" t="str">
        <f>IF(SalesData[[#This Row],[Profit]]&gt;0,"Profit","Loss")</f>
        <v>Loss</v>
      </c>
      <c r="L1172" s="8">
        <f>SalesData[[#This Row],[Profit]]/SalesData[[#This Row],[Sales]]</f>
        <v>-0.10899721741570406</v>
      </c>
      <c r="M1172" t="str">
        <f>TEXT(SalesData[[#This Row],[Order_Date]],"mmm")</f>
        <v>Feb</v>
      </c>
      <c r="N1172">
        <f>YEAR(SalesData[[#This Row],[Order_Date]])</f>
        <v>2023</v>
      </c>
    </row>
    <row r="1173" spans="1:14" x14ac:dyDescent="0.3">
      <c r="A1173" t="s">
        <v>2266</v>
      </c>
      <c r="B1173" s="1">
        <v>44949</v>
      </c>
      <c r="C1173" t="s">
        <v>1848</v>
      </c>
      <c r="D1173" t="s">
        <v>40</v>
      </c>
      <c r="E1173" t="s">
        <v>56</v>
      </c>
      <c r="F1173" t="s">
        <v>73</v>
      </c>
      <c r="G1173" t="s">
        <v>1492</v>
      </c>
      <c r="H1173" s="8">
        <v>2616.4699999999998</v>
      </c>
      <c r="I1173" s="8">
        <v>-455.73</v>
      </c>
      <c r="J1173" s="8">
        <v>0.05</v>
      </c>
      <c r="K1173" t="str">
        <f>IF(SalesData[[#This Row],[Profit]]&gt;0,"Profit","Loss")</f>
        <v>Loss</v>
      </c>
      <c r="L1173" s="8">
        <f>SalesData[[#This Row],[Profit]]/SalesData[[#This Row],[Sales]]</f>
        <v>-0.17417742225211832</v>
      </c>
      <c r="M1173" t="str">
        <f>TEXT(SalesData[[#This Row],[Order_Date]],"mmm")</f>
        <v>Jan</v>
      </c>
      <c r="N1173">
        <f>YEAR(SalesData[[#This Row],[Order_Date]])</f>
        <v>2023</v>
      </c>
    </row>
    <row r="1174" spans="1:14" x14ac:dyDescent="0.3">
      <c r="A1174" t="s">
        <v>2267</v>
      </c>
      <c r="B1174" s="1">
        <v>45185</v>
      </c>
      <c r="C1174" t="s">
        <v>541</v>
      </c>
      <c r="D1174" t="s">
        <v>28</v>
      </c>
      <c r="E1174" t="s">
        <v>13</v>
      </c>
      <c r="F1174" t="s">
        <v>24</v>
      </c>
      <c r="G1174" t="s">
        <v>1371</v>
      </c>
      <c r="H1174" s="8">
        <v>4875.05</v>
      </c>
      <c r="I1174" s="8">
        <v>-1270.1099999999999</v>
      </c>
      <c r="J1174" s="8">
        <v>0.21</v>
      </c>
      <c r="K1174" t="str">
        <f>IF(SalesData[[#This Row],[Profit]]&gt;0,"Profit","Loss")</f>
        <v>Loss</v>
      </c>
      <c r="L1174" s="8">
        <f>SalesData[[#This Row],[Profit]]/SalesData[[#This Row],[Sales]]</f>
        <v>-0.26053271248500015</v>
      </c>
      <c r="M1174" t="str">
        <f>TEXT(SalesData[[#This Row],[Order_Date]],"mmm")</f>
        <v>Sep</v>
      </c>
      <c r="N1174">
        <f>YEAR(SalesData[[#This Row],[Order_Date]])</f>
        <v>2023</v>
      </c>
    </row>
    <row r="1175" spans="1:14" x14ac:dyDescent="0.3">
      <c r="A1175" t="s">
        <v>2268</v>
      </c>
      <c r="B1175" s="1">
        <v>45000</v>
      </c>
      <c r="C1175" t="s">
        <v>1583</v>
      </c>
      <c r="D1175" t="s">
        <v>18</v>
      </c>
      <c r="E1175" t="s">
        <v>19</v>
      </c>
      <c r="F1175" t="s">
        <v>29</v>
      </c>
      <c r="G1175" t="s">
        <v>1271</v>
      </c>
      <c r="H1175" s="8">
        <v>4012.5</v>
      </c>
      <c r="I1175" s="8">
        <v>-740.33</v>
      </c>
      <c r="J1175" s="8">
        <v>0.15</v>
      </c>
      <c r="K1175" t="str">
        <f>IF(SalesData[[#This Row],[Profit]]&gt;0,"Profit","Loss")</f>
        <v>Loss</v>
      </c>
      <c r="L1175" s="8">
        <f>SalesData[[#This Row],[Profit]]/SalesData[[#This Row],[Sales]]</f>
        <v>-0.18450591900311528</v>
      </c>
      <c r="M1175" t="str">
        <f>TEXT(SalesData[[#This Row],[Order_Date]],"mmm")</f>
        <v>Mar</v>
      </c>
      <c r="N1175">
        <f>YEAR(SalesData[[#This Row],[Order_Date]])</f>
        <v>2023</v>
      </c>
    </row>
    <row r="1176" spans="1:14" x14ac:dyDescent="0.3">
      <c r="A1176" t="s">
        <v>2269</v>
      </c>
      <c r="B1176" s="1">
        <v>44654</v>
      </c>
      <c r="C1176" t="s">
        <v>1865</v>
      </c>
      <c r="D1176" t="s">
        <v>12</v>
      </c>
      <c r="E1176" t="s">
        <v>13</v>
      </c>
      <c r="F1176" t="s">
        <v>14</v>
      </c>
      <c r="G1176" t="s">
        <v>730</v>
      </c>
      <c r="H1176" s="8">
        <v>4742.53</v>
      </c>
      <c r="I1176" s="8">
        <v>-627.71</v>
      </c>
      <c r="J1176" s="8">
        <v>0.12</v>
      </c>
      <c r="K1176" t="str">
        <f>IF(SalesData[[#This Row],[Profit]]&gt;0,"Profit","Loss")</f>
        <v>Loss</v>
      </c>
      <c r="L1176" s="8">
        <f>SalesData[[#This Row],[Profit]]/SalesData[[#This Row],[Sales]]</f>
        <v>-0.13235762346258223</v>
      </c>
      <c r="M1176" t="str">
        <f>TEXT(SalesData[[#This Row],[Order_Date]],"mmm")</f>
        <v>Apr</v>
      </c>
      <c r="N1176">
        <f>YEAR(SalesData[[#This Row],[Order_Date]])</f>
        <v>2022</v>
      </c>
    </row>
    <row r="1177" spans="1:14" x14ac:dyDescent="0.3">
      <c r="A1177" t="s">
        <v>2270</v>
      </c>
      <c r="B1177" s="1">
        <v>44854</v>
      </c>
      <c r="C1177" t="s">
        <v>88</v>
      </c>
      <c r="D1177" t="s">
        <v>28</v>
      </c>
      <c r="E1177" t="s">
        <v>13</v>
      </c>
      <c r="F1177" t="s">
        <v>14</v>
      </c>
      <c r="G1177" t="s">
        <v>2087</v>
      </c>
      <c r="H1177" s="8">
        <v>4729.8500000000004</v>
      </c>
      <c r="I1177" s="8">
        <v>-1019.53</v>
      </c>
      <c r="J1177" s="8">
        <v>0.05</v>
      </c>
      <c r="K1177" t="str">
        <f>IF(SalesData[[#This Row],[Profit]]&gt;0,"Profit","Loss")</f>
        <v>Loss</v>
      </c>
      <c r="L1177" s="8">
        <f>SalesData[[#This Row],[Profit]]/SalesData[[#This Row],[Sales]]</f>
        <v>-0.2155522902417624</v>
      </c>
      <c r="M1177" t="str">
        <f>TEXT(SalesData[[#This Row],[Order_Date]],"mmm")</f>
        <v>Oct</v>
      </c>
      <c r="N1177">
        <f>YEAR(SalesData[[#This Row],[Order_Date]])</f>
        <v>2022</v>
      </c>
    </row>
    <row r="1178" spans="1:14" x14ac:dyDescent="0.3">
      <c r="A1178" t="s">
        <v>2271</v>
      </c>
      <c r="B1178" s="1">
        <v>45071</v>
      </c>
      <c r="C1178" t="s">
        <v>574</v>
      </c>
      <c r="D1178" t="s">
        <v>12</v>
      </c>
      <c r="E1178" t="s">
        <v>56</v>
      </c>
      <c r="F1178" t="s">
        <v>95</v>
      </c>
      <c r="G1178" t="s">
        <v>488</v>
      </c>
      <c r="H1178" s="8">
        <v>3417.46</v>
      </c>
      <c r="I1178" s="8">
        <v>-1360.64</v>
      </c>
      <c r="J1178" s="8">
        <v>0.28000000000000003</v>
      </c>
      <c r="K1178" t="str">
        <f>IF(SalesData[[#This Row],[Profit]]&gt;0,"Profit","Loss")</f>
        <v>Loss</v>
      </c>
      <c r="L1178" s="8">
        <f>SalesData[[#This Row],[Profit]]/SalesData[[#This Row],[Sales]]</f>
        <v>-0.39814365054748269</v>
      </c>
      <c r="M1178" t="str">
        <f>TEXT(SalesData[[#This Row],[Order_Date]],"mmm")</f>
        <v>May</v>
      </c>
      <c r="N1178">
        <f>YEAR(SalesData[[#This Row],[Order_Date]])</f>
        <v>2023</v>
      </c>
    </row>
    <row r="1179" spans="1:14" x14ac:dyDescent="0.3">
      <c r="A1179" t="s">
        <v>2272</v>
      </c>
      <c r="B1179" s="1">
        <v>44997</v>
      </c>
      <c r="C1179" t="s">
        <v>1634</v>
      </c>
      <c r="D1179" t="s">
        <v>40</v>
      </c>
      <c r="E1179" t="s">
        <v>56</v>
      </c>
      <c r="F1179" t="s">
        <v>73</v>
      </c>
      <c r="G1179" t="s">
        <v>368</v>
      </c>
      <c r="H1179" s="8">
        <v>1031.9000000000001</v>
      </c>
      <c r="I1179" s="8">
        <v>-459.84</v>
      </c>
      <c r="J1179" s="8">
        <v>0.25</v>
      </c>
      <c r="K1179" t="str">
        <f>IF(SalesData[[#This Row],[Profit]]&gt;0,"Profit","Loss")</f>
        <v>Loss</v>
      </c>
      <c r="L1179" s="8">
        <f>SalesData[[#This Row],[Profit]]/SalesData[[#This Row],[Sales]]</f>
        <v>-0.44562457602480854</v>
      </c>
      <c r="M1179" t="str">
        <f>TEXT(SalesData[[#This Row],[Order_Date]],"mmm")</f>
        <v>Mar</v>
      </c>
      <c r="N1179">
        <f>YEAR(SalesData[[#This Row],[Order_Date]])</f>
        <v>2023</v>
      </c>
    </row>
    <row r="1180" spans="1:14" x14ac:dyDescent="0.3">
      <c r="A1180" t="s">
        <v>2273</v>
      </c>
      <c r="B1180" s="1">
        <v>45102</v>
      </c>
      <c r="C1180" t="s">
        <v>361</v>
      </c>
      <c r="D1180" t="s">
        <v>12</v>
      </c>
      <c r="E1180" t="s">
        <v>13</v>
      </c>
      <c r="F1180" t="s">
        <v>24</v>
      </c>
      <c r="G1180" t="s">
        <v>2205</v>
      </c>
      <c r="H1180" s="8">
        <v>4759.26</v>
      </c>
      <c r="I1180" s="8">
        <v>372.17</v>
      </c>
      <c r="J1180" s="8">
        <v>0.25</v>
      </c>
      <c r="K1180" t="str">
        <f>IF(SalesData[[#This Row],[Profit]]&gt;0,"Profit","Loss")</f>
        <v>Profit</v>
      </c>
      <c r="L1180" s="8">
        <f>SalesData[[#This Row],[Profit]]/SalesData[[#This Row],[Sales]]</f>
        <v>7.8199131797800497E-2</v>
      </c>
      <c r="M1180" t="str">
        <f>TEXT(SalesData[[#This Row],[Order_Date]],"mmm")</f>
        <v>Jun</v>
      </c>
      <c r="N1180">
        <f>YEAR(SalesData[[#This Row],[Order_Date]])</f>
        <v>2023</v>
      </c>
    </row>
    <row r="1181" spans="1:14" x14ac:dyDescent="0.3">
      <c r="A1181" t="s">
        <v>2274</v>
      </c>
      <c r="B1181" s="1">
        <v>44792</v>
      </c>
      <c r="C1181" t="s">
        <v>1740</v>
      </c>
      <c r="D1181" t="s">
        <v>12</v>
      </c>
      <c r="E1181" t="s">
        <v>19</v>
      </c>
      <c r="F1181" t="s">
        <v>20</v>
      </c>
      <c r="G1181" t="s">
        <v>1379</v>
      </c>
      <c r="H1181" s="8">
        <v>3405.16</v>
      </c>
      <c r="I1181" s="8">
        <v>-496.78</v>
      </c>
      <c r="J1181" s="8">
        <v>0.26</v>
      </c>
      <c r="K1181" t="str">
        <f>IF(SalesData[[#This Row],[Profit]]&gt;0,"Profit","Loss")</f>
        <v>Loss</v>
      </c>
      <c r="L1181" s="8">
        <f>SalesData[[#This Row],[Profit]]/SalesData[[#This Row],[Sales]]</f>
        <v>-0.14589035463825489</v>
      </c>
      <c r="M1181" t="str">
        <f>TEXT(SalesData[[#This Row],[Order_Date]],"mmm")</f>
        <v>Aug</v>
      </c>
      <c r="N1181">
        <f>YEAR(SalesData[[#This Row],[Order_Date]])</f>
        <v>2022</v>
      </c>
    </row>
    <row r="1182" spans="1:14" x14ac:dyDescent="0.3">
      <c r="A1182" t="s">
        <v>2275</v>
      </c>
      <c r="B1182" s="1">
        <v>44736</v>
      </c>
      <c r="C1182" t="s">
        <v>72</v>
      </c>
      <c r="D1182" t="s">
        <v>12</v>
      </c>
      <c r="E1182" t="s">
        <v>56</v>
      </c>
      <c r="F1182" t="s">
        <v>73</v>
      </c>
      <c r="G1182" t="s">
        <v>2017</v>
      </c>
      <c r="H1182" s="8">
        <v>1831.13</v>
      </c>
      <c r="I1182" s="8">
        <v>141.55000000000001</v>
      </c>
      <c r="J1182" s="8">
        <v>0.02</v>
      </c>
      <c r="K1182" t="str">
        <f>IF(SalesData[[#This Row],[Profit]]&gt;0,"Profit","Loss")</f>
        <v>Profit</v>
      </c>
      <c r="L1182" s="8">
        <f>SalesData[[#This Row],[Profit]]/SalesData[[#This Row],[Sales]]</f>
        <v>7.7301993850791589E-2</v>
      </c>
      <c r="M1182" t="str">
        <f>TEXT(SalesData[[#This Row],[Order_Date]],"mmm")</f>
        <v>Jun</v>
      </c>
      <c r="N1182">
        <f>YEAR(SalesData[[#This Row],[Order_Date]])</f>
        <v>2022</v>
      </c>
    </row>
    <row r="1183" spans="1:14" x14ac:dyDescent="0.3">
      <c r="A1183" t="s">
        <v>2276</v>
      </c>
      <c r="B1183" s="1">
        <v>44859</v>
      </c>
      <c r="C1183" t="s">
        <v>2277</v>
      </c>
      <c r="D1183" t="s">
        <v>28</v>
      </c>
      <c r="E1183" t="s">
        <v>13</v>
      </c>
      <c r="F1183" t="s">
        <v>14</v>
      </c>
      <c r="G1183" t="s">
        <v>2278</v>
      </c>
      <c r="H1183" s="8">
        <v>4175.46</v>
      </c>
      <c r="I1183" s="8">
        <v>228.33</v>
      </c>
      <c r="J1183" s="8">
        <v>0.26</v>
      </c>
      <c r="K1183" t="str">
        <f>IF(SalesData[[#This Row],[Profit]]&gt;0,"Profit","Loss")</f>
        <v>Profit</v>
      </c>
      <c r="L1183" s="8">
        <f>SalesData[[#This Row],[Profit]]/SalesData[[#This Row],[Sales]]</f>
        <v>5.4683795318360137E-2</v>
      </c>
      <c r="M1183" t="str">
        <f>TEXT(SalesData[[#This Row],[Order_Date]],"mmm")</f>
        <v>Oct</v>
      </c>
      <c r="N1183">
        <f>YEAR(SalesData[[#This Row],[Order_Date]])</f>
        <v>2022</v>
      </c>
    </row>
    <row r="1184" spans="1:14" x14ac:dyDescent="0.3">
      <c r="A1184" t="s">
        <v>2279</v>
      </c>
      <c r="B1184" s="1">
        <v>44874</v>
      </c>
      <c r="C1184" t="s">
        <v>569</v>
      </c>
      <c r="D1184" t="s">
        <v>12</v>
      </c>
      <c r="E1184" t="s">
        <v>19</v>
      </c>
      <c r="F1184" t="s">
        <v>20</v>
      </c>
      <c r="G1184" t="s">
        <v>700</v>
      </c>
      <c r="H1184" s="8">
        <v>110.95</v>
      </c>
      <c r="I1184" s="8">
        <v>-17.07</v>
      </c>
      <c r="J1184" s="8">
        <v>0.19</v>
      </c>
      <c r="K1184" t="str">
        <f>IF(SalesData[[#This Row],[Profit]]&gt;0,"Profit","Loss")</f>
        <v>Loss</v>
      </c>
      <c r="L1184" s="8">
        <f>SalesData[[#This Row],[Profit]]/SalesData[[#This Row],[Sales]]</f>
        <v>-0.15385308697611536</v>
      </c>
      <c r="M1184" t="str">
        <f>TEXT(SalesData[[#This Row],[Order_Date]],"mmm")</f>
        <v>Nov</v>
      </c>
      <c r="N1184">
        <f>YEAR(SalesData[[#This Row],[Order_Date]])</f>
        <v>2022</v>
      </c>
    </row>
    <row r="1185" spans="1:14" x14ac:dyDescent="0.3">
      <c r="A1185" t="s">
        <v>2280</v>
      </c>
      <c r="B1185" s="1">
        <v>45033</v>
      </c>
      <c r="C1185" t="s">
        <v>2281</v>
      </c>
      <c r="D1185" t="s">
        <v>40</v>
      </c>
      <c r="E1185" t="s">
        <v>19</v>
      </c>
      <c r="F1185" t="s">
        <v>141</v>
      </c>
      <c r="G1185" t="s">
        <v>1208</v>
      </c>
      <c r="H1185" s="8">
        <v>4256.92</v>
      </c>
      <c r="I1185" s="8">
        <v>-921.48</v>
      </c>
      <c r="J1185" s="8">
        <v>0.02</v>
      </c>
      <c r="K1185" t="str">
        <f>IF(SalesData[[#This Row],[Profit]]&gt;0,"Profit","Loss")</f>
        <v>Loss</v>
      </c>
      <c r="L1185" s="8">
        <f>SalesData[[#This Row],[Profit]]/SalesData[[#This Row],[Sales]]</f>
        <v>-0.21646636535335406</v>
      </c>
      <c r="M1185" t="str">
        <f>TEXT(SalesData[[#This Row],[Order_Date]],"mmm")</f>
        <v>Apr</v>
      </c>
      <c r="N1185">
        <f>YEAR(SalesData[[#This Row],[Order_Date]])</f>
        <v>2023</v>
      </c>
    </row>
    <row r="1186" spans="1:14" x14ac:dyDescent="0.3">
      <c r="A1186" t="s">
        <v>2282</v>
      </c>
      <c r="B1186" s="1">
        <v>44571</v>
      </c>
      <c r="C1186" t="s">
        <v>2283</v>
      </c>
      <c r="D1186" t="s">
        <v>28</v>
      </c>
      <c r="E1186" t="s">
        <v>56</v>
      </c>
      <c r="F1186" t="s">
        <v>57</v>
      </c>
      <c r="G1186" t="s">
        <v>1835</v>
      </c>
      <c r="H1186" s="8">
        <v>1813.64</v>
      </c>
      <c r="I1186" s="8">
        <v>-324.2</v>
      </c>
      <c r="J1186" s="8">
        <v>0.22</v>
      </c>
      <c r="K1186" t="str">
        <f>IF(SalesData[[#This Row],[Profit]]&gt;0,"Profit","Loss")</f>
        <v>Loss</v>
      </c>
      <c r="L1186" s="8">
        <f>SalesData[[#This Row],[Profit]]/SalesData[[#This Row],[Sales]]</f>
        <v>-0.17875653382148607</v>
      </c>
      <c r="M1186" t="str">
        <f>TEXT(SalesData[[#This Row],[Order_Date]],"mmm")</f>
        <v>Jan</v>
      </c>
      <c r="N1186">
        <f>YEAR(SalesData[[#This Row],[Order_Date]])</f>
        <v>2022</v>
      </c>
    </row>
    <row r="1187" spans="1:14" x14ac:dyDescent="0.3">
      <c r="A1187" t="s">
        <v>2284</v>
      </c>
      <c r="B1187" s="1">
        <v>45061</v>
      </c>
      <c r="C1187" t="s">
        <v>2052</v>
      </c>
      <c r="D1187" t="s">
        <v>18</v>
      </c>
      <c r="E1187" t="s">
        <v>56</v>
      </c>
      <c r="F1187" t="s">
        <v>57</v>
      </c>
      <c r="G1187" t="s">
        <v>618</v>
      </c>
      <c r="H1187" s="8">
        <v>2692.57</v>
      </c>
      <c r="I1187" s="8">
        <v>-601.97</v>
      </c>
      <c r="J1187" s="8">
        <v>0.27</v>
      </c>
      <c r="K1187" t="str">
        <f>IF(SalesData[[#This Row],[Profit]]&gt;0,"Profit","Loss")</f>
        <v>Loss</v>
      </c>
      <c r="L1187" s="8">
        <f>SalesData[[#This Row],[Profit]]/SalesData[[#This Row],[Sales]]</f>
        <v>-0.22356707532209005</v>
      </c>
      <c r="M1187" t="str">
        <f>TEXT(SalesData[[#This Row],[Order_Date]],"mmm")</f>
        <v>May</v>
      </c>
      <c r="N1187">
        <f>YEAR(SalesData[[#This Row],[Order_Date]])</f>
        <v>2023</v>
      </c>
    </row>
    <row r="1188" spans="1:14" x14ac:dyDescent="0.3">
      <c r="A1188" t="s">
        <v>2285</v>
      </c>
      <c r="B1188" s="1">
        <v>45000</v>
      </c>
      <c r="C1188" t="s">
        <v>1420</v>
      </c>
      <c r="D1188" t="s">
        <v>40</v>
      </c>
      <c r="E1188" t="s">
        <v>13</v>
      </c>
      <c r="F1188" t="s">
        <v>36</v>
      </c>
      <c r="G1188" t="s">
        <v>2286</v>
      </c>
      <c r="H1188" s="8">
        <v>1207.8699999999999</v>
      </c>
      <c r="I1188" s="8">
        <v>-169.62</v>
      </c>
      <c r="J1188" s="8">
        <v>0.12</v>
      </c>
      <c r="K1188" t="str">
        <f>IF(SalesData[[#This Row],[Profit]]&gt;0,"Profit","Loss")</f>
        <v>Loss</v>
      </c>
      <c r="L1188" s="8">
        <f>SalesData[[#This Row],[Profit]]/SalesData[[#This Row],[Sales]]</f>
        <v>-0.14042901967927013</v>
      </c>
      <c r="M1188" t="str">
        <f>TEXT(SalesData[[#This Row],[Order_Date]],"mmm")</f>
        <v>Mar</v>
      </c>
      <c r="N1188">
        <f>YEAR(SalesData[[#This Row],[Order_Date]])</f>
        <v>2023</v>
      </c>
    </row>
    <row r="1189" spans="1:14" x14ac:dyDescent="0.3">
      <c r="A1189" t="s">
        <v>2287</v>
      </c>
      <c r="B1189" s="1">
        <v>45006</v>
      </c>
      <c r="C1189" t="s">
        <v>1925</v>
      </c>
      <c r="D1189" t="s">
        <v>40</v>
      </c>
      <c r="E1189" t="s">
        <v>19</v>
      </c>
      <c r="F1189" t="s">
        <v>141</v>
      </c>
      <c r="G1189" t="s">
        <v>2041</v>
      </c>
      <c r="H1189" s="8">
        <v>4212.8500000000004</v>
      </c>
      <c r="I1189" s="8">
        <v>-159.07</v>
      </c>
      <c r="J1189" s="8">
        <v>0.05</v>
      </c>
      <c r="K1189" t="str">
        <f>IF(SalesData[[#This Row],[Profit]]&gt;0,"Profit","Loss")</f>
        <v>Loss</v>
      </c>
      <c r="L1189" s="8">
        <f>SalesData[[#This Row],[Profit]]/SalesData[[#This Row],[Sales]]</f>
        <v>-3.7758287145281691E-2</v>
      </c>
      <c r="M1189" t="str">
        <f>TEXT(SalesData[[#This Row],[Order_Date]],"mmm")</f>
        <v>Mar</v>
      </c>
      <c r="N1189">
        <f>YEAR(SalesData[[#This Row],[Order_Date]])</f>
        <v>2023</v>
      </c>
    </row>
    <row r="1190" spans="1:14" x14ac:dyDescent="0.3">
      <c r="A1190" t="s">
        <v>2288</v>
      </c>
      <c r="B1190" s="1">
        <v>44993</v>
      </c>
      <c r="C1190" t="s">
        <v>580</v>
      </c>
      <c r="D1190" t="s">
        <v>40</v>
      </c>
      <c r="E1190" t="s">
        <v>13</v>
      </c>
      <c r="F1190" t="s">
        <v>14</v>
      </c>
      <c r="G1190" t="s">
        <v>2289</v>
      </c>
      <c r="H1190" s="8">
        <v>642.26</v>
      </c>
      <c r="I1190" s="8">
        <v>-134.74</v>
      </c>
      <c r="J1190" s="8">
        <v>0.09</v>
      </c>
      <c r="K1190" t="str">
        <f>IF(SalesData[[#This Row],[Profit]]&gt;0,"Profit","Loss")</f>
        <v>Loss</v>
      </c>
      <c r="L1190" s="8">
        <f>SalesData[[#This Row],[Profit]]/SalesData[[#This Row],[Sales]]</f>
        <v>-0.20979042755270452</v>
      </c>
      <c r="M1190" t="str">
        <f>TEXT(SalesData[[#This Row],[Order_Date]],"mmm")</f>
        <v>Mar</v>
      </c>
      <c r="N1190">
        <f>YEAR(SalesData[[#This Row],[Order_Date]])</f>
        <v>2023</v>
      </c>
    </row>
    <row r="1191" spans="1:14" x14ac:dyDescent="0.3">
      <c r="A1191" t="s">
        <v>2290</v>
      </c>
      <c r="B1191" s="1">
        <v>44834</v>
      </c>
      <c r="C1191" t="s">
        <v>2291</v>
      </c>
      <c r="D1191" t="s">
        <v>28</v>
      </c>
      <c r="E1191" t="s">
        <v>56</v>
      </c>
      <c r="F1191" t="s">
        <v>57</v>
      </c>
      <c r="G1191" t="s">
        <v>897</v>
      </c>
      <c r="H1191" s="8">
        <v>3364.4</v>
      </c>
      <c r="I1191" s="8">
        <v>322.37</v>
      </c>
      <c r="J1191" s="8">
        <v>0.28000000000000003</v>
      </c>
      <c r="K1191" t="str">
        <f>IF(SalesData[[#This Row],[Profit]]&gt;0,"Profit","Loss")</f>
        <v>Profit</v>
      </c>
      <c r="L1191" s="8">
        <f>SalesData[[#This Row],[Profit]]/SalesData[[#This Row],[Sales]]</f>
        <v>9.5817976459398407E-2</v>
      </c>
      <c r="M1191" t="str">
        <f>TEXT(SalesData[[#This Row],[Order_Date]],"mmm")</f>
        <v>Sep</v>
      </c>
      <c r="N1191">
        <f>YEAR(SalesData[[#This Row],[Order_Date]])</f>
        <v>2022</v>
      </c>
    </row>
    <row r="1192" spans="1:14" x14ac:dyDescent="0.3">
      <c r="A1192" t="s">
        <v>2292</v>
      </c>
      <c r="B1192" s="1">
        <v>44971</v>
      </c>
      <c r="C1192" t="s">
        <v>2293</v>
      </c>
      <c r="D1192" t="s">
        <v>28</v>
      </c>
      <c r="E1192" t="s">
        <v>13</v>
      </c>
      <c r="F1192" t="s">
        <v>36</v>
      </c>
      <c r="G1192" t="s">
        <v>2294</v>
      </c>
      <c r="H1192" s="8">
        <v>4019.12</v>
      </c>
      <c r="I1192" s="8">
        <v>-864.38</v>
      </c>
      <c r="J1192" s="8">
        <v>0.21</v>
      </c>
      <c r="K1192" t="str">
        <f>IF(SalesData[[#This Row],[Profit]]&gt;0,"Profit","Loss")</f>
        <v>Loss</v>
      </c>
      <c r="L1192" s="8">
        <f>SalesData[[#This Row],[Profit]]/SalesData[[#This Row],[Sales]]</f>
        <v>-0.21506697983638209</v>
      </c>
      <c r="M1192" t="str">
        <f>TEXT(SalesData[[#This Row],[Order_Date]],"mmm")</f>
        <v>Feb</v>
      </c>
      <c r="N1192">
        <f>YEAR(SalesData[[#This Row],[Order_Date]])</f>
        <v>2023</v>
      </c>
    </row>
    <row r="1193" spans="1:14" x14ac:dyDescent="0.3">
      <c r="A1193" t="s">
        <v>2295</v>
      </c>
      <c r="B1193" s="1">
        <v>44575</v>
      </c>
      <c r="C1193" t="s">
        <v>2148</v>
      </c>
      <c r="D1193" t="s">
        <v>18</v>
      </c>
      <c r="E1193" t="s">
        <v>56</v>
      </c>
      <c r="F1193" t="s">
        <v>57</v>
      </c>
      <c r="G1193" t="s">
        <v>1956</v>
      </c>
      <c r="H1193" s="8">
        <v>3984.29</v>
      </c>
      <c r="I1193" s="8">
        <v>-133.58000000000001</v>
      </c>
      <c r="J1193" s="8">
        <v>0.04</v>
      </c>
      <c r="K1193" t="str">
        <f>IF(SalesData[[#This Row],[Profit]]&gt;0,"Profit","Loss")</f>
        <v>Loss</v>
      </c>
      <c r="L1193" s="8">
        <f>SalesData[[#This Row],[Profit]]/SalesData[[#This Row],[Sales]]</f>
        <v>-3.3526676020068827E-2</v>
      </c>
      <c r="M1193" t="str">
        <f>TEXT(SalesData[[#This Row],[Order_Date]],"mmm")</f>
        <v>Jan</v>
      </c>
      <c r="N1193">
        <f>YEAR(SalesData[[#This Row],[Order_Date]])</f>
        <v>2022</v>
      </c>
    </row>
    <row r="1194" spans="1:14" x14ac:dyDescent="0.3">
      <c r="A1194" t="s">
        <v>2296</v>
      </c>
      <c r="B1194" s="1">
        <v>45053</v>
      </c>
      <c r="C1194" t="s">
        <v>487</v>
      </c>
      <c r="D1194" t="s">
        <v>40</v>
      </c>
      <c r="E1194" t="s">
        <v>13</v>
      </c>
      <c r="F1194" t="s">
        <v>36</v>
      </c>
      <c r="G1194" t="s">
        <v>2141</v>
      </c>
      <c r="H1194" s="8">
        <v>2205.36</v>
      </c>
      <c r="I1194" s="8">
        <v>-827.41</v>
      </c>
      <c r="J1194" s="8">
        <v>0.18</v>
      </c>
      <c r="K1194" t="str">
        <f>IF(SalesData[[#This Row],[Profit]]&gt;0,"Profit","Loss")</f>
        <v>Loss</v>
      </c>
      <c r="L1194" s="8">
        <f>SalesData[[#This Row],[Profit]]/SalesData[[#This Row],[Sales]]</f>
        <v>-0.37518137628323717</v>
      </c>
      <c r="M1194" t="str">
        <f>TEXT(SalesData[[#This Row],[Order_Date]],"mmm")</f>
        <v>May</v>
      </c>
      <c r="N1194">
        <f>YEAR(SalesData[[#This Row],[Order_Date]])</f>
        <v>2023</v>
      </c>
    </row>
    <row r="1195" spans="1:14" x14ac:dyDescent="0.3">
      <c r="A1195" t="s">
        <v>2297</v>
      </c>
      <c r="B1195" s="1">
        <v>44817</v>
      </c>
      <c r="C1195" t="s">
        <v>855</v>
      </c>
      <c r="D1195" t="s">
        <v>12</v>
      </c>
      <c r="E1195" t="s">
        <v>56</v>
      </c>
      <c r="F1195" t="s">
        <v>95</v>
      </c>
      <c r="G1195" t="s">
        <v>99</v>
      </c>
      <c r="H1195" s="8">
        <v>1313.96</v>
      </c>
      <c r="I1195" s="8">
        <v>74.56</v>
      </c>
      <c r="J1195" s="8">
        <v>0.05</v>
      </c>
      <c r="K1195" t="str">
        <f>IF(SalesData[[#This Row],[Profit]]&gt;0,"Profit","Loss")</f>
        <v>Profit</v>
      </c>
      <c r="L1195" s="8">
        <f>SalesData[[#This Row],[Profit]]/SalesData[[#This Row],[Sales]]</f>
        <v>5.6744497549392675E-2</v>
      </c>
      <c r="M1195" t="str">
        <f>TEXT(SalesData[[#This Row],[Order_Date]],"mmm")</f>
        <v>Sep</v>
      </c>
      <c r="N1195">
        <f>YEAR(SalesData[[#This Row],[Order_Date]])</f>
        <v>2022</v>
      </c>
    </row>
    <row r="1196" spans="1:14" x14ac:dyDescent="0.3">
      <c r="A1196" t="s">
        <v>2298</v>
      </c>
      <c r="B1196" s="1">
        <v>45285</v>
      </c>
      <c r="C1196" t="s">
        <v>278</v>
      </c>
      <c r="D1196" t="s">
        <v>18</v>
      </c>
      <c r="E1196" t="s">
        <v>19</v>
      </c>
      <c r="F1196" t="s">
        <v>141</v>
      </c>
      <c r="G1196" t="s">
        <v>1109</v>
      </c>
      <c r="H1196" s="8">
        <v>1312.04</v>
      </c>
      <c r="I1196" s="8">
        <v>-434.22</v>
      </c>
      <c r="J1196" s="8">
        <v>0.25</v>
      </c>
      <c r="K1196" t="str">
        <f>IF(SalesData[[#This Row],[Profit]]&gt;0,"Profit","Loss")</f>
        <v>Loss</v>
      </c>
      <c r="L1196" s="8">
        <f>SalesData[[#This Row],[Profit]]/SalesData[[#This Row],[Sales]]</f>
        <v>-0.33095027590622239</v>
      </c>
      <c r="M1196" t="str">
        <f>TEXT(SalesData[[#This Row],[Order_Date]],"mmm")</f>
        <v>Dec</v>
      </c>
      <c r="N1196">
        <f>YEAR(SalesData[[#This Row],[Order_Date]])</f>
        <v>2023</v>
      </c>
    </row>
    <row r="1197" spans="1:14" x14ac:dyDescent="0.3">
      <c r="A1197" t="s">
        <v>2299</v>
      </c>
      <c r="B1197" s="1">
        <v>44601</v>
      </c>
      <c r="C1197" t="s">
        <v>2059</v>
      </c>
      <c r="D1197" t="s">
        <v>18</v>
      </c>
      <c r="E1197" t="s">
        <v>13</v>
      </c>
      <c r="F1197" t="s">
        <v>24</v>
      </c>
      <c r="G1197" t="s">
        <v>83</v>
      </c>
      <c r="H1197" s="8">
        <v>3208.94</v>
      </c>
      <c r="I1197" s="8">
        <v>-611.70000000000005</v>
      </c>
      <c r="J1197" s="8">
        <v>7.0000000000000007E-2</v>
      </c>
      <c r="K1197" t="str">
        <f>IF(SalesData[[#This Row],[Profit]]&gt;0,"Profit","Loss")</f>
        <v>Loss</v>
      </c>
      <c r="L1197" s="8">
        <f>SalesData[[#This Row],[Profit]]/SalesData[[#This Row],[Sales]]</f>
        <v>-0.19062369505194862</v>
      </c>
      <c r="M1197" t="str">
        <f>TEXT(SalesData[[#This Row],[Order_Date]],"mmm")</f>
        <v>Feb</v>
      </c>
      <c r="N1197">
        <f>YEAR(SalesData[[#This Row],[Order_Date]])</f>
        <v>2022</v>
      </c>
    </row>
    <row r="1198" spans="1:14" x14ac:dyDescent="0.3">
      <c r="A1198" t="s">
        <v>2300</v>
      </c>
      <c r="B1198" s="1">
        <v>44951</v>
      </c>
      <c r="C1198" t="s">
        <v>2301</v>
      </c>
      <c r="D1198" t="s">
        <v>40</v>
      </c>
      <c r="E1198" t="s">
        <v>56</v>
      </c>
      <c r="F1198" t="s">
        <v>95</v>
      </c>
      <c r="G1198" t="s">
        <v>306</v>
      </c>
      <c r="H1198" s="8">
        <v>186.54</v>
      </c>
      <c r="I1198" s="8">
        <v>48.24</v>
      </c>
      <c r="J1198" s="8">
        <v>0.06</v>
      </c>
      <c r="K1198" t="str">
        <f>IF(SalesData[[#This Row],[Profit]]&gt;0,"Profit","Loss")</f>
        <v>Profit</v>
      </c>
      <c r="L1198" s="8">
        <f>SalesData[[#This Row],[Profit]]/SalesData[[#This Row],[Sales]]</f>
        <v>0.25860405275008042</v>
      </c>
      <c r="M1198" t="str">
        <f>TEXT(SalesData[[#This Row],[Order_Date]],"mmm")</f>
        <v>Jan</v>
      </c>
      <c r="N1198">
        <f>YEAR(SalesData[[#This Row],[Order_Date]])</f>
        <v>2023</v>
      </c>
    </row>
    <row r="1199" spans="1:14" x14ac:dyDescent="0.3">
      <c r="A1199" t="s">
        <v>2302</v>
      </c>
      <c r="B1199" s="1">
        <v>44999</v>
      </c>
      <c r="C1199" t="s">
        <v>2303</v>
      </c>
      <c r="D1199" t="s">
        <v>12</v>
      </c>
      <c r="E1199" t="s">
        <v>13</v>
      </c>
      <c r="F1199" t="s">
        <v>14</v>
      </c>
      <c r="G1199" t="s">
        <v>184</v>
      </c>
      <c r="H1199" s="8">
        <v>1186.7</v>
      </c>
      <c r="I1199" s="8">
        <v>-347.93</v>
      </c>
      <c r="J1199" s="8">
        <v>0.13</v>
      </c>
      <c r="K1199" t="str">
        <f>IF(SalesData[[#This Row],[Profit]]&gt;0,"Profit","Loss")</f>
        <v>Loss</v>
      </c>
      <c r="L1199" s="8">
        <f>SalesData[[#This Row],[Profit]]/SalesData[[#This Row],[Sales]]</f>
        <v>-0.29319120249431196</v>
      </c>
      <c r="M1199" t="str">
        <f>TEXT(SalesData[[#This Row],[Order_Date]],"mmm")</f>
        <v>Mar</v>
      </c>
      <c r="N1199">
        <f>YEAR(SalesData[[#This Row],[Order_Date]])</f>
        <v>2023</v>
      </c>
    </row>
    <row r="1200" spans="1:14" x14ac:dyDescent="0.3">
      <c r="A1200" t="s">
        <v>2304</v>
      </c>
      <c r="B1200" s="1">
        <v>44814</v>
      </c>
      <c r="C1200" t="s">
        <v>1788</v>
      </c>
      <c r="D1200" t="s">
        <v>12</v>
      </c>
      <c r="E1200" t="s">
        <v>56</v>
      </c>
      <c r="F1200" t="s">
        <v>95</v>
      </c>
      <c r="G1200" t="s">
        <v>1371</v>
      </c>
      <c r="H1200" s="8">
        <v>1881.52</v>
      </c>
      <c r="I1200" s="8">
        <v>-99.81</v>
      </c>
      <c r="J1200" s="8">
        <v>0.28000000000000003</v>
      </c>
      <c r="K1200" t="str">
        <f>IF(SalesData[[#This Row],[Profit]]&gt;0,"Profit","Loss")</f>
        <v>Loss</v>
      </c>
      <c r="L1200" s="8">
        <f>SalesData[[#This Row],[Profit]]/SalesData[[#This Row],[Sales]]</f>
        <v>-5.3047536034695357E-2</v>
      </c>
      <c r="M1200" t="str">
        <f>TEXT(SalesData[[#This Row],[Order_Date]],"mmm")</f>
        <v>Sep</v>
      </c>
      <c r="N1200">
        <f>YEAR(SalesData[[#This Row],[Order_Date]])</f>
        <v>2022</v>
      </c>
    </row>
    <row r="1201" spans="1:14" x14ac:dyDescent="0.3">
      <c r="A1201" t="s">
        <v>2305</v>
      </c>
      <c r="B1201" s="1">
        <v>45045</v>
      </c>
      <c r="C1201" t="s">
        <v>2306</v>
      </c>
      <c r="D1201" t="s">
        <v>12</v>
      </c>
      <c r="E1201" t="s">
        <v>56</v>
      </c>
      <c r="F1201" t="s">
        <v>57</v>
      </c>
      <c r="G1201" t="s">
        <v>444</v>
      </c>
      <c r="H1201" s="8">
        <v>355.44</v>
      </c>
      <c r="I1201" s="8">
        <v>-104.08</v>
      </c>
      <c r="J1201" s="8">
        <v>0.22</v>
      </c>
      <c r="K1201" t="str">
        <f>IF(SalesData[[#This Row],[Profit]]&gt;0,"Profit","Loss")</f>
        <v>Loss</v>
      </c>
      <c r="L1201" s="8">
        <f>SalesData[[#This Row],[Profit]]/SalesData[[#This Row],[Sales]]</f>
        <v>-0.29282016655413007</v>
      </c>
      <c r="M1201" t="str">
        <f>TEXT(SalesData[[#This Row],[Order_Date]],"mmm")</f>
        <v>Apr</v>
      </c>
      <c r="N1201">
        <f>YEAR(SalesData[[#This Row],[Order_Date]])</f>
        <v>2023</v>
      </c>
    </row>
    <row r="1202" spans="1:14" x14ac:dyDescent="0.3">
      <c r="A1202" t="s">
        <v>2307</v>
      </c>
      <c r="B1202" s="1">
        <v>44661</v>
      </c>
      <c r="C1202" t="s">
        <v>1976</v>
      </c>
      <c r="D1202" t="s">
        <v>12</v>
      </c>
      <c r="E1202" t="s">
        <v>56</v>
      </c>
      <c r="F1202" t="s">
        <v>95</v>
      </c>
      <c r="G1202" t="s">
        <v>1251</v>
      </c>
      <c r="H1202" s="8">
        <v>4746.8100000000004</v>
      </c>
      <c r="I1202" s="8">
        <v>-604.67999999999995</v>
      </c>
      <c r="J1202" s="8">
        <v>0.11</v>
      </c>
      <c r="K1202" t="str">
        <f>IF(SalesData[[#This Row],[Profit]]&gt;0,"Profit","Loss")</f>
        <v>Loss</v>
      </c>
      <c r="L1202" s="8">
        <f>SalesData[[#This Row],[Profit]]/SalesData[[#This Row],[Sales]]</f>
        <v>-0.12738660279219094</v>
      </c>
      <c r="M1202" t="str">
        <f>TEXT(SalesData[[#This Row],[Order_Date]],"mmm")</f>
        <v>Apr</v>
      </c>
      <c r="N1202">
        <f>YEAR(SalesData[[#This Row],[Order_Date]])</f>
        <v>2022</v>
      </c>
    </row>
    <row r="1203" spans="1:14" x14ac:dyDescent="0.3">
      <c r="A1203" t="s">
        <v>2308</v>
      </c>
      <c r="B1203" s="1">
        <v>45165</v>
      </c>
      <c r="C1203" t="s">
        <v>63</v>
      </c>
      <c r="D1203" t="s">
        <v>40</v>
      </c>
      <c r="E1203" t="s">
        <v>13</v>
      </c>
      <c r="F1203" t="s">
        <v>14</v>
      </c>
      <c r="G1203" t="s">
        <v>1056</v>
      </c>
      <c r="H1203" s="8">
        <v>1722.94</v>
      </c>
      <c r="I1203" s="8">
        <v>-350.05</v>
      </c>
      <c r="J1203" s="8">
        <v>0.22</v>
      </c>
      <c r="K1203" t="str">
        <f>IF(SalesData[[#This Row],[Profit]]&gt;0,"Profit","Loss")</f>
        <v>Loss</v>
      </c>
      <c r="L1203" s="8">
        <f>SalesData[[#This Row],[Profit]]/SalesData[[#This Row],[Sales]]</f>
        <v>-0.20317016262899462</v>
      </c>
      <c r="M1203" t="str">
        <f>TEXT(SalesData[[#This Row],[Order_Date]],"mmm")</f>
        <v>Aug</v>
      </c>
      <c r="N1203">
        <f>YEAR(SalesData[[#This Row],[Order_Date]])</f>
        <v>2023</v>
      </c>
    </row>
    <row r="1204" spans="1:14" x14ac:dyDescent="0.3">
      <c r="A1204" t="s">
        <v>2309</v>
      </c>
      <c r="B1204" s="1">
        <v>44695</v>
      </c>
      <c r="C1204" t="s">
        <v>666</v>
      </c>
      <c r="D1204" t="s">
        <v>12</v>
      </c>
      <c r="E1204" t="s">
        <v>13</v>
      </c>
      <c r="F1204" t="s">
        <v>36</v>
      </c>
      <c r="G1204" t="s">
        <v>151</v>
      </c>
      <c r="H1204" s="8">
        <v>1129.1600000000001</v>
      </c>
      <c r="I1204" s="8">
        <v>239.74</v>
      </c>
      <c r="J1204" s="8">
        <v>0.12</v>
      </c>
      <c r="K1204" t="str">
        <f>IF(SalesData[[#This Row],[Profit]]&gt;0,"Profit","Loss")</f>
        <v>Profit</v>
      </c>
      <c r="L1204" s="8">
        <f>SalesData[[#This Row],[Profit]]/SalesData[[#This Row],[Sales]]</f>
        <v>0.21231712069148748</v>
      </c>
      <c r="M1204" t="str">
        <f>TEXT(SalesData[[#This Row],[Order_Date]],"mmm")</f>
        <v>May</v>
      </c>
      <c r="N1204">
        <f>YEAR(SalesData[[#This Row],[Order_Date]])</f>
        <v>2022</v>
      </c>
    </row>
    <row r="1205" spans="1:14" x14ac:dyDescent="0.3">
      <c r="A1205" t="s">
        <v>2310</v>
      </c>
      <c r="B1205" s="1">
        <v>44663</v>
      </c>
      <c r="C1205" t="s">
        <v>1000</v>
      </c>
      <c r="D1205" t="s">
        <v>40</v>
      </c>
      <c r="E1205" t="s">
        <v>13</v>
      </c>
      <c r="F1205" t="s">
        <v>24</v>
      </c>
      <c r="G1205" t="s">
        <v>1170</v>
      </c>
      <c r="H1205" s="8">
        <v>4105.3</v>
      </c>
      <c r="I1205" s="8">
        <v>30.63</v>
      </c>
      <c r="J1205" s="8">
        <v>0.06</v>
      </c>
      <c r="K1205" t="str">
        <f>IF(SalesData[[#This Row],[Profit]]&gt;0,"Profit","Loss")</f>
        <v>Profit</v>
      </c>
      <c r="L1205" s="8">
        <f>SalesData[[#This Row],[Profit]]/SalesData[[#This Row],[Sales]]</f>
        <v>7.4610868876817766E-3</v>
      </c>
      <c r="M1205" t="str">
        <f>TEXT(SalesData[[#This Row],[Order_Date]],"mmm")</f>
        <v>Apr</v>
      </c>
      <c r="N1205">
        <f>YEAR(SalesData[[#This Row],[Order_Date]])</f>
        <v>2022</v>
      </c>
    </row>
    <row r="1206" spans="1:14" x14ac:dyDescent="0.3">
      <c r="A1206" t="s">
        <v>2311</v>
      </c>
      <c r="B1206" s="1">
        <v>44606</v>
      </c>
      <c r="C1206" t="s">
        <v>527</v>
      </c>
      <c r="D1206" t="s">
        <v>18</v>
      </c>
      <c r="E1206" t="s">
        <v>13</v>
      </c>
      <c r="F1206" t="s">
        <v>36</v>
      </c>
      <c r="G1206" t="s">
        <v>1904</v>
      </c>
      <c r="H1206" s="8">
        <v>4949.26</v>
      </c>
      <c r="I1206" s="8">
        <v>853.56</v>
      </c>
      <c r="J1206" s="8">
        <v>0.06</v>
      </c>
      <c r="K1206" t="str">
        <f>IF(SalesData[[#This Row],[Profit]]&gt;0,"Profit","Loss")</f>
        <v>Profit</v>
      </c>
      <c r="L1206" s="8">
        <f>SalesData[[#This Row],[Profit]]/SalesData[[#This Row],[Sales]]</f>
        <v>0.17246214585614816</v>
      </c>
      <c r="M1206" t="str">
        <f>TEXT(SalesData[[#This Row],[Order_Date]],"mmm")</f>
        <v>Feb</v>
      </c>
      <c r="N1206">
        <f>YEAR(SalesData[[#This Row],[Order_Date]])</f>
        <v>2022</v>
      </c>
    </row>
    <row r="1207" spans="1:14" x14ac:dyDescent="0.3">
      <c r="A1207" t="s">
        <v>2312</v>
      </c>
      <c r="B1207" s="1">
        <v>45135</v>
      </c>
      <c r="C1207" t="s">
        <v>247</v>
      </c>
      <c r="D1207" t="s">
        <v>40</v>
      </c>
      <c r="E1207" t="s">
        <v>13</v>
      </c>
      <c r="F1207" t="s">
        <v>24</v>
      </c>
      <c r="G1207" t="s">
        <v>744</v>
      </c>
      <c r="H1207" s="8">
        <v>1337.37</v>
      </c>
      <c r="I1207" s="8">
        <v>69.63</v>
      </c>
      <c r="J1207" s="8">
        <v>0.26</v>
      </c>
      <c r="K1207" t="str">
        <f>IF(SalesData[[#This Row],[Profit]]&gt;0,"Profit","Loss")</f>
        <v>Profit</v>
      </c>
      <c r="L1207" s="8">
        <f>SalesData[[#This Row],[Profit]]/SalesData[[#This Row],[Sales]]</f>
        <v>5.2064873595190561E-2</v>
      </c>
      <c r="M1207" t="str">
        <f>TEXT(SalesData[[#This Row],[Order_Date]],"mmm")</f>
        <v>Jul</v>
      </c>
      <c r="N1207">
        <f>YEAR(SalesData[[#This Row],[Order_Date]])</f>
        <v>2023</v>
      </c>
    </row>
    <row r="1208" spans="1:14" x14ac:dyDescent="0.3">
      <c r="A1208" t="s">
        <v>2313</v>
      </c>
      <c r="B1208" s="1">
        <v>45098</v>
      </c>
      <c r="C1208" t="s">
        <v>2314</v>
      </c>
      <c r="D1208" t="s">
        <v>12</v>
      </c>
      <c r="E1208" t="s">
        <v>13</v>
      </c>
      <c r="F1208" t="s">
        <v>24</v>
      </c>
      <c r="G1208" t="s">
        <v>1317</v>
      </c>
      <c r="H1208" s="8">
        <v>675.4</v>
      </c>
      <c r="I1208" s="8">
        <v>-27.22</v>
      </c>
      <c r="J1208" s="8">
        <v>0.13</v>
      </c>
      <c r="K1208" t="str">
        <f>IF(SalesData[[#This Row],[Profit]]&gt;0,"Profit","Loss")</f>
        <v>Loss</v>
      </c>
      <c r="L1208" s="8">
        <f>SalesData[[#This Row],[Profit]]/SalesData[[#This Row],[Sales]]</f>
        <v>-4.0302043233639326E-2</v>
      </c>
      <c r="M1208" t="str">
        <f>TEXT(SalesData[[#This Row],[Order_Date]],"mmm")</f>
        <v>Jun</v>
      </c>
      <c r="N1208">
        <f>YEAR(SalesData[[#This Row],[Order_Date]])</f>
        <v>2023</v>
      </c>
    </row>
    <row r="1209" spans="1:14" x14ac:dyDescent="0.3">
      <c r="A1209" t="s">
        <v>2315</v>
      </c>
      <c r="B1209" s="1">
        <v>45141</v>
      </c>
      <c r="C1209" t="s">
        <v>1465</v>
      </c>
      <c r="D1209" t="s">
        <v>18</v>
      </c>
      <c r="E1209" t="s">
        <v>13</v>
      </c>
      <c r="F1209" t="s">
        <v>36</v>
      </c>
      <c r="G1209" t="s">
        <v>1695</v>
      </c>
      <c r="H1209" s="8">
        <v>3513.86</v>
      </c>
      <c r="I1209" s="8">
        <v>-747.51</v>
      </c>
      <c r="J1209" s="8">
        <v>0.04</v>
      </c>
      <c r="K1209" t="str">
        <f>IF(SalesData[[#This Row],[Profit]]&gt;0,"Profit","Loss")</f>
        <v>Loss</v>
      </c>
      <c r="L1209" s="8">
        <f>SalesData[[#This Row],[Profit]]/SalesData[[#This Row],[Sales]]</f>
        <v>-0.21273186751891082</v>
      </c>
      <c r="M1209" t="str">
        <f>TEXT(SalesData[[#This Row],[Order_Date]],"mmm")</f>
        <v>Aug</v>
      </c>
      <c r="N1209">
        <f>YEAR(SalesData[[#This Row],[Order_Date]])</f>
        <v>2023</v>
      </c>
    </row>
    <row r="1210" spans="1:14" x14ac:dyDescent="0.3">
      <c r="A1210" t="s">
        <v>2316</v>
      </c>
      <c r="B1210" s="1">
        <v>44731</v>
      </c>
      <c r="C1210" t="s">
        <v>1691</v>
      </c>
      <c r="D1210" t="s">
        <v>28</v>
      </c>
      <c r="E1210" t="s">
        <v>19</v>
      </c>
      <c r="F1210" t="s">
        <v>29</v>
      </c>
      <c r="G1210" t="s">
        <v>1741</v>
      </c>
      <c r="H1210" s="8">
        <v>3455</v>
      </c>
      <c r="I1210" s="8">
        <v>424.7</v>
      </c>
      <c r="J1210" s="8">
        <v>0.26</v>
      </c>
      <c r="K1210" t="str">
        <f>IF(SalesData[[#This Row],[Profit]]&gt;0,"Profit","Loss")</f>
        <v>Profit</v>
      </c>
      <c r="L1210" s="8">
        <f>SalesData[[#This Row],[Profit]]/SalesData[[#This Row],[Sales]]</f>
        <v>0.12292329956584659</v>
      </c>
      <c r="M1210" t="str">
        <f>TEXT(SalesData[[#This Row],[Order_Date]],"mmm")</f>
        <v>Jun</v>
      </c>
      <c r="N1210">
        <f>YEAR(SalesData[[#This Row],[Order_Date]])</f>
        <v>2022</v>
      </c>
    </row>
    <row r="1211" spans="1:14" x14ac:dyDescent="0.3">
      <c r="A1211" t="s">
        <v>2317</v>
      </c>
      <c r="B1211" s="1">
        <v>45147</v>
      </c>
      <c r="C1211" t="s">
        <v>2318</v>
      </c>
      <c r="D1211" t="s">
        <v>12</v>
      </c>
      <c r="E1211" t="s">
        <v>19</v>
      </c>
      <c r="F1211" t="s">
        <v>29</v>
      </c>
      <c r="G1211" t="s">
        <v>328</v>
      </c>
      <c r="H1211" s="8">
        <v>3075.37</v>
      </c>
      <c r="I1211" s="8">
        <v>-792.95</v>
      </c>
      <c r="J1211" s="8">
        <v>0.06</v>
      </c>
      <c r="K1211" t="str">
        <f>IF(SalesData[[#This Row],[Profit]]&gt;0,"Profit","Loss")</f>
        <v>Loss</v>
      </c>
      <c r="L1211" s="8">
        <f>SalesData[[#This Row],[Profit]]/SalesData[[#This Row],[Sales]]</f>
        <v>-0.25783889418183831</v>
      </c>
      <c r="M1211" t="str">
        <f>TEXT(SalesData[[#This Row],[Order_Date]],"mmm")</f>
        <v>Aug</v>
      </c>
      <c r="N1211">
        <f>YEAR(SalesData[[#This Row],[Order_Date]])</f>
        <v>2023</v>
      </c>
    </row>
    <row r="1212" spans="1:14" x14ac:dyDescent="0.3">
      <c r="A1212" t="s">
        <v>2319</v>
      </c>
      <c r="B1212" s="1">
        <v>44787</v>
      </c>
      <c r="C1212" t="s">
        <v>2320</v>
      </c>
      <c r="D1212" t="s">
        <v>40</v>
      </c>
      <c r="E1212" t="s">
        <v>13</v>
      </c>
      <c r="F1212" t="s">
        <v>36</v>
      </c>
      <c r="G1212" t="s">
        <v>2321</v>
      </c>
      <c r="H1212" s="8">
        <v>2568.71</v>
      </c>
      <c r="I1212" s="8">
        <v>-679.94</v>
      </c>
      <c r="J1212" s="8">
        <v>0.22</v>
      </c>
      <c r="K1212" t="str">
        <f>IF(SalesData[[#This Row],[Profit]]&gt;0,"Profit","Loss")</f>
        <v>Loss</v>
      </c>
      <c r="L1212" s="8">
        <f>SalesData[[#This Row],[Profit]]/SalesData[[#This Row],[Sales]]</f>
        <v>-0.26470095884704775</v>
      </c>
      <c r="M1212" t="str">
        <f>TEXT(SalesData[[#This Row],[Order_Date]],"mmm")</f>
        <v>Aug</v>
      </c>
      <c r="N1212">
        <f>YEAR(SalesData[[#This Row],[Order_Date]])</f>
        <v>2022</v>
      </c>
    </row>
    <row r="1213" spans="1:14" x14ac:dyDescent="0.3">
      <c r="A1213" t="s">
        <v>2322</v>
      </c>
      <c r="B1213" s="1">
        <v>45216</v>
      </c>
      <c r="C1213" t="s">
        <v>198</v>
      </c>
      <c r="D1213" t="s">
        <v>40</v>
      </c>
      <c r="E1213" t="s">
        <v>56</v>
      </c>
      <c r="F1213" t="s">
        <v>57</v>
      </c>
      <c r="G1213" t="s">
        <v>1535</v>
      </c>
      <c r="H1213" s="8">
        <v>1197.25</v>
      </c>
      <c r="I1213" s="8">
        <v>-221.36</v>
      </c>
      <c r="J1213" s="8">
        <v>0.16</v>
      </c>
      <c r="K1213" t="str">
        <f>IF(SalesData[[#This Row],[Profit]]&gt;0,"Profit","Loss")</f>
        <v>Loss</v>
      </c>
      <c r="L1213" s="8">
        <f>SalesData[[#This Row],[Profit]]/SalesData[[#This Row],[Sales]]</f>
        <v>-0.18489037377323034</v>
      </c>
      <c r="M1213" t="str">
        <f>TEXT(SalesData[[#This Row],[Order_Date]],"mmm")</f>
        <v>Oct</v>
      </c>
      <c r="N1213">
        <f>YEAR(SalesData[[#This Row],[Order_Date]])</f>
        <v>2023</v>
      </c>
    </row>
    <row r="1214" spans="1:14" x14ac:dyDescent="0.3">
      <c r="A1214" t="s">
        <v>2323</v>
      </c>
      <c r="B1214" s="1">
        <v>44777</v>
      </c>
      <c r="C1214" t="s">
        <v>2324</v>
      </c>
      <c r="D1214" t="s">
        <v>12</v>
      </c>
      <c r="E1214" t="s">
        <v>56</v>
      </c>
      <c r="F1214" t="s">
        <v>95</v>
      </c>
      <c r="G1214" t="s">
        <v>561</v>
      </c>
      <c r="H1214" s="8">
        <v>4379.58</v>
      </c>
      <c r="I1214" s="8">
        <v>1611.75</v>
      </c>
      <c r="J1214" s="8">
        <v>0.02</v>
      </c>
      <c r="K1214" t="str">
        <f>IF(SalesData[[#This Row],[Profit]]&gt;0,"Profit","Loss")</f>
        <v>Profit</v>
      </c>
      <c r="L1214" s="8">
        <f>SalesData[[#This Row],[Profit]]/SalesData[[#This Row],[Sales]]</f>
        <v>0.36801474113956134</v>
      </c>
      <c r="M1214" t="str">
        <f>TEXT(SalesData[[#This Row],[Order_Date]],"mmm")</f>
        <v>Aug</v>
      </c>
      <c r="N1214">
        <f>YEAR(SalesData[[#This Row],[Order_Date]])</f>
        <v>2022</v>
      </c>
    </row>
    <row r="1215" spans="1:14" x14ac:dyDescent="0.3">
      <c r="A1215" t="s">
        <v>2325</v>
      </c>
      <c r="B1215" s="1">
        <v>45284</v>
      </c>
      <c r="C1215" t="s">
        <v>906</v>
      </c>
      <c r="D1215" t="s">
        <v>40</v>
      </c>
      <c r="E1215" t="s">
        <v>13</v>
      </c>
      <c r="F1215" t="s">
        <v>36</v>
      </c>
      <c r="G1215" t="s">
        <v>534</v>
      </c>
      <c r="H1215" s="8">
        <v>3200.15</v>
      </c>
      <c r="I1215" s="8">
        <v>-944.89</v>
      </c>
      <c r="J1215" s="8">
        <v>0.28999999999999998</v>
      </c>
      <c r="K1215" t="str">
        <f>IF(SalesData[[#This Row],[Profit]]&gt;0,"Profit","Loss")</f>
        <v>Loss</v>
      </c>
      <c r="L1215" s="8">
        <f>SalesData[[#This Row],[Profit]]/SalesData[[#This Row],[Sales]]</f>
        <v>-0.2952642844866647</v>
      </c>
      <c r="M1215" t="str">
        <f>TEXT(SalesData[[#This Row],[Order_Date]],"mmm")</f>
        <v>Dec</v>
      </c>
      <c r="N1215">
        <f>YEAR(SalesData[[#This Row],[Order_Date]])</f>
        <v>2023</v>
      </c>
    </row>
    <row r="1216" spans="1:14" x14ac:dyDescent="0.3">
      <c r="A1216" t="s">
        <v>2326</v>
      </c>
      <c r="B1216" s="1">
        <v>45202</v>
      </c>
      <c r="C1216" t="s">
        <v>1349</v>
      </c>
      <c r="D1216" t="s">
        <v>40</v>
      </c>
      <c r="E1216" t="s">
        <v>56</v>
      </c>
      <c r="F1216" t="s">
        <v>95</v>
      </c>
      <c r="G1216" t="s">
        <v>476</v>
      </c>
      <c r="H1216" s="8">
        <v>4501.8500000000004</v>
      </c>
      <c r="I1216" s="8">
        <v>1355.76</v>
      </c>
      <c r="J1216" s="8">
        <v>0.09</v>
      </c>
      <c r="K1216" t="str">
        <f>IF(SalesData[[#This Row],[Profit]]&gt;0,"Profit","Loss")</f>
        <v>Profit</v>
      </c>
      <c r="L1216" s="8">
        <f>SalesData[[#This Row],[Profit]]/SalesData[[#This Row],[Sales]]</f>
        <v>0.30115619134355875</v>
      </c>
      <c r="M1216" t="str">
        <f>TEXT(SalesData[[#This Row],[Order_Date]],"mmm")</f>
        <v>Oct</v>
      </c>
      <c r="N1216">
        <f>YEAR(SalesData[[#This Row],[Order_Date]])</f>
        <v>2023</v>
      </c>
    </row>
    <row r="1217" spans="1:14" x14ac:dyDescent="0.3">
      <c r="A1217" t="s">
        <v>2327</v>
      </c>
      <c r="B1217" s="1">
        <v>45159</v>
      </c>
      <c r="C1217" t="s">
        <v>250</v>
      </c>
      <c r="D1217" t="s">
        <v>28</v>
      </c>
      <c r="E1217" t="s">
        <v>13</v>
      </c>
      <c r="F1217" t="s">
        <v>36</v>
      </c>
      <c r="G1217" t="s">
        <v>1140</v>
      </c>
      <c r="H1217" s="8">
        <v>966</v>
      </c>
      <c r="I1217" s="8">
        <v>-161.87</v>
      </c>
      <c r="J1217" s="8">
        <v>0.28999999999999998</v>
      </c>
      <c r="K1217" t="str">
        <f>IF(SalesData[[#This Row],[Profit]]&gt;0,"Profit","Loss")</f>
        <v>Loss</v>
      </c>
      <c r="L1217" s="8">
        <f>SalesData[[#This Row],[Profit]]/SalesData[[#This Row],[Sales]]</f>
        <v>-0.16756728778467908</v>
      </c>
      <c r="M1217" t="str">
        <f>TEXT(SalesData[[#This Row],[Order_Date]],"mmm")</f>
        <v>Aug</v>
      </c>
      <c r="N1217">
        <f>YEAR(SalesData[[#This Row],[Order_Date]])</f>
        <v>2023</v>
      </c>
    </row>
    <row r="1218" spans="1:14" x14ac:dyDescent="0.3">
      <c r="A1218" t="s">
        <v>2328</v>
      </c>
      <c r="B1218" s="1">
        <v>45014</v>
      </c>
      <c r="C1218" t="s">
        <v>2329</v>
      </c>
      <c r="D1218" t="s">
        <v>40</v>
      </c>
      <c r="E1218" t="s">
        <v>13</v>
      </c>
      <c r="F1218" t="s">
        <v>36</v>
      </c>
      <c r="G1218" t="s">
        <v>2033</v>
      </c>
      <c r="H1218" s="8">
        <v>4363.13</v>
      </c>
      <c r="I1218" s="8">
        <v>-259.49</v>
      </c>
      <c r="J1218" s="8">
        <v>0.19</v>
      </c>
      <c r="K1218" t="str">
        <f>IF(SalesData[[#This Row],[Profit]]&gt;0,"Profit","Loss")</f>
        <v>Loss</v>
      </c>
      <c r="L1218" s="8">
        <f>SalesData[[#This Row],[Profit]]/SalesData[[#This Row],[Sales]]</f>
        <v>-5.9473359721117641E-2</v>
      </c>
      <c r="M1218" t="str">
        <f>TEXT(SalesData[[#This Row],[Order_Date]],"mmm")</f>
        <v>Mar</v>
      </c>
      <c r="N1218">
        <f>YEAR(SalesData[[#This Row],[Order_Date]])</f>
        <v>2023</v>
      </c>
    </row>
    <row r="1219" spans="1:14" x14ac:dyDescent="0.3">
      <c r="A1219" t="s">
        <v>2330</v>
      </c>
      <c r="B1219" s="1">
        <v>45018</v>
      </c>
      <c r="C1219" t="s">
        <v>2331</v>
      </c>
      <c r="D1219" t="s">
        <v>28</v>
      </c>
      <c r="E1219" t="s">
        <v>56</v>
      </c>
      <c r="F1219" t="s">
        <v>73</v>
      </c>
      <c r="G1219" t="s">
        <v>979</v>
      </c>
      <c r="H1219" s="8">
        <v>3186.02</v>
      </c>
      <c r="I1219" s="8">
        <v>-709.6</v>
      </c>
      <c r="J1219" s="8">
        <v>0.26</v>
      </c>
      <c r="K1219" t="str">
        <f>IF(SalesData[[#This Row],[Profit]]&gt;0,"Profit","Loss")</f>
        <v>Loss</v>
      </c>
      <c r="L1219" s="8">
        <f>SalesData[[#This Row],[Profit]]/SalesData[[#This Row],[Sales]]</f>
        <v>-0.22272302119886253</v>
      </c>
      <c r="M1219" t="str">
        <f>TEXT(SalesData[[#This Row],[Order_Date]],"mmm")</f>
        <v>Apr</v>
      </c>
      <c r="N1219">
        <f>YEAR(SalesData[[#This Row],[Order_Date]])</f>
        <v>2023</v>
      </c>
    </row>
    <row r="1220" spans="1:14" x14ac:dyDescent="0.3">
      <c r="A1220" t="s">
        <v>2332</v>
      </c>
      <c r="B1220" s="1">
        <v>44742</v>
      </c>
      <c r="C1220" t="s">
        <v>2333</v>
      </c>
      <c r="D1220" t="s">
        <v>28</v>
      </c>
      <c r="E1220" t="s">
        <v>56</v>
      </c>
      <c r="F1220" t="s">
        <v>95</v>
      </c>
      <c r="G1220" t="s">
        <v>244</v>
      </c>
      <c r="H1220" s="8">
        <v>559.09</v>
      </c>
      <c r="I1220" s="8">
        <v>-77.7</v>
      </c>
      <c r="J1220" s="8">
        <v>0.05</v>
      </c>
      <c r="K1220" t="str">
        <f>IF(SalesData[[#This Row],[Profit]]&gt;0,"Profit","Loss")</f>
        <v>Loss</v>
      </c>
      <c r="L1220" s="8">
        <f>SalesData[[#This Row],[Profit]]/SalesData[[#This Row],[Sales]]</f>
        <v>-0.13897583573306624</v>
      </c>
      <c r="M1220" t="str">
        <f>TEXT(SalesData[[#This Row],[Order_Date]],"mmm")</f>
        <v>Jun</v>
      </c>
      <c r="N1220">
        <f>YEAR(SalesData[[#This Row],[Order_Date]])</f>
        <v>2022</v>
      </c>
    </row>
    <row r="1221" spans="1:14" x14ac:dyDescent="0.3">
      <c r="A1221" t="s">
        <v>2334</v>
      </c>
      <c r="B1221" s="1">
        <v>44743</v>
      </c>
      <c r="C1221" t="s">
        <v>2335</v>
      </c>
      <c r="D1221" t="s">
        <v>18</v>
      </c>
      <c r="E1221" t="s">
        <v>13</v>
      </c>
      <c r="F1221" t="s">
        <v>14</v>
      </c>
      <c r="G1221" t="s">
        <v>1625</v>
      </c>
      <c r="H1221" s="8">
        <v>3273.06</v>
      </c>
      <c r="I1221" s="8">
        <v>-367.4</v>
      </c>
      <c r="J1221" s="8">
        <v>0.01</v>
      </c>
      <c r="K1221" t="str">
        <f>IF(SalesData[[#This Row],[Profit]]&gt;0,"Profit","Loss")</f>
        <v>Loss</v>
      </c>
      <c r="L1221" s="8">
        <f>SalesData[[#This Row],[Profit]]/SalesData[[#This Row],[Sales]]</f>
        <v>-0.11224969905837351</v>
      </c>
      <c r="M1221" t="str">
        <f>TEXT(SalesData[[#This Row],[Order_Date]],"mmm")</f>
        <v>Jul</v>
      </c>
      <c r="N1221">
        <f>YEAR(SalesData[[#This Row],[Order_Date]])</f>
        <v>2022</v>
      </c>
    </row>
    <row r="1222" spans="1:14" x14ac:dyDescent="0.3">
      <c r="A1222" t="s">
        <v>2336</v>
      </c>
      <c r="B1222" s="1">
        <v>44974</v>
      </c>
      <c r="C1222" t="s">
        <v>353</v>
      </c>
      <c r="D1222" t="s">
        <v>18</v>
      </c>
      <c r="E1222" t="s">
        <v>56</v>
      </c>
      <c r="F1222" t="s">
        <v>57</v>
      </c>
      <c r="G1222" t="s">
        <v>584</v>
      </c>
      <c r="H1222" s="8">
        <v>2189.34</v>
      </c>
      <c r="I1222" s="8">
        <v>103.05</v>
      </c>
      <c r="J1222" s="8">
        <v>0.14000000000000001</v>
      </c>
      <c r="K1222" t="str">
        <f>IF(SalesData[[#This Row],[Profit]]&gt;0,"Profit","Loss")</f>
        <v>Profit</v>
      </c>
      <c r="L1222" s="8">
        <f>SalesData[[#This Row],[Profit]]/SalesData[[#This Row],[Sales]]</f>
        <v>4.7068979692510067E-2</v>
      </c>
      <c r="M1222" t="str">
        <f>TEXT(SalesData[[#This Row],[Order_Date]],"mmm")</f>
        <v>Feb</v>
      </c>
      <c r="N1222">
        <f>YEAR(SalesData[[#This Row],[Order_Date]])</f>
        <v>2023</v>
      </c>
    </row>
    <row r="1223" spans="1:14" x14ac:dyDescent="0.3">
      <c r="A1223" t="s">
        <v>2337</v>
      </c>
      <c r="B1223" s="1">
        <v>44575</v>
      </c>
      <c r="C1223" t="s">
        <v>1810</v>
      </c>
      <c r="D1223" t="s">
        <v>12</v>
      </c>
      <c r="E1223" t="s">
        <v>56</v>
      </c>
      <c r="F1223" t="s">
        <v>73</v>
      </c>
      <c r="G1223" t="s">
        <v>2294</v>
      </c>
      <c r="H1223" s="8">
        <v>588.67999999999995</v>
      </c>
      <c r="I1223" s="8">
        <v>-149.51</v>
      </c>
      <c r="J1223" s="8">
        <v>0.12</v>
      </c>
      <c r="K1223" t="str">
        <f>IF(SalesData[[#This Row],[Profit]]&gt;0,"Profit","Loss")</f>
        <v>Loss</v>
      </c>
      <c r="L1223" s="8">
        <f>SalesData[[#This Row],[Profit]]/SalesData[[#This Row],[Sales]]</f>
        <v>-0.25397499490385267</v>
      </c>
      <c r="M1223" t="str">
        <f>TEXT(SalesData[[#This Row],[Order_Date]],"mmm")</f>
        <v>Jan</v>
      </c>
      <c r="N1223">
        <f>YEAR(SalesData[[#This Row],[Order_Date]])</f>
        <v>2022</v>
      </c>
    </row>
    <row r="1224" spans="1:14" x14ac:dyDescent="0.3">
      <c r="A1224" t="s">
        <v>2338</v>
      </c>
      <c r="B1224" s="1">
        <v>44571</v>
      </c>
      <c r="C1224" t="s">
        <v>250</v>
      </c>
      <c r="D1224" t="s">
        <v>40</v>
      </c>
      <c r="E1224" t="s">
        <v>56</v>
      </c>
      <c r="F1224" t="s">
        <v>57</v>
      </c>
      <c r="G1224" t="s">
        <v>2339</v>
      </c>
      <c r="H1224" s="8">
        <v>1411.52</v>
      </c>
      <c r="I1224" s="8">
        <v>-169.69</v>
      </c>
      <c r="J1224" s="8">
        <v>0.28000000000000003</v>
      </c>
      <c r="K1224" t="str">
        <f>IF(SalesData[[#This Row],[Profit]]&gt;0,"Profit","Loss")</f>
        <v>Loss</v>
      </c>
      <c r="L1224" s="8">
        <f>SalesData[[#This Row],[Profit]]/SalesData[[#This Row],[Sales]]</f>
        <v>-0.12021792110632509</v>
      </c>
      <c r="M1224" t="str">
        <f>TEXT(SalesData[[#This Row],[Order_Date]],"mmm")</f>
        <v>Jan</v>
      </c>
      <c r="N1224">
        <f>YEAR(SalesData[[#This Row],[Order_Date]])</f>
        <v>2022</v>
      </c>
    </row>
    <row r="1225" spans="1:14" x14ac:dyDescent="0.3">
      <c r="A1225" t="s">
        <v>2340</v>
      </c>
      <c r="B1225" s="1">
        <v>45016</v>
      </c>
      <c r="C1225" t="s">
        <v>2341</v>
      </c>
      <c r="D1225" t="s">
        <v>40</v>
      </c>
      <c r="E1225" t="s">
        <v>13</v>
      </c>
      <c r="F1225" t="s">
        <v>14</v>
      </c>
      <c r="G1225" t="s">
        <v>1044</v>
      </c>
      <c r="H1225" s="8">
        <v>1091.3800000000001</v>
      </c>
      <c r="I1225" s="8">
        <v>-2.5</v>
      </c>
      <c r="J1225" s="8">
        <v>0.14000000000000001</v>
      </c>
      <c r="K1225" t="str">
        <f>IF(SalesData[[#This Row],[Profit]]&gt;0,"Profit","Loss")</f>
        <v>Loss</v>
      </c>
      <c r="L1225" s="8">
        <f>SalesData[[#This Row],[Profit]]/SalesData[[#This Row],[Sales]]</f>
        <v>-2.2906778573915589E-3</v>
      </c>
      <c r="M1225" t="str">
        <f>TEXT(SalesData[[#This Row],[Order_Date]],"mmm")</f>
        <v>Mar</v>
      </c>
      <c r="N1225">
        <f>YEAR(SalesData[[#This Row],[Order_Date]])</f>
        <v>2023</v>
      </c>
    </row>
    <row r="1226" spans="1:14" x14ac:dyDescent="0.3">
      <c r="A1226" t="s">
        <v>2342</v>
      </c>
      <c r="B1226" s="1">
        <v>45118</v>
      </c>
      <c r="C1226" t="s">
        <v>1816</v>
      </c>
      <c r="D1226" t="s">
        <v>12</v>
      </c>
      <c r="E1226" t="s">
        <v>19</v>
      </c>
      <c r="F1226" t="s">
        <v>20</v>
      </c>
      <c r="G1226" t="s">
        <v>1203</v>
      </c>
      <c r="H1226" s="8">
        <v>1294.6600000000001</v>
      </c>
      <c r="I1226" s="8">
        <v>-258.32</v>
      </c>
      <c r="J1226" s="8">
        <v>0.16</v>
      </c>
      <c r="K1226" t="str">
        <f>IF(SalesData[[#This Row],[Profit]]&gt;0,"Profit","Loss")</f>
        <v>Loss</v>
      </c>
      <c r="L1226" s="8">
        <f>SalesData[[#This Row],[Profit]]/SalesData[[#This Row],[Sales]]</f>
        <v>-0.1995272890179661</v>
      </c>
      <c r="M1226" t="str">
        <f>TEXT(SalesData[[#This Row],[Order_Date]],"mmm")</f>
        <v>Jul</v>
      </c>
      <c r="N1226">
        <f>YEAR(SalesData[[#This Row],[Order_Date]])</f>
        <v>2023</v>
      </c>
    </row>
    <row r="1227" spans="1:14" x14ac:dyDescent="0.3">
      <c r="A1227" t="s">
        <v>2343</v>
      </c>
      <c r="B1227" s="1">
        <v>44987</v>
      </c>
      <c r="C1227" t="s">
        <v>2344</v>
      </c>
      <c r="D1227" t="s">
        <v>12</v>
      </c>
      <c r="E1227" t="s">
        <v>56</v>
      </c>
      <c r="F1227" t="s">
        <v>57</v>
      </c>
      <c r="G1227" t="s">
        <v>50</v>
      </c>
      <c r="H1227" s="8">
        <v>2768.75</v>
      </c>
      <c r="I1227" s="8">
        <v>835.81</v>
      </c>
      <c r="J1227" s="8">
        <v>0.03</v>
      </c>
      <c r="K1227" t="str">
        <f>IF(SalesData[[#This Row],[Profit]]&gt;0,"Profit","Loss")</f>
        <v>Profit</v>
      </c>
      <c r="L1227" s="8">
        <f>SalesData[[#This Row],[Profit]]/SalesData[[#This Row],[Sales]]</f>
        <v>0.30187268623024827</v>
      </c>
      <c r="M1227" t="str">
        <f>TEXT(SalesData[[#This Row],[Order_Date]],"mmm")</f>
        <v>Mar</v>
      </c>
      <c r="N1227">
        <f>YEAR(SalesData[[#This Row],[Order_Date]])</f>
        <v>2023</v>
      </c>
    </row>
    <row r="1228" spans="1:14" x14ac:dyDescent="0.3">
      <c r="A1228" t="s">
        <v>2345</v>
      </c>
      <c r="B1228" s="1">
        <v>44855</v>
      </c>
      <c r="C1228" t="s">
        <v>287</v>
      </c>
      <c r="D1228" t="s">
        <v>28</v>
      </c>
      <c r="E1228" t="s">
        <v>56</v>
      </c>
      <c r="F1228" t="s">
        <v>57</v>
      </c>
      <c r="G1228" t="s">
        <v>420</v>
      </c>
      <c r="H1228" s="8">
        <v>1210.71</v>
      </c>
      <c r="I1228" s="8">
        <v>-130.77000000000001</v>
      </c>
      <c r="J1228" s="8">
        <v>0.12</v>
      </c>
      <c r="K1228" t="str">
        <f>IF(SalesData[[#This Row],[Profit]]&gt;0,"Profit","Loss")</f>
        <v>Loss</v>
      </c>
      <c r="L1228" s="8">
        <f>SalesData[[#This Row],[Profit]]/SalesData[[#This Row],[Sales]]</f>
        <v>-0.10801100180885596</v>
      </c>
      <c r="M1228" t="str">
        <f>TEXT(SalesData[[#This Row],[Order_Date]],"mmm")</f>
        <v>Oct</v>
      </c>
      <c r="N1228">
        <f>YEAR(SalesData[[#This Row],[Order_Date]])</f>
        <v>2022</v>
      </c>
    </row>
    <row r="1229" spans="1:14" x14ac:dyDescent="0.3">
      <c r="A1229" t="s">
        <v>2346</v>
      </c>
      <c r="B1229" s="1">
        <v>44850</v>
      </c>
      <c r="C1229" t="s">
        <v>1767</v>
      </c>
      <c r="D1229" t="s">
        <v>12</v>
      </c>
      <c r="E1229" t="s">
        <v>13</v>
      </c>
      <c r="F1229" t="s">
        <v>14</v>
      </c>
      <c r="G1229" t="s">
        <v>254</v>
      </c>
      <c r="H1229" s="8">
        <v>2509.92</v>
      </c>
      <c r="I1229" s="8">
        <v>-916.84</v>
      </c>
      <c r="J1229" s="8">
        <v>0.3</v>
      </c>
      <c r="K1229" t="str">
        <f>IF(SalesData[[#This Row],[Profit]]&gt;0,"Profit","Loss")</f>
        <v>Loss</v>
      </c>
      <c r="L1229" s="8">
        <f>SalesData[[#This Row],[Profit]]/SalesData[[#This Row],[Sales]]</f>
        <v>-0.36528654299738639</v>
      </c>
      <c r="M1229" t="str">
        <f>TEXT(SalesData[[#This Row],[Order_Date]],"mmm")</f>
        <v>Oct</v>
      </c>
      <c r="N1229">
        <f>YEAR(SalesData[[#This Row],[Order_Date]])</f>
        <v>2022</v>
      </c>
    </row>
    <row r="1230" spans="1:14" x14ac:dyDescent="0.3">
      <c r="A1230" t="s">
        <v>2347</v>
      </c>
      <c r="B1230" s="1">
        <v>44606</v>
      </c>
      <c r="C1230" t="s">
        <v>2348</v>
      </c>
      <c r="D1230" t="s">
        <v>18</v>
      </c>
      <c r="E1230" t="s">
        <v>19</v>
      </c>
      <c r="F1230" t="s">
        <v>20</v>
      </c>
      <c r="G1230" t="s">
        <v>2091</v>
      </c>
      <c r="H1230" s="8">
        <v>1866.42</v>
      </c>
      <c r="I1230" s="8">
        <v>-800.91</v>
      </c>
      <c r="J1230" s="8">
        <v>0.28000000000000003</v>
      </c>
      <c r="K1230" t="str">
        <f>IF(SalesData[[#This Row],[Profit]]&gt;0,"Profit","Loss")</f>
        <v>Loss</v>
      </c>
      <c r="L1230" s="8">
        <f>SalesData[[#This Row],[Profit]]/SalesData[[#This Row],[Sales]]</f>
        <v>-0.42911563313723594</v>
      </c>
      <c r="M1230" t="str">
        <f>TEXT(SalesData[[#This Row],[Order_Date]],"mmm")</f>
        <v>Feb</v>
      </c>
      <c r="N1230">
        <f>YEAR(SalesData[[#This Row],[Order_Date]])</f>
        <v>2022</v>
      </c>
    </row>
    <row r="1231" spans="1:14" x14ac:dyDescent="0.3">
      <c r="A1231" t="s">
        <v>2349</v>
      </c>
      <c r="B1231" s="1">
        <v>45245</v>
      </c>
      <c r="C1231" t="s">
        <v>177</v>
      </c>
      <c r="D1231" t="s">
        <v>40</v>
      </c>
      <c r="E1231" t="s">
        <v>19</v>
      </c>
      <c r="F1231" t="s">
        <v>141</v>
      </c>
      <c r="G1231" t="s">
        <v>357</v>
      </c>
      <c r="H1231" s="8">
        <v>1740.74</v>
      </c>
      <c r="I1231" s="8">
        <v>8.9600000000000009</v>
      </c>
      <c r="J1231" s="8">
        <v>0.05</v>
      </c>
      <c r="K1231" t="str">
        <f>IF(SalesData[[#This Row],[Profit]]&gt;0,"Profit","Loss")</f>
        <v>Profit</v>
      </c>
      <c r="L1231" s="8">
        <f>SalesData[[#This Row],[Profit]]/SalesData[[#This Row],[Sales]]</f>
        <v>5.1472362328664825E-3</v>
      </c>
      <c r="M1231" t="str">
        <f>TEXT(SalesData[[#This Row],[Order_Date]],"mmm")</f>
        <v>Nov</v>
      </c>
      <c r="N1231">
        <f>YEAR(SalesData[[#This Row],[Order_Date]])</f>
        <v>2023</v>
      </c>
    </row>
    <row r="1232" spans="1:14" x14ac:dyDescent="0.3">
      <c r="A1232" t="s">
        <v>2350</v>
      </c>
      <c r="B1232" s="1">
        <v>44939</v>
      </c>
      <c r="C1232" t="s">
        <v>356</v>
      </c>
      <c r="D1232" t="s">
        <v>12</v>
      </c>
      <c r="E1232" t="s">
        <v>19</v>
      </c>
      <c r="F1232" t="s">
        <v>29</v>
      </c>
      <c r="G1232" t="s">
        <v>1737</v>
      </c>
      <c r="H1232" s="8">
        <v>4389.47</v>
      </c>
      <c r="I1232" s="8">
        <v>85.82</v>
      </c>
      <c r="J1232" s="8">
        <v>0.08</v>
      </c>
      <c r="K1232" t="str">
        <f>IF(SalesData[[#This Row],[Profit]]&gt;0,"Profit","Loss")</f>
        <v>Profit</v>
      </c>
      <c r="L1232" s="8">
        <f>SalesData[[#This Row],[Profit]]/SalesData[[#This Row],[Sales]]</f>
        <v>1.9551335354837825E-2</v>
      </c>
      <c r="M1232" t="str">
        <f>TEXT(SalesData[[#This Row],[Order_Date]],"mmm")</f>
        <v>Jan</v>
      </c>
      <c r="N1232">
        <f>YEAR(SalesData[[#This Row],[Order_Date]])</f>
        <v>2023</v>
      </c>
    </row>
    <row r="1233" spans="1:14" x14ac:dyDescent="0.3">
      <c r="A1233" t="s">
        <v>2351</v>
      </c>
      <c r="B1233" s="1">
        <v>45019</v>
      </c>
      <c r="C1233" t="s">
        <v>467</v>
      </c>
      <c r="D1233" t="s">
        <v>28</v>
      </c>
      <c r="E1233" t="s">
        <v>56</v>
      </c>
      <c r="F1233" t="s">
        <v>57</v>
      </c>
      <c r="G1233" t="s">
        <v>575</v>
      </c>
      <c r="H1233" s="8">
        <v>3911.14</v>
      </c>
      <c r="I1233" s="8">
        <v>-591.88</v>
      </c>
      <c r="J1233" s="8">
        <v>0.04</v>
      </c>
      <c r="K1233" t="str">
        <f>IF(SalesData[[#This Row],[Profit]]&gt;0,"Profit","Loss")</f>
        <v>Loss</v>
      </c>
      <c r="L1233" s="8">
        <f>SalesData[[#This Row],[Profit]]/SalesData[[#This Row],[Sales]]</f>
        <v>-0.15133183675347853</v>
      </c>
      <c r="M1233" t="str">
        <f>TEXT(SalesData[[#This Row],[Order_Date]],"mmm")</f>
        <v>Apr</v>
      </c>
      <c r="N1233">
        <f>YEAR(SalesData[[#This Row],[Order_Date]])</f>
        <v>2023</v>
      </c>
    </row>
    <row r="1234" spans="1:14" x14ac:dyDescent="0.3">
      <c r="A1234" t="s">
        <v>2352</v>
      </c>
      <c r="B1234" s="1">
        <v>44654</v>
      </c>
      <c r="C1234" t="s">
        <v>1433</v>
      </c>
      <c r="D1234" t="s">
        <v>18</v>
      </c>
      <c r="E1234" t="s">
        <v>56</v>
      </c>
      <c r="F1234" t="s">
        <v>57</v>
      </c>
      <c r="G1234" t="s">
        <v>1371</v>
      </c>
      <c r="H1234" s="8">
        <v>2931.43</v>
      </c>
      <c r="I1234" s="8">
        <v>-946.6</v>
      </c>
      <c r="J1234" s="8">
        <v>0.28999999999999998</v>
      </c>
      <c r="K1234" t="str">
        <f>IF(SalesData[[#This Row],[Profit]]&gt;0,"Profit","Loss")</f>
        <v>Loss</v>
      </c>
      <c r="L1234" s="8">
        <f>SalesData[[#This Row],[Profit]]/SalesData[[#This Row],[Sales]]</f>
        <v>-0.32291407265396072</v>
      </c>
      <c r="M1234" t="str">
        <f>TEXT(SalesData[[#This Row],[Order_Date]],"mmm")</f>
        <v>Apr</v>
      </c>
      <c r="N1234">
        <f>YEAR(SalesData[[#This Row],[Order_Date]])</f>
        <v>2022</v>
      </c>
    </row>
    <row r="1235" spans="1:14" x14ac:dyDescent="0.3">
      <c r="A1235" t="s">
        <v>2353</v>
      </c>
      <c r="B1235" s="1">
        <v>44985</v>
      </c>
      <c r="C1235" t="s">
        <v>1928</v>
      </c>
      <c r="D1235" t="s">
        <v>40</v>
      </c>
      <c r="E1235" t="s">
        <v>19</v>
      </c>
      <c r="F1235" t="s">
        <v>29</v>
      </c>
      <c r="G1235" t="s">
        <v>551</v>
      </c>
      <c r="H1235" s="8">
        <v>1664.65</v>
      </c>
      <c r="I1235" s="8">
        <v>143.25</v>
      </c>
      <c r="J1235" s="8">
        <v>0.13</v>
      </c>
      <c r="K1235" t="str">
        <f>IF(SalesData[[#This Row],[Profit]]&gt;0,"Profit","Loss")</f>
        <v>Profit</v>
      </c>
      <c r="L1235" s="8">
        <f>SalesData[[#This Row],[Profit]]/SalesData[[#This Row],[Sales]]</f>
        <v>8.6054125491845129E-2</v>
      </c>
      <c r="M1235" t="str">
        <f>TEXT(SalesData[[#This Row],[Order_Date]],"mmm")</f>
        <v>Feb</v>
      </c>
      <c r="N1235">
        <f>YEAR(SalesData[[#This Row],[Order_Date]])</f>
        <v>2023</v>
      </c>
    </row>
    <row r="1236" spans="1:14" x14ac:dyDescent="0.3">
      <c r="A1236" t="s">
        <v>2354</v>
      </c>
      <c r="B1236" s="1">
        <v>45066</v>
      </c>
      <c r="C1236" t="s">
        <v>481</v>
      </c>
      <c r="D1236" t="s">
        <v>18</v>
      </c>
      <c r="E1236" t="s">
        <v>13</v>
      </c>
      <c r="F1236" t="s">
        <v>14</v>
      </c>
      <c r="G1236" t="s">
        <v>380</v>
      </c>
      <c r="H1236" s="8">
        <v>1977.61</v>
      </c>
      <c r="I1236" s="8">
        <v>-72.680000000000007</v>
      </c>
      <c r="J1236" s="8">
        <v>0.16</v>
      </c>
      <c r="K1236" t="str">
        <f>IF(SalesData[[#This Row],[Profit]]&gt;0,"Profit","Loss")</f>
        <v>Loss</v>
      </c>
      <c r="L1236" s="8">
        <f>SalesData[[#This Row],[Profit]]/SalesData[[#This Row],[Sales]]</f>
        <v>-3.6751432284424131E-2</v>
      </c>
      <c r="M1236" t="str">
        <f>TEXT(SalesData[[#This Row],[Order_Date]],"mmm")</f>
        <v>May</v>
      </c>
      <c r="N1236">
        <f>YEAR(SalesData[[#This Row],[Order_Date]])</f>
        <v>2023</v>
      </c>
    </row>
    <row r="1237" spans="1:14" x14ac:dyDescent="0.3">
      <c r="A1237" t="s">
        <v>2355</v>
      </c>
      <c r="B1237" s="1">
        <v>44786</v>
      </c>
      <c r="C1237" t="s">
        <v>1634</v>
      </c>
      <c r="D1237" t="s">
        <v>12</v>
      </c>
      <c r="E1237" t="s">
        <v>56</v>
      </c>
      <c r="F1237" t="s">
        <v>73</v>
      </c>
      <c r="G1237" t="s">
        <v>548</v>
      </c>
      <c r="H1237" s="8">
        <v>3603.11</v>
      </c>
      <c r="I1237" s="8">
        <v>381.77</v>
      </c>
      <c r="J1237" s="8">
        <v>0.16</v>
      </c>
      <c r="K1237" t="str">
        <f>IF(SalesData[[#This Row],[Profit]]&gt;0,"Profit","Loss")</f>
        <v>Profit</v>
      </c>
      <c r="L1237" s="8">
        <f>SalesData[[#This Row],[Profit]]/SalesData[[#This Row],[Sales]]</f>
        <v>0.10595568828040219</v>
      </c>
      <c r="M1237" t="str">
        <f>TEXT(SalesData[[#This Row],[Order_Date]],"mmm")</f>
        <v>Aug</v>
      </c>
      <c r="N1237">
        <f>YEAR(SalesData[[#This Row],[Order_Date]])</f>
        <v>2022</v>
      </c>
    </row>
    <row r="1238" spans="1:14" x14ac:dyDescent="0.3">
      <c r="A1238" t="s">
        <v>2356</v>
      </c>
      <c r="B1238" s="1">
        <v>45047</v>
      </c>
      <c r="C1238" t="s">
        <v>724</v>
      </c>
      <c r="D1238" t="s">
        <v>12</v>
      </c>
      <c r="E1238" t="s">
        <v>19</v>
      </c>
      <c r="F1238" t="s">
        <v>20</v>
      </c>
      <c r="G1238" t="s">
        <v>1386</v>
      </c>
      <c r="H1238" s="8">
        <v>1096.07</v>
      </c>
      <c r="I1238" s="8">
        <v>-265.86</v>
      </c>
      <c r="J1238" s="8">
        <v>0.26</v>
      </c>
      <c r="K1238" t="str">
        <f>IF(SalesData[[#This Row],[Profit]]&gt;0,"Profit","Loss")</f>
        <v>Loss</v>
      </c>
      <c r="L1238" s="8">
        <f>SalesData[[#This Row],[Profit]]/SalesData[[#This Row],[Sales]]</f>
        <v>-0.24255750088954176</v>
      </c>
      <c r="M1238" t="str">
        <f>TEXT(SalesData[[#This Row],[Order_Date]],"mmm")</f>
        <v>May</v>
      </c>
      <c r="N1238">
        <f>YEAR(SalesData[[#This Row],[Order_Date]])</f>
        <v>2023</v>
      </c>
    </row>
    <row r="1239" spans="1:14" x14ac:dyDescent="0.3">
      <c r="A1239" t="s">
        <v>2357</v>
      </c>
      <c r="B1239" s="1">
        <v>44863</v>
      </c>
      <c r="C1239" t="s">
        <v>2358</v>
      </c>
      <c r="D1239" t="s">
        <v>18</v>
      </c>
      <c r="E1239" t="s">
        <v>19</v>
      </c>
      <c r="F1239" t="s">
        <v>29</v>
      </c>
      <c r="G1239" t="s">
        <v>1780</v>
      </c>
      <c r="H1239" s="8">
        <v>4258.88</v>
      </c>
      <c r="I1239" s="8">
        <v>133.76</v>
      </c>
      <c r="J1239" s="8">
        <v>0.26</v>
      </c>
      <c r="K1239" t="str">
        <f>IF(SalesData[[#This Row],[Profit]]&gt;0,"Profit","Loss")</f>
        <v>Profit</v>
      </c>
      <c r="L1239" s="8">
        <f>SalesData[[#This Row],[Profit]]/SalesData[[#This Row],[Sales]]</f>
        <v>3.1407318355999699E-2</v>
      </c>
      <c r="M1239" t="str">
        <f>TEXT(SalesData[[#This Row],[Order_Date]],"mmm")</f>
        <v>Oct</v>
      </c>
      <c r="N1239">
        <f>YEAR(SalesData[[#This Row],[Order_Date]])</f>
        <v>2022</v>
      </c>
    </row>
    <row r="1240" spans="1:14" x14ac:dyDescent="0.3">
      <c r="A1240" t="s">
        <v>2359</v>
      </c>
      <c r="B1240" s="1">
        <v>44703</v>
      </c>
      <c r="C1240" t="s">
        <v>2005</v>
      </c>
      <c r="D1240" t="s">
        <v>18</v>
      </c>
      <c r="E1240" t="s">
        <v>13</v>
      </c>
      <c r="F1240" t="s">
        <v>36</v>
      </c>
      <c r="G1240" t="s">
        <v>1553</v>
      </c>
      <c r="H1240" s="8">
        <v>1288.24</v>
      </c>
      <c r="I1240" s="8">
        <v>-536.53</v>
      </c>
      <c r="J1240" s="8">
        <v>0.25</v>
      </c>
      <c r="K1240" t="str">
        <f>IF(SalesData[[#This Row],[Profit]]&gt;0,"Profit","Loss")</f>
        <v>Loss</v>
      </c>
      <c r="L1240" s="8">
        <f>SalesData[[#This Row],[Profit]]/SalesData[[#This Row],[Sales]]</f>
        <v>-0.41648295348692788</v>
      </c>
      <c r="M1240" t="str">
        <f>TEXT(SalesData[[#This Row],[Order_Date]],"mmm")</f>
        <v>May</v>
      </c>
      <c r="N1240">
        <f>YEAR(SalesData[[#This Row],[Order_Date]])</f>
        <v>2022</v>
      </c>
    </row>
    <row r="1241" spans="1:14" x14ac:dyDescent="0.3">
      <c r="A1241" t="s">
        <v>2360</v>
      </c>
      <c r="B1241" s="1">
        <v>44670</v>
      </c>
      <c r="C1241" t="s">
        <v>2185</v>
      </c>
      <c r="D1241" t="s">
        <v>12</v>
      </c>
      <c r="E1241" t="s">
        <v>13</v>
      </c>
      <c r="F1241" t="s">
        <v>14</v>
      </c>
      <c r="G1241" t="s">
        <v>219</v>
      </c>
      <c r="H1241" s="8">
        <v>3511</v>
      </c>
      <c r="I1241" s="8">
        <v>-1044.7</v>
      </c>
      <c r="J1241" s="8">
        <v>0.13</v>
      </c>
      <c r="K1241" t="str">
        <f>IF(SalesData[[#This Row],[Profit]]&gt;0,"Profit","Loss")</f>
        <v>Loss</v>
      </c>
      <c r="L1241" s="8">
        <f>SalesData[[#This Row],[Profit]]/SalesData[[#This Row],[Sales]]</f>
        <v>-0.29755055539732272</v>
      </c>
      <c r="M1241" t="str">
        <f>TEXT(SalesData[[#This Row],[Order_Date]],"mmm")</f>
        <v>Apr</v>
      </c>
      <c r="N1241">
        <f>YEAR(SalesData[[#This Row],[Order_Date]])</f>
        <v>2022</v>
      </c>
    </row>
    <row r="1242" spans="1:14" x14ac:dyDescent="0.3">
      <c r="A1242" t="s">
        <v>2361</v>
      </c>
      <c r="B1242" s="1">
        <v>44640</v>
      </c>
      <c r="C1242" t="s">
        <v>2362</v>
      </c>
      <c r="D1242" t="s">
        <v>28</v>
      </c>
      <c r="E1242" t="s">
        <v>13</v>
      </c>
      <c r="F1242" t="s">
        <v>14</v>
      </c>
      <c r="G1242" t="s">
        <v>2014</v>
      </c>
      <c r="H1242" s="8">
        <v>247.91</v>
      </c>
      <c r="I1242" s="8">
        <v>-65.099999999999994</v>
      </c>
      <c r="J1242" s="8">
        <v>0.11</v>
      </c>
      <c r="K1242" t="str">
        <f>IF(SalesData[[#This Row],[Profit]]&gt;0,"Profit","Loss")</f>
        <v>Loss</v>
      </c>
      <c r="L1242" s="8">
        <f>SalesData[[#This Row],[Profit]]/SalesData[[#This Row],[Sales]]</f>
        <v>-0.26259529668024684</v>
      </c>
      <c r="M1242" t="str">
        <f>TEXT(SalesData[[#This Row],[Order_Date]],"mmm")</f>
        <v>Mar</v>
      </c>
      <c r="N1242">
        <f>YEAR(SalesData[[#This Row],[Order_Date]])</f>
        <v>2022</v>
      </c>
    </row>
    <row r="1243" spans="1:14" x14ac:dyDescent="0.3">
      <c r="A1243" t="s">
        <v>2363</v>
      </c>
      <c r="B1243" s="1">
        <v>44868</v>
      </c>
      <c r="C1243" t="s">
        <v>316</v>
      </c>
      <c r="D1243" t="s">
        <v>28</v>
      </c>
      <c r="E1243" t="s">
        <v>56</v>
      </c>
      <c r="F1243" t="s">
        <v>95</v>
      </c>
      <c r="G1243" t="s">
        <v>534</v>
      </c>
      <c r="H1243" s="8">
        <v>3743.43</v>
      </c>
      <c r="I1243" s="8">
        <v>-3.23</v>
      </c>
      <c r="J1243" s="8">
        <v>0.22</v>
      </c>
      <c r="K1243" t="str">
        <f>IF(SalesData[[#This Row],[Profit]]&gt;0,"Profit","Loss")</f>
        <v>Loss</v>
      </c>
      <c r="L1243" s="8">
        <f>SalesData[[#This Row],[Profit]]/SalesData[[#This Row],[Sales]]</f>
        <v>-8.6284503783962835E-4</v>
      </c>
      <c r="M1243" t="str">
        <f>TEXT(SalesData[[#This Row],[Order_Date]],"mmm")</f>
        <v>Nov</v>
      </c>
      <c r="N1243">
        <f>YEAR(SalesData[[#This Row],[Order_Date]])</f>
        <v>2022</v>
      </c>
    </row>
    <row r="1244" spans="1:14" x14ac:dyDescent="0.3">
      <c r="A1244" t="s">
        <v>2364</v>
      </c>
      <c r="B1244" s="1">
        <v>44721</v>
      </c>
      <c r="C1244" t="s">
        <v>290</v>
      </c>
      <c r="D1244" t="s">
        <v>12</v>
      </c>
      <c r="E1244" t="s">
        <v>19</v>
      </c>
      <c r="F1244" t="s">
        <v>29</v>
      </c>
      <c r="G1244" t="s">
        <v>309</v>
      </c>
      <c r="H1244" s="8">
        <v>3928.84</v>
      </c>
      <c r="I1244" s="8">
        <v>-934.82</v>
      </c>
      <c r="J1244" s="8">
        <v>0.21</v>
      </c>
      <c r="K1244" t="str">
        <f>IF(SalesData[[#This Row],[Profit]]&gt;0,"Profit","Loss")</f>
        <v>Loss</v>
      </c>
      <c r="L1244" s="8">
        <f>SalesData[[#This Row],[Profit]]/SalesData[[#This Row],[Sales]]</f>
        <v>-0.23793791551704829</v>
      </c>
      <c r="M1244" t="str">
        <f>TEXT(SalesData[[#This Row],[Order_Date]],"mmm")</f>
        <v>Jun</v>
      </c>
      <c r="N1244">
        <f>YEAR(SalesData[[#This Row],[Order_Date]])</f>
        <v>2022</v>
      </c>
    </row>
    <row r="1245" spans="1:14" x14ac:dyDescent="0.3">
      <c r="A1245" t="s">
        <v>2365</v>
      </c>
      <c r="B1245" s="1">
        <v>45027</v>
      </c>
      <c r="C1245" t="s">
        <v>88</v>
      </c>
      <c r="D1245" t="s">
        <v>40</v>
      </c>
      <c r="E1245" t="s">
        <v>56</v>
      </c>
      <c r="F1245" t="s">
        <v>73</v>
      </c>
      <c r="G1245" t="s">
        <v>1355</v>
      </c>
      <c r="H1245" s="8">
        <v>885.71</v>
      </c>
      <c r="I1245" s="8">
        <v>-58.3</v>
      </c>
      <c r="J1245" s="8">
        <v>0.12</v>
      </c>
      <c r="K1245" t="str">
        <f>IF(SalesData[[#This Row],[Profit]]&gt;0,"Profit","Loss")</f>
        <v>Loss</v>
      </c>
      <c r="L1245" s="8">
        <f>SalesData[[#This Row],[Profit]]/SalesData[[#This Row],[Sales]]</f>
        <v>-6.5822899143060359E-2</v>
      </c>
      <c r="M1245" t="str">
        <f>TEXT(SalesData[[#This Row],[Order_Date]],"mmm")</f>
        <v>Apr</v>
      </c>
      <c r="N1245">
        <f>YEAR(SalesData[[#This Row],[Order_Date]])</f>
        <v>2023</v>
      </c>
    </row>
    <row r="1246" spans="1:14" x14ac:dyDescent="0.3">
      <c r="A1246" t="s">
        <v>2366</v>
      </c>
      <c r="B1246" s="1">
        <v>44840</v>
      </c>
      <c r="C1246" t="s">
        <v>27</v>
      </c>
      <c r="D1246" t="s">
        <v>28</v>
      </c>
      <c r="E1246" t="s">
        <v>13</v>
      </c>
      <c r="F1246" t="s">
        <v>24</v>
      </c>
      <c r="G1246" t="s">
        <v>205</v>
      </c>
      <c r="H1246" s="8">
        <v>1599.57</v>
      </c>
      <c r="I1246" s="8">
        <v>462.07</v>
      </c>
      <c r="J1246" s="8">
        <v>7.0000000000000007E-2</v>
      </c>
      <c r="K1246" t="str">
        <f>IF(SalesData[[#This Row],[Profit]]&gt;0,"Profit","Loss")</f>
        <v>Profit</v>
      </c>
      <c r="L1246" s="8">
        <f>SalesData[[#This Row],[Profit]]/SalesData[[#This Row],[Sales]]</f>
        <v>0.28887138418449959</v>
      </c>
      <c r="M1246" t="str">
        <f>TEXT(SalesData[[#This Row],[Order_Date]],"mmm")</f>
        <v>Oct</v>
      </c>
      <c r="N1246">
        <f>YEAR(SalesData[[#This Row],[Order_Date]])</f>
        <v>2022</v>
      </c>
    </row>
    <row r="1247" spans="1:14" x14ac:dyDescent="0.3">
      <c r="A1247" t="s">
        <v>2367</v>
      </c>
      <c r="B1247" s="1">
        <v>44750</v>
      </c>
      <c r="C1247" t="s">
        <v>493</v>
      </c>
      <c r="D1247" t="s">
        <v>12</v>
      </c>
      <c r="E1247" t="s">
        <v>56</v>
      </c>
      <c r="F1247" t="s">
        <v>73</v>
      </c>
      <c r="G1247" t="s">
        <v>542</v>
      </c>
      <c r="H1247" s="8">
        <v>1138.1300000000001</v>
      </c>
      <c r="I1247" s="8">
        <v>-294.38</v>
      </c>
      <c r="J1247" s="8">
        <v>0.19</v>
      </c>
      <c r="K1247" t="str">
        <f>IF(SalesData[[#This Row],[Profit]]&gt;0,"Profit","Loss")</f>
        <v>Loss</v>
      </c>
      <c r="L1247" s="8">
        <f>SalesData[[#This Row],[Profit]]/SalesData[[#This Row],[Sales]]</f>
        <v>-0.25865235078593829</v>
      </c>
      <c r="M1247" t="str">
        <f>TEXT(SalesData[[#This Row],[Order_Date]],"mmm")</f>
        <v>Jul</v>
      </c>
      <c r="N1247">
        <f>YEAR(SalesData[[#This Row],[Order_Date]])</f>
        <v>2022</v>
      </c>
    </row>
    <row r="1248" spans="1:14" x14ac:dyDescent="0.3">
      <c r="A1248" t="s">
        <v>2368</v>
      </c>
      <c r="B1248" s="1">
        <v>44951</v>
      </c>
      <c r="C1248" t="s">
        <v>1161</v>
      </c>
      <c r="D1248" t="s">
        <v>12</v>
      </c>
      <c r="E1248" t="s">
        <v>13</v>
      </c>
      <c r="F1248" t="s">
        <v>36</v>
      </c>
      <c r="G1248" t="s">
        <v>398</v>
      </c>
      <c r="H1248" s="8">
        <v>2439.34</v>
      </c>
      <c r="I1248" s="8">
        <v>-382.83</v>
      </c>
      <c r="J1248" s="8">
        <v>0.2</v>
      </c>
      <c r="K1248" t="str">
        <f>IF(SalesData[[#This Row],[Profit]]&gt;0,"Profit","Loss")</f>
        <v>Loss</v>
      </c>
      <c r="L1248" s="8">
        <f>SalesData[[#This Row],[Profit]]/SalesData[[#This Row],[Sales]]</f>
        <v>-0.15693999196503972</v>
      </c>
      <c r="M1248" t="str">
        <f>TEXT(SalesData[[#This Row],[Order_Date]],"mmm")</f>
        <v>Jan</v>
      </c>
      <c r="N1248">
        <f>YEAR(SalesData[[#This Row],[Order_Date]])</f>
        <v>2023</v>
      </c>
    </row>
    <row r="1249" spans="1:14" x14ac:dyDescent="0.3">
      <c r="A1249" t="s">
        <v>2369</v>
      </c>
      <c r="B1249" s="1">
        <v>44933</v>
      </c>
      <c r="C1249" t="s">
        <v>522</v>
      </c>
      <c r="D1249" t="s">
        <v>40</v>
      </c>
      <c r="E1249" t="s">
        <v>19</v>
      </c>
      <c r="F1249" t="s">
        <v>141</v>
      </c>
      <c r="G1249" t="s">
        <v>1806</v>
      </c>
      <c r="H1249" s="8">
        <v>2178.69</v>
      </c>
      <c r="I1249" s="8">
        <v>-473.56</v>
      </c>
      <c r="J1249" s="8">
        <v>0.08</v>
      </c>
      <c r="K1249" t="str">
        <f>IF(SalesData[[#This Row],[Profit]]&gt;0,"Profit","Loss")</f>
        <v>Loss</v>
      </c>
      <c r="L1249" s="8">
        <f>SalesData[[#This Row],[Profit]]/SalesData[[#This Row],[Sales]]</f>
        <v>-0.21735997319490152</v>
      </c>
      <c r="M1249" t="str">
        <f>TEXT(SalesData[[#This Row],[Order_Date]],"mmm")</f>
        <v>Jan</v>
      </c>
      <c r="N1249">
        <f>YEAR(SalesData[[#This Row],[Order_Date]])</f>
        <v>2023</v>
      </c>
    </row>
    <row r="1250" spans="1:14" x14ac:dyDescent="0.3">
      <c r="A1250" t="s">
        <v>2370</v>
      </c>
      <c r="B1250" s="1">
        <v>44573</v>
      </c>
      <c r="C1250" t="s">
        <v>749</v>
      </c>
      <c r="D1250" t="s">
        <v>40</v>
      </c>
      <c r="E1250" t="s">
        <v>56</v>
      </c>
      <c r="F1250" t="s">
        <v>95</v>
      </c>
      <c r="G1250" t="s">
        <v>1109</v>
      </c>
      <c r="H1250" s="8">
        <v>897.53</v>
      </c>
      <c r="I1250" s="8">
        <v>-92.31</v>
      </c>
      <c r="J1250" s="8">
        <v>0.03</v>
      </c>
      <c r="K1250" t="str">
        <f>IF(SalesData[[#This Row],[Profit]]&gt;0,"Profit","Loss")</f>
        <v>Loss</v>
      </c>
      <c r="L1250" s="8">
        <f>SalesData[[#This Row],[Profit]]/SalesData[[#This Row],[Sales]]</f>
        <v>-0.10284892984078527</v>
      </c>
      <c r="M1250" t="str">
        <f>TEXT(SalesData[[#This Row],[Order_Date]],"mmm")</f>
        <v>Jan</v>
      </c>
      <c r="N1250">
        <f>YEAR(SalesData[[#This Row],[Order_Date]])</f>
        <v>2022</v>
      </c>
    </row>
    <row r="1251" spans="1:14" x14ac:dyDescent="0.3">
      <c r="A1251" t="s">
        <v>2371</v>
      </c>
      <c r="B1251" s="1">
        <v>45145</v>
      </c>
      <c r="C1251" t="s">
        <v>2372</v>
      </c>
      <c r="D1251" t="s">
        <v>12</v>
      </c>
      <c r="E1251" t="s">
        <v>13</v>
      </c>
      <c r="F1251" t="s">
        <v>14</v>
      </c>
      <c r="G1251" t="s">
        <v>239</v>
      </c>
      <c r="H1251" s="8">
        <v>3228.11</v>
      </c>
      <c r="I1251" s="8">
        <v>-156.56</v>
      </c>
      <c r="J1251" s="8">
        <v>0.01</v>
      </c>
      <c r="K1251" t="str">
        <f>IF(SalesData[[#This Row],[Profit]]&gt;0,"Profit","Loss")</f>
        <v>Loss</v>
      </c>
      <c r="L1251" s="8">
        <f>SalesData[[#This Row],[Profit]]/SalesData[[#This Row],[Sales]]</f>
        <v>-4.8498966887745458E-2</v>
      </c>
      <c r="M1251" t="str">
        <f>TEXT(SalesData[[#This Row],[Order_Date]],"mmm")</f>
        <v>Aug</v>
      </c>
      <c r="N1251">
        <f>YEAR(SalesData[[#This Row],[Order_Date]])</f>
        <v>2023</v>
      </c>
    </row>
    <row r="1252" spans="1:14" x14ac:dyDescent="0.3">
      <c r="A1252" t="s">
        <v>2373</v>
      </c>
      <c r="B1252" s="1">
        <v>44927</v>
      </c>
      <c r="C1252" t="s">
        <v>2100</v>
      </c>
      <c r="D1252" t="s">
        <v>40</v>
      </c>
      <c r="E1252" t="s">
        <v>19</v>
      </c>
      <c r="F1252" t="s">
        <v>20</v>
      </c>
      <c r="G1252" t="s">
        <v>2374</v>
      </c>
      <c r="H1252" s="8">
        <v>335.44</v>
      </c>
      <c r="I1252" s="8">
        <v>-15.04</v>
      </c>
      <c r="J1252" s="8">
        <v>0.03</v>
      </c>
      <c r="K1252" t="str">
        <f>IF(SalesData[[#This Row],[Profit]]&gt;0,"Profit","Loss")</f>
        <v>Loss</v>
      </c>
      <c r="L1252" s="8">
        <f>SalesData[[#This Row],[Profit]]/SalesData[[#This Row],[Sales]]</f>
        <v>-4.4836632482709277E-2</v>
      </c>
      <c r="M1252" t="str">
        <f>TEXT(SalesData[[#This Row],[Order_Date]],"mmm")</f>
        <v>Jan</v>
      </c>
      <c r="N1252">
        <f>YEAR(SalesData[[#This Row],[Order_Date]])</f>
        <v>2023</v>
      </c>
    </row>
    <row r="1253" spans="1:14" x14ac:dyDescent="0.3">
      <c r="A1253" t="s">
        <v>2375</v>
      </c>
      <c r="B1253" s="1">
        <v>44694</v>
      </c>
      <c r="C1253" t="s">
        <v>1634</v>
      </c>
      <c r="D1253" t="s">
        <v>12</v>
      </c>
      <c r="E1253" t="s">
        <v>19</v>
      </c>
      <c r="F1253" t="s">
        <v>141</v>
      </c>
      <c r="G1253" t="s">
        <v>1044</v>
      </c>
      <c r="H1253" s="8">
        <v>1054.93</v>
      </c>
      <c r="I1253" s="8">
        <v>5.71</v>
      </c>
      <c r="J1253" s="8">
        <v>0.23</v>
      </c>
      <c r="K1253" t="str">
        <f>IF(SalesData[[#This Row],[Profit]]&gt;0,"Profit","Loss")</f>
        <v>Profit</v>
      </c>
      <c r="L1253" s="8">
        <f>SalesData[[#This Row],[Profit]]/SalesData[[#This Row],[Sales]]</f>
        <v>5.4126814101409567E-3</v>
      </c>
      <c r="M1253" t="str">
        <f>TEXT(SalesData[[#This Row],[Order_Date]],"mmm")</f>
        <v>May</v>
      </c>
      <c r="N1253">
        <f>YEAR(SalesData[[#This Row],[Order_Date]])</f>
        <v>2022</v>
      </c>
    </row>
    <row r="1254" spans="1:14" x14ac:dyDescent="0.3">
      <c r="A1254" t="s">
        <v>2376</v>
      </c>
      <c r="B1254" s="1">
        <v>44586</v>
      </c>
      <c r="C1254" t="s">
        <v>311</v>
      </c>
      <c r="D1254" t="s">
        <v>28</v>
      </c>
      <c r="E1254" t="s">
        <v>19</v>
      </c>
      <c r="F1254" t="s">
        <v>141</v>
      </c>
      <c r="G1254" t="s">
        <v>219</v>
      </c>
      <c r="H1254" s="8">
        <v>2567.5300000000002</v>
      </c>
      <c r="I1254" s="8">
        <v>295.36</v>
      </c>
      <c r="J1254" s="8">
        <v>0.15</v>
      </c>
      <c r="K1254" t="str">
        <f>IF(SalesData[[#This Row],[Profit]]&gt;0,"Profit","Loss")</f>
        <v>Profit</v>
      </c>
      <c r="L1254" s="8">
        <f>SalesData[[#This Row],[Profit]]/SalesData[[#This Row],[Sales]]</f>
        <v>0.11503663053596258</v>
      </c>
      <c r="M1254" t="str">
        <f>TEXT(SalesData[[#This Row],[Order_Date]],"mmm")</f>
        <v>Jan</v>
      </c>
      <c r="N1254">
        <f>YEAR(SalesData[[#This Row],[Order_Date]])</f>
        <v>2022</v>
      </c>
    </row>
    <row r="1255" spans="1:14" x14ac:dyDescent="0.3">
      <c r="A1255" t="s">
        <v>2377</v>
      </c>
      <c r="B1255" s="1">
        <v>45202</v>
      </c>
      <c r="C1255" t="s">
        <v>2378</v>
      </c>
      <c r="D1255" t="s">
        <v>18</v>
      </c>
      <c r="E1255" t="s">
        <v>13</v>
      </c>
      <c r="F1255" t="s">
        <v>14</v>
      </c>
      <c r="G1255" t="s">
        <v>2041</v>
      </c>
      <c r="H1255" s="8">
        <v>1521.58</v>
      </c>
      <c r="I1255" s="8">
        <v>42.4</v>
      </c>
      <c r="J1255" s="8">
        <v>0.05</v>
      </c>
      <c r="K1255" t="str">
        <f>IF(SalesData[[#This Row],[Profit]]&gt;0,"Profit","Loss")</f>
        <v>Profit</v>
      </c>
      <c r="L1255" s="8">
        <f>SalesData[[#This Row],[Profit]]/SalesData[[#This Row],[Sales]]</f>
        <v>2.7865771106349978E-2</v>
      </c>
      <c r="M1255" t="str">
        <f>TEXT(SalesData[[#This Row],[Order_Date]],"mmm")</f>
        <v>Oct</v>
      </c>
      <c r="N1255">
        <f>YEAR(SalesData[[#This Row],[Order_Date]])</f>
        <v>2023</v>
      </c>
    </row>
    <row r="1256" spans="1:14" x14ac:dyDescent="0.3">
      <c r="A1256" t="s">
        <v>2379</v>
      </c>
      <c r="B1256" s="1">
        <v>45075</v>
      </c>
      <c r="C1256" t="s">
        <v>2380</v>
      </c>
      <c r="D1256" t="s">
        <v>40</v>
      </c>
      <c r="E1256" t="s">
        <v>56</v>
      </c>
      <c r="F1256" t="s">
        <v>73</v>
      </c>
      <c r="G1256" t="s">
        <v>744</v>
      </c>
      <c r="H1256" s="8">
        <v>3305.68</v>
      </c>
      <c r="I1256" s="8">
        <v>-1102.02</v>
      </c>
      <c r="J1256" s="8">
        <v>0.23</v>
      </c>
      <c r="K1256" t="str">
        <f>IF(SalesData[[#This Row],[Profit]]&gt;0,"Profit","Loss")</f>
        <v>Loss</v>
      </c>
      <c r="L1256" s="8">
        <f>SalesData[[#This Row],[Profit]]/SalesData[[#This Row],[Sales]]</f>
        <v>-0.33337165121850876</v>
      </c>
      <c r="M1256" t="str">
        <f>TEXT(SalesData[[#This Row],[Order_Date]],"mmm")</f>
        <v>May</v>
      </c>
      <c r="N1256">
        <f>YEAR(SalesData[[#This Row],[Order_Date]])</f>
        <v>2023</v>
      </c>
    </row>
    <row r="1257" spans="1:14" x14ac:dyDescent="0.3">
      <c r="A1257" t="s">
        <v>2381</v>
      </c>
      <c r="B1257" s="1">
        <v>44602</v>
      </c>
      <c r="C1257" t="s">
        <v>1532</v>
      </c>
      <c r="D1257" t="s">
        <v>28</v>
      </c>
      <c r="E1257" t="s">
        <v>56</v>
      </c>
      <c r="F1257" t="s">
        <v>95</v>
      </c>
      <c r="G1257" t="s">
        <v>1709</v>
      </c>
      <c r="H1257" s="8">
        <v>1525.12</v>
      </c>
      <c r="I1257" s="8">
        <v>265.5</v>
      </c>
      <c r="J1257" s="8">
        <v>0.19</v>
      </c>
      <c r="K1257" t="str">
        <f>IF(SalesData[[#This Row],[Profit]]&gt;0,"Profit","Loss")</f>
        <v>Profit</v>
      </c>
      <c r="L1257" s="8">
        <f>SalesData[[#This Row],[Profit]]/SalesData[[#This Row],[Sales]]</f>
        <v>0.17408466219051616</v>
      </c>
      <c r="M1257" t="str">
        <f>TEXT(SalesData[[#This Row],[Order_Date]],"mmm")</f>
        <v>Feb</v>
      </c>
      <c r="N1257">
        <f>YEAR(SalesData[[#This Row],[Order_Date]])</f>
        <v>2022</v>
      </c>
    </row>
    <row r="1258" spans="1:14" x14ac:dyDescent="0.3">
      <c r="A1258" t="s">
        <v>2382</v>
      </c>
      <c r="B1258" s="1">
        <v>45071</v>
      </c>
      <c r="C1258" t="s">
        <v>655</v>
      </c>
      <c r="D1258" t="s">
        <v>12</v>
      </c>
      <c r="E1258" t="s">
        <v>56</v>
      </c>
      <c r="F1258" t="s">
        <v>73</v>
      </c>
      <c r="G1258" t="s">
        <v>1592</v>
      </c>
      <c r="H1258" s="8">
        <v>3073.7</v>
      </c>
      <c r="I1258" s="8">
        <v>-460.62</v>
      </c>
      <c r="J1258" s="8">
        <v>0.28999999999999998</v>
      </c>
      <c r="K1258" t="str">
        <f>IF(SalesData[[#This Row],[Profit]]&gt;0,"Profit","Loss")</f>
        <v>Loss</v>
      </c>
      <c r="L1258" s="8">
        <f>SalesData[[#This Row],[Profit]]/SalesData[[#This Row],[Sales]]</f>
        <v>-0.14985847675440025</v>
      </c>
      <c r="M1258" t="str">
        <f>TEXT(SalesData[[#This Row],[Order_Date]],"mmm")</f>
        <v>May</v>
      </c>
      <c r="N1258">
        <f>YEAR(SalesData[[#This Row],[Order_Date]])</f>
        <v>2023</v>
      </c>
    </row>
    <row r="1259" spans="1:14" x14ac:dyDescent="0.3">
      <c r="A1259" t="s">
        <v>2383</v>
      </c>
      <c r="B1259" s="1">
        <v>45072</v>
      </c>
      <c r="C1259" t="s">
        <v>2384</v>
      </c>
      <c r="D1259" t="s">
        <v>28</v>
      </c>
      <c r="E1259" t="s">
        <v>19</v>
      </c>
      <c r="F1259" t="s">
        <v>141</v>
      </c>
      <c r="G1259" t="s">
        <v>447</v>
      </c>
      <c r="H1259" s="8">
        <v>4350.92</v>
      </c>
      <c r="I1259" s="8">
        <v>422.39</v>
      </c>
      <c r="J1259" s="8">
        <v>0.24</v>
      </c>
      <c r="K1259" t="str">
        <f>IF(SalesData[[#This Row],[Profit]]&gt;0,"Profit","Loss")</f>
        <v>Profit</v>
      </c>
      <c r="L1259" s="8">
        <f>SalesData[[#This Row],[Profit]]/SalesData[[#This Row],[Sales]]</f>
        <v>9.7080617432634936E-2</v>
      </c>
      <c r="M1259" t="str">
        <f>TEXT(SalesData[[#This Row],[Order_Date]],"mmm")</f>
        <v>May</v>
      </c>
      <c r="N1259">
        <f>YEAR(SalesData[[#This Row],[Order_Date]])</f>
        <v>2023</v>
      </c>
    </row>
    <row r="1260" spans="1:14" x14ac:dyDescent="0.3">
      <c r="A1260" t="s">
        <v>2385</v>
      </c>
      <c r="B1260" s="1">
        <v>44653</v>
      </c>
      <c r="C1260" t="s">
        <v>1617</v>
      </c>
      <c r="D1260" t="s">
        <v>18</v>
      </c>
      <c r="E1260" t="s">
        <v>56</v>
      </c>
      <c r="F1260" t="s">
        <v>95</v>
      </c>
      <c r="G1260" t="s">
        <v>606</v>
      </c>
      <c r="H1260" s="8">
        <v>891.22</v>
      </c>
      <c r="I1260" s="8">
        <v>-55.26</v>
      </c>
      <c r="J1260" s="8">
        <v>0.08</v>
      </c>
      <c r="K1260" t="str">
        <f>IF(SalesData[[#This Row],[Profit]]&gt;0,"Profit","Loss")</f>
        <v>Loss</v>
      </c>
      <c r="L1260" s="8">
        <f>SalesData[[#This Row],[Profit]]/SalesData[[#This Row],[Sales]]</f>
        <v>-6.2004892170283425E-2</v>
      </c>
      <c r="M1260" t="str">
        <f>TEXT(SalesData[[#This Row],[Order_Date]],"mmm")</f>
        <v>Apr</v>
      </c>
      <c r="N1260">
        <f>YEAR(SalesData[[#This Row],[Order_Date]])</f>
        <v>2022</v>
      </c>
    </row>
    <row r="1261" spans="1:14" x14ac:dyDescent="0.3">
      <c r="A1261" t="s">
        <v>2386</v>
      </c>
      <c r="B1261" s="1">
        <v>45014</v>
      </c>
      <c r="C1261" t="s">
        <v>85</v>
      </c>
      <c r="D1261" t="s">
        <v>18</v>
      </c>
      <c r="E1261" t="s">
        <v>19</v>
      </c>
      <c r="F1261" t="s">
        <v>29</v>
      </c>
      <c r="G1261" t="s">
        <v>1373</v>
      </c>
      <c r="H1261" s="8">
        <v>4932.1000000000004</v>
      </c>
      <c r="I1261" s="8">
        <v>-158.38</v>
      </c>
      <c r="J1261" s="8">
        <v>0.28999999999999998</v>
      </c>
      <c r="K1261" t="str">
        <f>IF(SalesData[[#This Row],[Profit]]&gt;0,"Profit","Loss")</f>
        <v>Loss</v>
      </c>
      <c r="L1261" s="8">
        <f>SalesData[[#This Row],[Profit]]/SalesData[[#This Row],[Sales]]</f>
        <v>-3.2112082074572695E-2</v>
      </c>
      <c r="M1261" t="str">
        <f>TEXT(SalesData[[#This Row],[Order_Date]],"mmm")</f>
        <v>Mar</v>
      </c>
      <c r="N1261">
        <f>YEAR(SalesData[[#This Row],[Order_Date]])</f>
        <v>2023</v>
      </c>
    </row>
    <row r="1262" spans="1:14" x14ac:dyDescent="0.3">
      <c r="A1262" t="s">
        <v>2387</v>
      </c>
      <c r="B1262" s="1">
        <v>44980</v>
      </c>
      <c r="C1262" t="s">
        <v>2388</v>
      </c>
      <c r="D1262" t="s">
        <v>18</v>
      </c>
      <c r="E1262" t="s">
        <v>56</v>
      </c>
      <c r="F1262" t="s">
        <v>73</v>
      </c>
      <c r="G1262" t="s">
        <v>504</v>
      </c>
      <c r="H1262" s="8">
        <v>2492.4699999999998</v>
      </c>
      <c r="I1262" s="8">
        <v>-344.02</v>
      </c>
      <c r="J1262" s="8">
        <v>0.11</v>
      </c>
      <c r="K1262" t="str">
        <f>IF(SalesData[[#This Row],[Profit]]&gt;0,"Profit","Loss")</f>
        <v>Loss</v>
      </c>
      <c r="L1262" s="8">
        <f>SalesData[[#This Row],[Profit]]/SalesData[[#This Row],[Sales]]</f>
        <v>-0.13802372746713101</v>
      </c>
      <c r="M1262" t="str">
        <f>TEXT(SalesData[[#This Row],[Order_Date]],"mmm")</f>
        <v>Feb</v>
      </c>
      <c r="N1262">
        <f>YEAR(SalesData[[#This Row],[Order_Date]])</f>
        <v>2023</v>
      </c>
    </row>
    <row r="1263" spans="1:14" x14ac:dyDescent="0.3">
      <c r="A1263" t="s">
        <v>2389</v>
      </c>
      <c r="B1263" s="1">
        <v>45260</v>
      </c>
      <c r="C1263" t="s">
        <v>693</v>
      </c>
      <c r="D1263" t="s">
        <v>28</v>
      </c>
      <c r="E1263" t="s">
        <v>19</v>
      </c>
      <c r="F1263" t="s">
        <v>141</v>
      </c>
      <c r="G1263" t="s">
        <v>911</v>
      </c>
      <c r="H1263" s="8">
        <v>4239.6899999999996</v>
      </c>
      <c r="I1263" s="8">
        <v>-1126.8699999999999</v>
      </c>
      <c r="J1263" s="8">
        <v>0.28999999999999998</v>
      </c>
      <c r="K1263" t="str">
        <f>IF(SalesData[[#This Row],[Profit]]&gt;0,"Profit","Loss")</f>
        <v>Loss</v>
      </c>
      <c r="L1263" s="8">
        <f>SalesData[[#This Row],[Profit]]/SalesData[[#This Row],[Sales]]</f>
        <v>-0.26579065922272621</v>
      </c>
      <c r="M1263" t="str">
        <f>TEXT(SalesData[[#This Row],[Order_Date]],"mmm")</f>
        <v>Nov</v>
      </c>
      <c r="N1263">
        <f>YEAR(SalesData[[#This Row],[Order_Date]])</f>
        <v>2023</v>
      </c>
    </row>
    <row r="1264" spans="1:14" x14ac:dyDescent="0.3">
      <c r="A1264" t="s">
        <v>2390</v>
      </c>
      <c r="B1264" s="1">
        <v>44812</v>
      </c>
      <c r="C1264" t="s">
        <v>1605</v>
      </c>
      <c r="D1264" t="s">
        <v>12</v>
      </c>
      <c r="E1264" t="s">
        <v>13</v>
      </c>
      <c r="F1264" t="s">
        <v>14</v>
      </c>
      <c r="G1264" t="s">
        <v>114</v>
      </c>
      <c r="H1264" s="8">
        <v>3141.01</v>
      </c>
      <c r="I1264" s="8">
        <v>171.58</v>
      </c>
      <c r="J1264" s="8">
        <v>0.19</v>
      </c>
      <c r="K1264" t="str">
        <f>IF(SalesData[[#This Row],[Profit]]&gt;0,"Profit","Loss")</f>
        <v>Profit</v>
      </c>
      <c r="L1264" s="8">
        <f>SalesData[[#This Row],[Profit]]/SalesData[[#This Row],[Sales]]</f>
        <v>5.4625741401651058E-2</v>
      </c>
      <c r="M1264" t="str">
        <f>TEXT(SalesData[[#This Row],[Order_Date]],"mmm")</f>
        <v>Sep</v>
      </c>
      <c r="N1264">
        <f>YEAR(SalesData[[#This Row],[Order_Date]])</f>
        <v>2022</v>
      </c>
    </row>
    <row r="1265" spans="1:14" x14ac:dyDescent="0.3">
      <c r="A1265" t="s">
        <v>2391</v>
      </c>
      <c r="B1265" s="1">
        <v>44790</v>
      </c>
      <c r="C1265" t="s">
        <v>2392</v>
      </c>
      <c r="D1265" t="s">
        <v>28</v>
      </c>
      <c r="E1265" t="s">
        <v>56</v>
      </c>
      <c r="F1265" t="s">
        <v>95</v>
      </c>
      <c r="G1265" t="s">
        <v>1300</v>
      </c>
      <c r="H1265" s="8">
        <v>1941.53</v>
      </c>
      <c r="I1265" s="8">
        <v>276.27</v>
      </c>
      <c r="J1265" s="8">
        <v>0.17</v>
      </c>
      <c r="K1265" t="str">
        <f>IF(SalesData[[#This Row],[Profit]]&gt;0,"Profit","Loss")</f>
        <v>Profit</v>
      </c>
      <c r="L1265" s="8">
        <f>SalesData[[#This Row],[Profit]]/SalesData[[#This Row],[Sales]]</f>
        <v>0.14229499415409497</v>
      </c>
      <c r="M1265" t="str">
        <f>TEXT(SalesData[[#This Row],[Order_Date]],"mmm")</f>
        <v>Aug</v>
      </c>
      <c r="N1265">
        <f>YEAR(SalesData[[#This Row],[Order_Date]])</f>
        <v>2022</v>
      </c>
    </row>
    <row r="1266" spans="1:14" x14ac:dyDescent="0.3">
      <c r="A1266" t="s">
        <v>2393</v>
      </c>
      <c r="B1266" s="1">
        <v>45038</v>
      </c>
      <c r="C1266" t="s">
        <v>866</v>
      </c>
      <c r="D1266" t="s">
        <v>12</v>
      </c>
      <c r="E1266" t="s">
        <v>56</v>
      </c>
      <c r="F1266" t="s">
        <v>95</v>
      </c>
      <c r="G1266" t="s">
        <v>1814</v>
      </c>
      <c r="H1266" s="8">
        <v>2382.8000000000002</v>
      </c>
      <c r="I1266" s="8">
        <v>357.6</v>
      </c>
      <c r="J1266" s="8">
        <v>0.19</v>
      </c>
      <c r="K1266" t="str">
        <f>IF(SalesData[[#This Row],[Profit]]&gt;0,"Profit","Loss")</f>
        <v>Profit</v>
      </c>
      <c r="L1266" s="8">
        <f>SalesData[[#This Row],[Profit]]/SalesData[[#This Row],[Sales]]</f>
        <v>0.15007554137988921</v>
      </c>
      <c r="M1266" t="str">
        <f>TEXT(SalesData[[#This Row],[Order_Date]],"mmm")</f>
        <v>Apr</v>
      </c>
      <c r="N1266">
        <f>YEAR(SalesData[[#This Row],[Order_Date]])</f>
        <v>2023</v>
      </c>
    </row>
    <row r="1267" spans="1:14" x14ac:dyDescent="0.3">
      <c r="A1267" t="s">
        <v>2394</v>
      </c>
      <c r="B1267" s="1">
        <v>44766</v>
      </c>
      <c r="C1267" t="s">
        <v>658</v>
      </c>
      <c r="D1267" t="s">
        <v>40</v>
      </c>
      <c r="E1267" t="s">
        <v>13</v>
      </c>
      <c r="F1267" t="s">
        <v>14</v>
      </c>
      <c r="G1267" t="s">
        <v>520</v>
      </c>
      <c r="H1267" s="8">
        <v>4595.5600000000004</v>
      </c>
      <c r="I1267" s="8">
        <v>-87.64</v>
      </c>
      <c r="J1267" s="8">
        <v>0.28000000000000003</v>
      </c>
      <c r="K1267" t="str">
        <f>IF(SalesData[[#This Row],[Profit]]&gt;0,"Profit","Loss")</f>
        <v>Loss</v>
      </c>
      <c r="L1267" s="8">
        <f>SalesData[[#This Row],[Profit]]/SalesData[[#This Row],[Sales]]</f>
        <v>-1.9070581169650706E-2</v>
      </c>
      <c r="M1267" t="str">
        <f>TEXT(SalesData[[#This Row],[Order_Date]],"mmm")</f>
        <v>Jul</v>
      </c>
      <c r="N1267">
        <f>YEAR(SalesData[[#This Row],[Order_Date]])</f>
        <v>2022</v>
      </c>
    </row>
    <row r="1268" spans="1:14" x14ac:dyDescent="0.3">
      <c r="A1268" t="s">
        <v>2395</v>
      </c>
      <c r="B1268" s="1">
        <v>45049</v>
      </c>
      <c r="C1268" t="s">
        <v>443</v>
      </c>
      <c r="D1268" t="s">
        <v>40</v>
      </c>
      <c r="E1268" t="s">
        <v>19</v>
      </c>
      <c r="F1268" t="s">
        <v>29</v>
      </c>
      <c r="G1268" t="s">
        <v>41</v>
      </c>
      <c r="H1268" s="8">
        <v>4982.55</v>
      </c>
      <c r="I1268" s="8">
        <v>355.63</v>
      </c>
      <c r="J1268" s="8">
        <v>0.15</v>
      </c>
      <c r="K1268" t="str">
        <f>IF(SalesData[[#This Row],[Profit]]&gt;0,"Profit","Loss")</f>
        <v>Profit</v>
      </c>
      <c r="L1268" s="8">
        <f>SalesData[[#This Row],[Profit]]/SalesData[[#This Row],[Sales]]</f>
        <v>7.1375099095844496E-2</v>
      </c>
      <c r="M1268" t="str">
        <f>TEXT(SalesData[[#This Row],[Order_Date]],"mmm")</f>
        <v>May</v>
      </c>
      <c r="N1268">
        <f>YEAR(SalesData[[#This Row],[Order_Date]])</f>
        <v>2023</v>
      </c>
    </row>
    <row r="1269" spans="1:14" x14ac:dyDescent="0.3">
      <c r="A1269" t="s">
        <v>2396</v>
      </c>
      <c r="B1269" s="1">
        <v>44889</v>
      </c>
      <c r="C1269" t="s">
        <v>1848</v>
      </c>
      <c r="D1269" t="s">
        <v>12</v>
      </c>
      <c r="E1269" t="s">
        <v>56</v>
      </c>
      <c r="F1269" t="s">
        <v>73</v>
      </c>
      <c r="G1269" t="s">
        <v>1321</v>
      </c>
      <c r="H1269" s="8">
        <v>863.13</v>
      </c>
      <c r="I1269" s="8">
        <v>38.090000000000003</v>
      </c>
      <c r="J1269" s="8">
        <v>0.14000000000000001</v>
      </c>
      <c r="K1269" t="str">
        <f>IF(SalesData[[#This Row],[Profit]]&gt;0,"Profit","Loss")</f>
        <v>Profit</v>
      </c>
      <c r="L1269" s="8">
        <f>SalesData[[#This Row],[Profit]]/SalesData[[#This Row],[Sales]]</f>
        <v>4.4130084691761384E-2</v>
      </c>
      <c r="M1269" t="str">
        <f>TEXT(SalesData[[#This Row],[Order_Date]],"mmm")</f>
        <v>Nov</v>
      </c>
      <c r="N1269">
        <f>YEAR(SalesData[[#This Row],[Order_Date]])</f>
        <v>2022</v>
      </c>
    </row>
    <row r="1270" spans="1:14" x14ac:dyDescent="0.3">
      <c r="A1270" t="s">
        <v>2397</v>
      </c>
      <c r="B1270" s="1">
        <v>45046</v>
      </c>
      <c r="C1270" t="s">
        <v>1246</v>
      </c>
      <c r="D1270" t="s">
        <v>12</v>
      </c>
      <c r="E1270" t="s">
        <v>19</v>
      </c>
      <c r="F1270" t="s">
        <v>20</v>
      </c>
      <c r="G1270" t="s">
        <v>2398</v>
      </c>
      <c r="H1270" s="8">
        <v>4688.6499999999996</v>
      </c>
      <c r="I1270" s="8">
        <v>-243.5</v>
      </c>
      <c r="J1270" s="8">
        <v>0.11</v>
      </c>
      <c r="K1270" t="str">
        <f>IF(SalesData[[#This Row],[Profit]]&gt;0,"Profit","Loss")</f>
        <v>Loss</v>
      </c>
      <c r="L1270" s="8">
        <f>SalesData[[#This Row],[Profit]]/SalesData[[#This Row],[Sales]]</f>
        <v>-5.1933925543599976E-2</v>
      </c>
      <c r="M1270" t="str">
        <f>TEXT(SalesData[[#This Row],[Order_Date]],"mmm")</f>
        <v>Apr</v>
      </c>
      <c r="N1270">
        <f>YEAR(SalesData[[#This Row],[Order_Date]])</f>
        <v>2023</v>
      </c>
    </row>
    <row r="1271" spans="1:14" x14ac:dyDescent="0.3">
      <c r="A1271" t="s">
        <v>2399</v>
      </c>
      <c r="B1271" s="1">
        <v>44707</v>
      </c>
      <c r="C1271" t="s">
        <v>235</v>
      </c>
      <c r="D1271" t="s">
        <v>40</v>
      </c>
      <c r="E1271" t="s">
        <v>56</v>
      </c>
      <c r="F1271" t="s">
        <v>73</v>
      </c>
      <c r="G1271" t="s">
        <v>488</v>
      </c>
      <c r="H1271" s="8">
        <v>2172.31</v>
      </c>
      <c r="I1271" s="8">
        <v>-378.71</v>
      </c>
      <c r="J1271" s="8">
        <v>0.08</v>
      </c>
      <c r="K1271" t="str">
        <f>IF(SalesData[[#This Row],[Profit]]&gt;0,"Profit","Loss")</f>
        <v>Loss</v>
      </c>
      <c r="L1271" s="8">
        <f>SalesData[[#This Row],[Profit]]/SalesData[[#This Row],[Sales]]</f>
        <v>-0.17433515474310757</v>
      </c>
      <c r="M1271" t="str">
        <f>TEXT(SalesData[[#This Row],[Order_Date]],"mmm")</f>
        <v>May</v>
      </c>
      <c r="N1271">
        <f>YEAR(SalesData[[#This Row],[Order_Date]])</f>
        <v>2022</v>
      </c>
    </row>
    <row r="1272" spans="1:14" x14ac:dyDescent="0.3">
      <c r="A1272" t="s">
        <v>2400</v>
      </c>
      <c r="B1272" s="1">
        <v>44781</v>
      </c>
      <c r="C1272" t="s">
        <v>1976</v>
      </c>
      <c r="D1272" t="s">
        <v>40</v>
      </c>
      <c r="E1272" t="s">
        <v>56</v>
      </c>
      <c r="F1272" t="s">
        <v>95</v>
      </c>
      <c r="G1272" t="s">
        <v>714</v>
      </c>
      <c r="H1272" s="8">
        <v>4381.5</v>
      </c>
      <c r="I1272" s="8">
        <v>-386.3</v>
      </c>
      <c r="J1272" s="8">
        <v>0.14000000000000001</v>
      </c>
      <c r="K1272" t="str">
        <f>IF(SalesData[[#This Row],[Profit]]&gt;0,"Profit","Loss")</f>
        <v>Loss</v>
      </c>
      <c r="L1272" s="8">
        <f>SalesData[[#This Row],[Profit]]/SalesData[[#This Row],[Sales]]</f>
        <v>-8.81661531439005E-2</v>
      </c>
      <c r="M1272" t="str">
        <f>TEXT(SalesData[[#This Row],[Order_Date]],"mmm")</f>
        <v>Aug</v>
      </c>
      <c r="N1272">
        <f>YEAR(SalesData[[#This Row],[Order_Date]])</f>
        <v>2022</v>
      </c>
    </row>
    <row r="1273" spans="1:14" x14ac:dyDescent="0.3">
      <c r="A1273" t="s">
        <v>2401</v>
      </c>
      <c r="B1273" s="1">
        <v>44866</v>
      </c>
      <c r="C1273" t="s">
        <v>1161</v>
      </c>
      <c r="D1273" t="s">
        <v>18</v>
      </c>
      <c r="E1273" t="s">
        <v>56</v>
      </c>
      <c r="F1273" t="s">
        <v>57</v>
      </c>
      <c r="G1273" t="s">
        <v>1712</v>
      </c>
      <c r="H1273" s="8">
        <v>4485.29</v>
      </c>
      <c r="I1273" s="8">
        <v>1112.44</v>
      </c>
      <c r="J1273" s="8">
        <v>0.13</v>
      </c>
      <c r="K1273" t="str">
        <f>IF(SalesData[[#This Row],[Profit]]&gt;0,"Profit","Loss")</f>
        <v>Profit</v>
      </c>
      <c r="L1273" s="8">
        <f>SalesData[[#This Row],[Profit]]/SalesData[[#This Row],[Sales]]</f>
        <v>0.24801963752622463</v>
      </c>
      <c r="M1273" t="str">
        <f>TEXT(SalesData[[#This Row],[Order_Date]],"mmm")</f>
        <v>Nov</v>
      </c>
      <c r="N1273">
        <f>YEAR(SalesData[[#This Row],[Order_Date]])</f>
        <v>2022</v>
      </c>
    </row>
    <row r="1274" spans="1:14" x14ac:dyDescent="0.3">
      <c r="A1274" t="s">
        <v>2402</v>
      </c>
      <c r="B1274" s="1">
        <v>45275</v>
      </c>
      <c r="C1274" t="s">
        <v>1639</v>
      </c>
      <c r="D1274" t="s">
        <v>40</v>
      </c>
      <c r="E1274" t="s">
        <v>19</v>
      </c>
      <c r="F1274" t="s">
        <v>29</v>
      </c>
      <c r="G1274" t="s">
        <v>50</v>
      </c>
      <c r="H1274" s="8">
        <v>2429.9499999999998</v>
      </c>
      <c r="I1274" s="8">
        <v>-762</v>
      </c>
      <c r="J1274" s="8">
        <v>0.21</v>
      </c>
      <c r="K1274" t="str">
        <f>IF(SalesData[[#This Row],[Profit]]&gt;0,"Profit","Loss")</f>
        <v>Loss</v>
      </c>
      <c r="L1274" s="8">
        <f>SalesData[[#This Row],[Profit]]/SalesData[[#This Row],[Sales]]</f>
        <v>-0.31358669931480077</v>
      </c>
      <c r="M1274" t="str">
        <f>TEXT(SalesData[[#This Row],[Order_Date]],"mmm")</f>
        <v>Dec</v>
      </c>
      <c r="N1274">
        <f>YEAR(SalesData[[#This Row],[Order_Date]])</f>
        <v>2023</v>
      </c>
    </row>
    <row r="1275" spans="1:14" x14ac:dyDescent="0.3">
      <c r="A1275" t="s">
        <v>2403</v>
      </c>
      <c r="B1275" s="1">
        <v>45173</v>
      </c>
      <c r="C1275" t="s">
        <v>1431</v>
      </c>
      <c r="D1275" t="s">
        <v>12</v>
      </c>
      <c r="E1275" t="s">
        <v>13</v>
      </c>
      <c r="F1275" t="s">
        <v>24</v>
      </c>
      <c r="G1275" t="s">
        <v>737</v>
      </c>
      <c r="H1275" s="8">
        <v>2006.78</v>
      </c>
      <c r="I1275" s="8">
        <v>541.52</v>
      </c>
      <c r="J1275" s="8">
        <v>0</v>
      </c>
      <c r="K1275" t="str">
        <f>IF(SalesData[[#This Row],[Profit]]&gt;0,"Profit","Loss")</f>
        <v>Profit</v>
      </c>
      <c r="L1275" s="8">
        <f>SalesData[[#This Row],[Profit]]/SalesData[[#This Row],[Sales]]</f>
        <v>0.26984522468830663</v>
      </c>
      <c r="M1275" t="str">
        <f>TEXT(SalesData[[#This Row],[Order_Date]],"mmm")</f>
        <v>Sep</v>
      </c>
      <c r="N1275">
        <f>YEAR(SalesData[[#This Row],[Order_Date]])</f>
        <v>2023</v>
      </c>
    </row>
    <row r="1276" spans="1:14" x14ac:dyDescent="0.3">
      <c r="A1276" t="s">
        <v>2404</v>
      </c>
      <c r="B1276" s="1">
        <v>44886</v>
      </c>
      <c r="C1276" t="s">
        <v>1901</v>
      </c>
      <c r="D1276" t="s">
        <v>18</v>
      </c>
      <c r="E1276" t="s">
        <v>13</v>
      </c>
      <c r="F1276" t="s">
        <v>24</v>
      </c>
      <c r="G1276" t="s">
        <v>951</v>
      </c>
      <c r="H1276" s="8">
        <v>3120.91</v>
      </c>
      <c r="I1276" s="8">
        <v>910.75</v>
      </c>
      <c r="J1276" s="8">
        <v>0.1</v>
      </c>
      <c r="K1276" t="str">
        <f>IF(SalesData[[#This Row],[Profit]]&gt;0,"Profit","Loss")</f>
        <v>Profit</v>
      </c>
      <c r="L1276" s="8">
        <f>SalesData[[#This Row],[Profit]]/SalesData[[#This Row],[Sales]]</f>
        <v>0.29182193655055738</v>
      </c>
      <c r="M1276" t="str">
        <f>TEXT(SalesData[[#This Row],[Order_Date]],"mmm")</f>
        <v>Nov</v>
      </c>
      <c r="N1276">
        <f>YEAR(SalesData[[#This Row],[Order_Date]])</f>
        <v>2022</v>
      </c>
    </row>
    <row r="1277" spans="1:14" x14ac:dyDescent="0.3">
      <c r="A1277" t="s">
        <v>2405</v>
      </c>
      <c r="B1277" s="1">
        <v>45252</v>
      </c>
      <c r="C1277" t="s">
        <v>696</v>
      </c>
      <c r="D1277" t="s">
        <v>40</v>
      </c>
      <c r="E1277" t="s">
        <v>19</v>
      </c>
      <c r="F1277" t="s">
        <v>20</v>
      </c>
      <c r="G1277" t="s">
        <v>1539</v>
      </c>
      <c r="H1277" s="8">
        <v>2547.2800000000002</v>
      </c>
      <c r="I1277" s="8">
        <v>471.78</v>
      </c>
      <c r="J1277" s="8">
        <v>0.09</v>
      </c>
      <c r="K1277" t="str">
        <f>IF(SalesData[[#This Row],[Profit]]&gt;0,"Profit","Loss")</f>
        <v>Profit</v>
      </c>
      <c r="L1277" s="8">
        <f>SalesData[[#This Row],[Profit]]/SalesData[[#This Row],[Sales]]</f>
        <v>0.18520932131528531</v>
      </c>
      <c r="M1277" t="str">
        <f>TEXT(SalesData[[#This Row],[Order_Date]],"mmm")</f>
        <v>Nov</v>
      </c>
      <c r="N1277">
        <f>YEAR(SalesData[[#This Row],[Order_Date]])</f>
        <v>2023</v>
      </c>
    </row>
    <row r="1278" spans="1:14" x14ac:dyDescent="0.3">
      <c r="A1278" t="s">
        <v>2406</v>
      </c>
      <c r="B1278" s="1">
        <v>45211</v>
      </c>
      <c r="C1278" t="s">
        <v>1945</v>
      </c>
      <c r="D1278" t="s">
        <v>12</v>
      </c>
      <c r="E1278" t="s">
        <v>13</v>
      </c>
      <c r="F1278" t="s">
        <v>14</v>
      </c>
      <c r="G1278" t="s">
        <v>572</v>
      </c>
      <c r="H1278" s="8">
        <v>4942.37</v>
      </c>
      <c r="I1278" s="8">
        <v>169.82</v>
      </c>
      <c r="J1278" s="8">
        <v>0.28000000000000003</v>
      </c>
      <c r="K1278" t="str">
        <f>IF(SalesData[[#This Row],[Profit]]&gt;0,"Profit","Loss")</f>
        <v>Profit</v>
      </c>
      <c r="L1278" s="8">
        <f>SalesData[[#This Row],[Profit]]/SalesData[[#This Row],[Sales]]</f>
        <v>3.4360033748990867E-2</v>
      </c>
      <c r="M1278" t="str">
        <f>TEXT(SalesData[[#This Row],[Order_Date]],"mmm")</f>
        <v>Oct</v>
      </c>
      <c r="N1278">
        <f>YEAR(SalesData[[#This Row],[Order_Date]])</f>
        <v>2023</v>
      </c>
    </row>
    <row r="1279" spans="1:14" x14ac:dyDescent="0.3">
      <c r="A1279" t="s">
        <v>2407</v>
      </c>
      <c r="B1279" s="1">
        <v>44732</v>
      </c>
      <c r="C1279" t="s">
        <v>2408</v>
      </c>
      <c r="D1279" t="s">
        <v>28</v>
      </c>
      <c r="E1279" t="s">
        <v>56</v>
      </c>
      <c r="F1279" t="s">
        <v>73</v>
      </c>
      <c r="G1279" t="s">
        <v>1009</v>
      </c>
      <c r="H1279" s="8">
        <v>4897.26</v>
      </c>
      <c r="I1279" s="8">
        <v>-11.5</v>
      </c>
      <c r="J1279" s="8">
        <v>0.13</v>
      </c>
      <c r="K1279" t="str">
        <f>IF(SalesData[[#This Row],[Profit]]&gt;0,"Profit","Loss")</f>
        <v>Loss</v>
      </c>
      <c r="L1279" s="8">
        <f>SalesData[[#This Row],[Profit]]/SalesData[[#This Row],[Sales]]</f>
        <v>-2.3482518796224825E-3</v>
      </c>
      <c r="M1279" t="str">
        <f>TEXT(SalesData[[#This Row],[Order_Date]],"mmm")</f>
        <v>Jun</v>
      </c>
      <c r="N1279">
        <f>YEAR(SalesData[[#This Row],[Order_Date]])</f>
        <v>2022</v>
      </c>
    </row>
    <row r="1280" spans="1:14" x14ac:dyDescent="0.3">
      <c r="A1280" t="s">
        <v>2409</v>
      </c>
      <c r="B1280" s="1">
        <v>44576</v>
      </c>
      <c r="C1280" t="s">
        <v>2410</v>
      </c>
      <c r="D1280" t="s">
        <v>40</v>
      </c>
      <c r="E1280" t="s">
        <v>19</v>
      </c>
      <c r="F1280" t="s">
        <v>20</v>
      </c>
      <c r="G1280" t="s">
        <v>431</v>
      </c>
      <c r="H1280" s="8">
        <v>4766.6499999999996</v>
      </c>
      <c r="I1280" s="8">
        <v>-685.91</v>
      </c>
      <c r="J1280" s="8">
        <v>0.28999999999999998</v>
      </c>
      <c r="K1280" t="str">
        <f>IF(SalesData[[#This Row],[Profit]]&gt;0,"Profit","Loss")</f>
        <v>Loss</v>
      </c>
      <c r="L1280" s="8">
        <f>SalesData[[#This Row],[Profit]]/SalesData[[#This Row],[Sales]]</f>
        <v>-0.14389770593603474</v>
      </c>
      <c r="M1280" t="str">
        <f>TEXT(SalesData[[#This Row],[Order_Date]],"mmm")</f>
        <v>Jan</v>
      </c>
      <c r="N1280">
        <f>YEAR(SalesData[[#This Row],[Order_Date]])</f>
        <v>2022</v>
      </c>
    </row>
    <row r="1281" spans="1:14" x14ac:dyDescent="0.3">
      <c r="A1281" t="s">
        <v>2411</v>
      </c>
      <c r="B1281" s="1">
        <v>45226</v>
      </c>
      <c r="C1281" t="s">
        <v>195</v>
      </c>
      <c r="D1281" t="s">
        <v>28</v>
      </c>
      <c r="E1281" t="s">
        <v>19</v>
      </c>
      <c r="F1281" t="s">
        <v>29</v>
      </c>
      <c r="G1281" t="s">
        <v>674</v>
      </c>
      <c r="H1281" s="8">
        <v>2560.2199999999998</v>
      </c>
      <c r="I1281" s="8">
        <v>-103.46</v>
      </c>
      <c r="J1281" s="8">
        <v>0.26</v>
      </c>
      <c r="K1281" t="str">
        <f>IF(SalesData[[#This Row],[Profit]]&gt;0,"Profit","Loss")</f>
        <v>Loss</v>
      </c>
      <c r="L1281" s="8">
        <f>SalesData[[#This Row],[Profit]]/SalesData[[#This Row],[Sales]]</f>
        <v>-4.041058971494637E-2</v>
      </c>
      <c r="M1281" t="str">
        <f>TEXT(SalesData[[#This Row],[Order_Date]],"mmm")</f>
        <v>Oct</v>
      </c>
      <c r="N1281">
        <f>YEAR(SalesData[[#This Row],[Order_Date]])</f>
        <v>2023</v>
      </c>
    </row>
    <row r="1282" spans="1:14" x14ac:dyDescent="0.3">
      <c r="A1282" t="s">
        <v>2412</v>
      </c>
      <c r="B1282" s="1">
        <v>44905</v>
      </c>
      <c r="C1282" t="s">
        <v>1700</v>
      </c>
      <c r="D1282" t="s">
        <v>18</v>
      </c>
      <c r="E1282" t="s">
        <v>19</v>
      </c>
      <c r="F1282" t="s">
        <v>29</v>
      </c>
      <c r="G1282" t="s">
        <v>436</v>
      </c>
      <c r="H1282" s="8">
        <v>4158.1099999999997</v>
      </c>
      <c r="I1282" s="8">
        <v>1058</v>
      </c>
      <c r="J1282" s="8">
        <v>0.13</v>
      </c>
      <c r="K1282" t="str">
        <f>IF(SalesData[[#This Row],[Profit]]&gt;0,"Profit","Loss")</f>
        <v>Profit</v>
      </c>
      <c r="L1282" s="8">
        <f>SalesData[[#This Row],[Profit]]/SalesData[[#This Row],[Sales]]</f>
        <v>0.25444252316557286</v>
      </c>
      <c r="M1282" t="str">
        <f>TEXT(SalesData[[#This Row],[Order_Date]],"mmm")</f>
        <v>Dec</v>
      </c>
      <c r="N1282">
        <f>YEAR(SalesData[[#This Row],[Order_Date]])</f>
        <v>2022</v>
      </c>
    </row>
    <row r="1283" spans="1:14" x14ac:dyDescent="0.3">
      <c r="A1283" t="s">
        <v>2413</v>
      </c>
      <c r="B1283" s="1">
        <v>44952</v>
      </c>
      <c r="C1283" t="s">
        <v>132</v>
      </c>
      <c r="D1283" t="s">
        <v>28</v>
      </c>
      <c r="E1283" t="s">
        <v>19</v>
      </c>
      <c r="F1283" t="s">
        <v>29</v>
      </c>
      <c r="G1283" t="s">
        <v>2414</v>
      </c>
      <c r="H1283" s="8">
        <v>966.79</v>
      </c>
      <c r="I1283" s="8">
        <v>-52.54</v>
      </c>
      <c r="J1283" s="8">
        <v>0.18</v>
      </c>
      <c r="K1283" t="str">
        <f>IF(SalesData[[#This Row],[Profit]]&gt;0,"Profit","Loss")</f>
        <v>Loss</v>
      </c>
      <c r="L1283" s="8">
        <f>SalesData[[#This Row],[Profit]]/SalesData[[#This Row],[Sales]]</f>
        <v>-5.4344790492247545E-2</v>
      </c>
      <c r="M1283" t="str">
        <f>TEXT(SalesData[[#This Row],[Order_Date]],"mmm")</f>
        <v>Jan</v>
      </c>
      <c r="N1283">
        <f>YEAR(SalesData[[#This Row],[Order_Date]])</f>
        <v>2023</v>
      </c>
    </row>
    <row r="1284" spans="1:14" x14ac:dyDescent="0.3">
      <c r="A1284" t="s">
        <v>2415</v>
      </c>
      <c r="B1284" s="1">
        <v>44651</v>
      </c>
      <c r="C1284" t="s">
        <v>1256</v>
      </c>
      <c r="D1284" t="s">
        <v>12</v>
      </c>
      <c r="E1284" t="s">
        <v>19</v>
      </c>
      <c r="F1284" t="s">
        <v>141</v>
      </c>
      <c r="G1284" t="s">
        <v>1303</v>
      </c>
      <c r="H1284" s="8">
        <v>3139.84</v>
      </c>
      <c r="I1284" s="8">
        <v>107.38</v>
      </c>
      <c r="J1284" s="8">
        <v>0.28000000000000003</v>
      </c>
      <c r="K1284" t="str">
        <f>IF(SalesData[[#This Row],[Profit]]&gt;0,"Profit","Loss")</f>
        <v>Profit</v>
      </c>
      <c r="L1284" s="8">
        <f>SalesData[[#This Row],[Profit]]/SalesData[[#This Row],[Sales]]</f>
        <v>3.4199194863432529E-2</v>
      </c>
      <c r="M1284" t="str">
        <f>TEXT(SalesData[[#This Row],[Order_Date]],"mmm")</f>
        <v>Mar</v>
      </c>
      <c r="N1284">
        <f>YEAR(SalesData[[#This Row],[Order_Date]])</f>
        <v>2022</v>
      </c>
    </row>
    <row r="1285" spans="1:14" x14ac:dyDescent="0.3">
      <c r="A1285" t="s">
        <v>2416</v>
      </c>
      <c r="B1285" s="1">
        <v>45200</v>
      </c>
      <c r="C1285" t="s">
        <v>2417</v>
      </c>
      <c r="D1285" t="s">
        <v>12</v>
      </c>
      <c r="E1285" t="s">
        <v>56</v>
      </c>
      <c r="F1285" t="s">
        <v>73</v>
      </c>
      <c r="G1285" t="s">
        <v>2414</v>
      </c>
      <c r="H1285" s="8">
        <v>4669.2299999999996</v>
      </c>
      <c r="I1285" s="8">
        <v>1027.07</v>
      </c>
      <c r="J1285" s="8">
        <v>0.03</v>
      </c>
      <c r="K1285" t="str">
        <f>IF(SalesData[[#This Row],[Profit]]&gt;0,"Profit","Loss")</f>
        <v>Profit</v>
      </c>
      <c r="L1285" s="8">
        <f>SalesData[[#This Row],[Profit]]/SalesData[[#This Row],[Sales]]</f>
        <v>0.21996560460718365</v>
      </c>
      <c r="M1285" t="str">
        <f>TEXT(SalesData[[#This Row],[Order_Date]],"mmm")</f>
        <v>Oct</v>
      </c>
      <c r="N1285">
        <f>YEAR(SalesData[[#This Row],[Order_Date]])</f>
        <v>2023</v>
      </c>
    </row>
    <row r="1286" spans="1:14" x14ac:dyDescent="0.3">
      <c r="A1286" t="s">
        <v>2418</v>
      </c>
      <c r="B1286" s="1">
        <v>44992</v>
      </c>
      <c r="C1286" t="s">
        <v>1508</v>
      </c>
      <c r="D1286" t="s">
        <v>18</v>
      </c>
      <c r="E1286" t="s">
        <v>19</v>
      </c>
      <c r="F1286" t="s">
        <v>141</v>
      </c>
      <c r="G1286" t="s">
        <v>468</v>
      </c>
      <c r="H1286" s="8">
        <v>2948.04</v>
      </c>
      <c r="I1286" s="8">
        <v>-106.3</v>
      </c>
      <c r="J1286" s="8">
        <v>0.01</v>
      </c>
      <c r="K1286" t="str">
        <f>IF(SalesData[[#This Row],[Profit]]&gt;0,"Profit","Loss")</f>
        <v>Loss</v>
      </c>
      <c r="L1286" s="8">
        <f>SalesData[[#This Row],[Profit]]/SalesData[[#This Row],[Sales]]</f>
        <v>-3.605785538866501E-2</v>
      </c>
      <c r="M1286" t="str">
        <f>TEXT(SalesData[[#This Row],[Order_Date]],"mmm")</f>
        <v>Mar</v>
      </c>
      <c r="N1286">
        <f>YEAR(SalesData[[#This Row],[Order_Date]])</f>
        <v>2023</v>
      </c>
    </row>
    <row r="1287" spans="1:14" x14ac:dyDescent="0.3">
      <c r="A1287" t="s">
        <v>2419</v>
      </c>
      <c r="B1287" s="1">
        <v>44689</v>
      </c>
      <c r="C1287" t="s">
        <v>168</v>
      </c>
      <c r="D1287" t="s">
        <v>28</v>
      </c>
      <c r="E1287" t="s">
        <v>19</v>
      </c>
      <c r="F1287" t="s">
        <v>141</v>
      </c>
      <c r="G1287" t="s">
        <v>1220</v>
      </c>
      <c r="H1287" s="8">
        <v>1967.29</v>
      </c>
      <c r="I1287" s="8">
        <v>42.78</v>
      </c>
      <c r="J1287" s="8">
        <v>0.06</v>
      </c>
      <c r="K1287" t="str">
        <f>IF(SalesData[[#This Row],[Profit]]&gt;0,"Profit","Loss")</f>
        <v>Profit</v>
      </c>
      <c r="L1287" s="8">
        <f>SalesData[[#This Row],[Profit]]/SalesData[[#This Row],[Sales]]</f>
        <v>2.1745650107508299E-2</v>
      </c>
      <c r="M1287" t="str">
        <f>TEXT(SalesData[[#This Row],[Order_Date]],"mmm")</f>
        <v>May</v>
      </c>
      <c r="N1287">
        <f>YEAR(SalesData[[#This Row],[Order_Date]])</f>
        <v>2022</v>
      </c>
    </row>
    <row r="1288" spans="1:14" x14ac:dyDescent="0.3">
      <c r="A1288" t="s">
        <v>2420</v>
      </c>
      <c r="B1288" s="1">
        <v>44791</v>
      </c>
      <c r="C1288" t="s">
        <v>1763</v>
      </c>
      <c r="D1288" t="s">
        <v>40</v>
      </c>
      <c r="E1288" t="s">
        <v>13</v>
      </c>
      <c r="F1288" t="s">
        <v>24</v>
      </c>
      <c r="G1288" t="s">
        <v>2033</v>
      </c>
      <c r="H1288" s="8">
        <v>3944.71</v>
      </c>
      <c r="I1288" s="8">
        <v>961.6</v>
      </c>
      <c r="J1288" s="8">
        <v>0.12</v>
      </c>
      <c r="K1288" t="str">
        <f>IF(SalesData[[#This Row],[Profit]]&gt;0,"Profit","Loss")</f>
        <v>Profit</v>
      </c>
      <c r="L1288" s="8">
        <f>SalesData[[#This Row],[Profit]]/SalesData[[#This Row],[Sales]]</f>
        <v>0.24376950396860605</v>
      </c>
      <c r="M1288" t="str">
        <f>TEXT(SalesData[[#This Row],[Order_Date]],"mmm")</f>
        <v>Aug</v>
      </c>
      <c r="N1288">
        <f>YEAR(SalesData[[#This Row],[Order_Date]])</f>
        <v>2022</v>
      </c>
    </row>
    <row r="1289" spans="1:14" x14ac:dyDescent="0.3">
      <c r="A1289" t="s">
        <v>2421</v>
      </c>
      <c r="B1289" s="1">
        <v>45251</v>
      </c>
      <c r="C1289" t="s">
        <v>639</v>
      </c>
      <c r="D1289" t="s">
        <v>12</v>
      </c>
      <c r="E1289" t="s">
        <v>13</v>
      </c>
      <c r="F1289" t="s">
        <v>36</v>
      </c>
      <c r="G1289" t="s">
        <v>603</v>
      </c>
      <c r="H1289" s="8">
        <v>1606.24</v>
      </c>
      <c r="I1289" s="8">
        <v>121.44</v>
      </c>
      <c r="J1289" s="8">
        <v>0.27</v>
      </c>
      <c r="K1289" t="str">
        <f>IF(SalesData[[#This Row],[Profit]]&gt;0,"Profit","Loss")</f>
        <v>Profit</v>
      </c>
      <c r="L1289" s="8">
        <f>SalesData[[#This Row],[Profit]]/SalesData[[#This Row],[Sales]]</f>
        <v>7.5605139954178696E-2</v>
      </c>
      <c r="M1289" t="str">
        <f>TEXT(SalesData[[#This Row],[Order_Date]],"mmm")</f>
        <v>Nov</v>
      </c>
      <c r="N1289">
        <f>YEAR(SalesData[[#This Row],[Order_Date]])</f>
        <v>2023</v>
      </c>
    </row>
    <row r="1290" spans="1:14" x14ac:dyDescent="0.3">
      <c r="A1290" t="s">
        <v>2422</v>
      </c>
      <c r="B1290" s="1">
        <v>45093</v>
      </c>
      <c r="C1290" t="s">
        <v>2159</v>
      </c>
      <c r="D1290" t="s">
        <v>40</v>
      </c>
      <c r="E1290" t="s">
        <v>19</v>
      </c>
      <c r="F1290" t="s">
        <v>20</v>
      </c>
      <c r="G1290" t="s">
        <v>1980</v>
      </c>
      <c r="H1290" s="8">
        <v>176.1</v>
      </c>
      <c r="I1290" s="8">
        <v>-4.47</v>
      </c>
      <c r="J1290" s="8">
        <v>0.05</v>
      </c>
      <c r="K1290" t="str">
        <f>IF(SalesData[[#This Row],[Profit]]&gt;0,"Profit","Loss")</f>
        <v>Loss</v>
      </c>
      <c r="L1290" s="8">
        <f>SalesData[[#This Row],[Profit]]/SalesData[[#This Row],[Sales]]</f>
        <v>-2.5383304940374787E-2</v>
      </c>
      <c r="M1290" t="str">
        <f>TEXT(SalesData[[#This Row],[Order_Date]],"mmm")</f>
        <v>Jun</v>
      </c>
      <c r="N1290">
        <f>YEAR(SalesData[[#This Row],[Order_Date]])</f>
        <v>2023</v>
      </c>
    </row>
    <row r="1291" spans="1:14" x14ac:dyDescent="0.3">
      <c r="A1291" t="s">
        <v>2423</v>
      </c>
      <c r="B1291" s="1">
        <v>44759</v>
      </c>
      <c r="C1291" t="s">
        <v>1842</v>
      </c>
      <c r="D1291" t="s">
        <v>28</v>
      </c>
      <c r="E1291" t="s">
        <v>56</v>
      </c>
      <c r="F1291" t="s">
        <v>73</v>
      </c>
      <c r="G1291" t="s">
        <v>383</v>
      </c>
      <c r="H1291" s="8">
        <v>4964.8599999999997</v>
      </c>
      <c r="I1291" s="8">
        <v>1559.43</v>
      </c>
      <c r="J1291" s="8">
        <v>7.0000000000000007E-2</v>
      </c>
      <c r="K1291" t="str">
        <f>IF(SalesData[[#This Row],[Profit]]&gt;0,"Profit","Loss")</f>
        <v>Profit</v>
      </c>
      <c r="L1291" s="8">
        <f>SalesData[[#This Row],[Profit]]/SalesData[[#This Row],[Sales]]</f>
        <v>0.31409344875787032</v>
      </c>
      <c r="M1291" t="str">
        <f>TEXT(SalesData[[#This Row],[Order_Date]],"mmm")</f>
        <v>Jul</v>
      </c>
      <c r="N1291">
        <f>YEAR(SalesData[[#This Row],[Order_Date]])</f>
        <v>2022</v>
      </c>
    </row>
    <row r="1292" spans="1:14" x14ac:dyDescent="0.3">
      <c r="A1292" t="s">
        <v>2424</v>
      </c>
      <c r="B1292" s="1">
        <v>44739</v>
      </c>
      <c r="C1292" t="s">
        <v>2425</v>
      </c>
      <c r="D1292" t="s">
        <v>40</v>
      </c>
      <c r="E1292" t="s">
        <v>56</v>
      </c>
      <c r="F1292" t="s">
        <v>73</v>
      </c>
      <c r="G1292" t="s">
        <v>2426</v>
      </c>
      <c r="H1292" s="8">
        <v>2202.6</v>
      </c>
      <c r="I1292" s="8">
        <v>-541.29999999999995</v>
      </c>
      <c r="J1292" s="8">
        <v>0.28000000000000003</v>
      </c>
      <c r="K1292" t="str">
        <f>IF(SalesData[[#This Row],[Profit]]&gt;0,"Profit","Loss")</f>
        <v>Loss</v>
      </c>
      <c r="L1292" s="8">
        <f>SalesData[[#This Row],[Profit]]/SalesData[[#This Row],[Sales]]</f>
        <v>-0.24575501679832923</v>
      </c>
      <c r="M1292" t="str">
        <f>TEXT(SalesData[[#This Row],[Order_Date]],"mmm")</f>
        <v>Jun</v>
      </c>
      <c r="N1292">
        <f>YEAR(SalesData[[#This Row],[Order_Date]])</f>
        <v>2022</v>
      </c>
    </row>
    <row r="1293" spans="1:14" x14ac:dyDescent="0.3">
      <c r="A1293" t="s">
        <v>2427</v>
      </c>
      <c r="B1293" s="1">
        <v>44683</v>
      </c>
      <c r="C1293" t="s">
        <v>519</v>
      </c>
      <c r="D1293" t="s">
        <v>28</v>
      </c>
      <c r="E1293" t="s">
        <v>56</v>
      </c>
      <c r="F1293" t="s">
        <v>95</v>
      </c>
      <c r="G1293" t="s">
        <v>627</v>
      </c>
      <c r="H1293" s="8">
        <v>1231.75</v>
      </c>
      <c r="I1293" s="8">
        <v>-411.65</v>
      </c>
      <c r="J1293" s="8">
        <v>0.21</v>
      </c>
      <c r="K1293" t="str">
        <f>IF(SalesData[[#This Row],[Profit]]&gt;0,"Profit","Loss")</f>
        <v>Loss</v>
      </c>
      <c r="L1293" s="8">
        <f>SalesData[[#This Row],[Profit]]/SalesData[[#This Row],[Sales]]</f>
        <v>-0.3341993099249036</v>
      </c>
      <c r="M1293" t="str">
        <f>TEXT(SalesData[[#This Row],[Order_Date]],"mmm")</f>
        <v>May</v>
      </c>
      <c r="N1293">
        <f>YEAR(SalesData[[#This Row],[Order_Date]])</f>
        <v>2022</v>
      </c>
    </row>
    <row r="1294" spans="1:14" x14ac:dyDescent="0.3">
      <c r="A1294" t="s">
        <v>2428</v>
      </c>
      <c r="B1294" s="1">
        <v>44657</v>
      </c>
      <c r="C1294" t="s">
        <v>2378</v>
      </c>
      <c r="D1294" t="s">
        <v>12</v>
      </c>
      <c r="E1294" t="s">
        <v>13</v>
      </c>
      <c r="F1294" t="s">
        <v>36</v>
      </c>
      <c r="G1294" t="s">
        <v>491</v>
      </c>
      <c r="H1294" s="8">
        <v>4202.96</v>
      </c>
      <c r="I1294" s="8">
        <v>-237.71</v>
      </c>
      <c r="J1294" s="8">
        <v>0.05</v>
      </c>
      <c r="K1294" t="str">
        <f>IF(SalesData[[#This Row],[Profit]]&gt;0,"Profit","Loss")</f>
        <v>Loss</v>
      </c>
      <c r="L1294" s="8">
        <f>SalesData[[#This Row],[Profit]]/SalesData[[#This Row],[Sales]]</f>
        <v>-5.6557759293450333E-2</v>
      </c>
      <c r="M1294" t="str">
        <f>TEXT(SalesData[[#This Row],[Order_Date]],"mmm")</f>
        <v>Apr</v>
      </c>
      <c r="N1294">
        <f>YEAR(SalesData[[#This Row],[Order_Date]])</f>
        <v>2022</v>
      </c>
    </row>
    <row r="1295" spans="1:14" x14ac:dyDescent="0.3">
      <c r="A1295" t="s">
        <v>2429</v>
      </c>
      <c r="B1295" s="1">
        <v>45118</v>
      </c>
      <c r="C1295" t="s">
        <v>1607</v>
      </c>
      <c r="D1295" t="s">
        <v>28</v>
      </c>
      <c r="E1295" t="s">
        <v>56</v>
      </c>
      <c r="F1295" t="s">
        <v>73</v>
      </c>
      <c r="G1295" t="s">
        <v>166</v>
      </c>
      <c r="H1295" s="8">
        <v>3873.16</v>
      </c>
      <c r="I1295" s="8">
        <v>468.11</v>
      </c>
      <c r="J1295" s="8">
        <v>0.05</v>
      </c>
      <c r="K1295" t="str">
        <f>IF(SalesData[[#This Row],[Profit]]&gt;0,"Profit","Loss")</f>
        <v>Profit</v>
      </c>
      <c r="L1295" s="8">
        <f>SalesData[[#This Row],[Profit]]/SalesData[[#This Row],[Sales]]</f>
        <v>0.12085996963719547</v>
      </c>
      <c r="M1295" t="str">
        <f>TEXT(SalesData[[#This Row],[Order_Date]],"mmm")</f>
        <v>Jul</v>
      </c>
      <c r="N1295">
        <f>YEAR(SalesData[[#This Row],[Order_Date]])</f>
        <v>2023</v>
      </c>
    </row>
    <row r="1296" spans="1:14" x14ac:dyDescent="0.3">
      <c r="A1296" t="s">
        <v>2430</v>
      </c>
      <c r="B1296" s="1">
        <v>44928</v>
      </c>
      <c r="C1296" t="s">
        <v>2431</v>
      </c>
      <c r="D1296" t="s">
        <v>18</v>
      </c>
      <c r="E1296" t="s">
        <v>13</v>
      </c>
      <c r="F1296" t="s">
        <v>24</v>
      </c>
      <c r="G1296" t="s">
        <v>1292</v>
      </c>
      <c r="H1296" s="8">
        <v>739.69</v>
      </c>
      <c r="I1296" s="8">
        <v>28.77</v>
      </c>
      <c r="J1296" s="8">
        <v>0.14000000000000001</v>
      </c>
      <c r="K1296" t="str">
        <f>IF(SalesData[[#This Row],[Profit]]&gt;0,"Profit","Loss")</f>
        <v>Profit</v>
      </c>
      <c r="L1296" s="8">
        <f>SalesData[[#This Row],[Profit]]/SalesData[[#This Row],[Sales]]</f>
        <v>3.8894672092363011E-2</v>
      </c>
      <c r="M1296" t="str">
        <f>TEXT(SalesData[[#This Row],[Order_Date]],"mmm")</f>
        <v>Jan</v>
      </c>
      <c r="N1296">
        <f>YEAR(SalesData[[#This Row],[Order_Date]])</f>
        <v>2023</v>
      </c>
    </row>
    <row r="1297" spans="1:14" x14ac:dyDescent="0.3">
      <c r="A1297" t="s">
        <v>2432</v>
      </c>
      <c r="B1297" s="1">
        <v>44949</v>
      </c>
      <c r="C1297" t="s">
        <v>722</v>
      </c>
      <c r="D1297" t="s">
        <v>40</v>
      </c>
      <c r="E1297" t="s">
        <v>56</v>
      </c>
      <c r="F1297" t="s">
        <v>95</v>
      </c>
      <c r="G1297" t="s">
        <v>803</v>
      </c>
      <c r="H1297" s="8">
        <v>1049.76</v>
      </c>
      <c r="I1297" s="8">
        <v>-14.92</v>
      </c>
      <c r="J1297" s="8">
        <v>0.25</v>
      </c>
      <c r="K1297" t="str">
        <f>IF(SalesData[[#This Row],[Profit]]&gt;0,"Profit","Loss")</f>
        <v>Loss</v>
      </c>
      <c r="L1297" s="8">
        <f>SalesData[[#This Row],[Profit]]/SalesData[[#This Row],[Sales]]</f>
        <v>-1.4212772443225118E-2</v>
      </c>
      <c r="M1297" t="str">
        <f>TEXT(SalesData[[#This Row],[Order_Date]],"mmm")</f>
        <v>Jan</v>
      </c>
      <c r="N1297">
        <f>YEAR(SalesData[[#This Row],[Order_Date]])</f>
        <v>2023</v>
      </c>
    </row>
    <row r="1298" spans="1:14" x14ac:dyDescent="0.3">
      <c r="A1298" t="s">
        <v>2433</v>
      </c>
      <c r="B1298" s="1">
        <v>45155</v>
      </c>
      <c r="C1298" t="s">
        <v>278</v>
      </c>
      <c r="D1298" t="s">
        <v>12</v>
      </c>
      <c r="E1298" t="s">
        <v>56</v>
      </c>
      <c r="F1298" t="s">
        <v>95</v>
      </c>
      <c r="G1298" t="s">
        <v>485</v>
      </c>
      <c r="H1298" s="8">
        <v>506.52</v>
      </c>
      <c r="I1298" s="8">
        <v>-114.53</v>
      </c>
      <c r="J1298" s="8">
        <v>0.04</v>
      </c>
      <c r="K1298" t="str">
        <f>IF(SalesData[[#This Row],[Profit]]&gt;0,"Profit","Loss")</f>
        <v>Loss</v>
      </c>
      <c r="L1298" s="8">
        <f>SalesData[[#This Row],[Profit]]/SalesData[[#This Row],[Sales]]</f>
        <v>-0.22611150596225224</v>
      </c>
      <c r="M1298" t="str">
        <f>TEXT(SalesData[[#This Row],[Order_Date]],"mmm")</f>
        <v>Aug</v>
      </c>
      <c r="N1298">
        <f>YEAR(SalesData[[#This Row],[Order_Date]])</f>
        <v>2023</v>
      </c>
    </row>
    <row r="1299" spans="1:14" x14ac:dyDescent="0.3">
      <c r="A1299" t="s">
        <v>2434</v>
      </c>
      <c r="B1299" s="1">
        <v>44657</v>
      </c>
      <c r="C1299" t="s">
        <v>1648</v>
      </c>
      <c r="D1299" t="s">
        <v>28</v>
      </c>
      <c r="E1299" t="s">
        <v>13</v>
      </c>
      <c r="F1299" t="s">
        <v>14</v>
      </c>
      <c r="G1299" t="s">
        <v>2435</v>
      </c>
      <c r="H1299" s="8">
        <v>624.67999999999995</v>
      </c>
      <c r="I1299" s="8">
        <v>160.38999999999999</v>
      </c>
      <c r="J1299" s="8">
        <v>0.08</v>
      </c>
      <c r="K1299" t="str">
        <f>IF(SalesData[[#This Row],[Profit]]&gt;0,"Profit","Loss")</f>
        <v>Profit</v>
      </c>
      <c r="L1299" s="8">
        <f>SalesData[[#This Row],[Profit]]/SalesData[[#This Row],[Sales]]</f>
        <v>0.25675545879490297</v>
      </c>
      <c r="M1299" t="str">
        <f>TEXT(SalesData[[#This Row],[Order_Date]],"mmm")</f>
        <v>Apr</v>
      </c>
      <c r="N1299">
        <f>YEAR(SalesData[[#This Row],[Order_Date]])</f>
        <v>2022</v>
      </c>
    </row>
    <row r="1300" spans="1:14" x14ac:dyDescent="0.3">
      <c r="A1300" t="s">
        <v>2436</v>
      </c>
      <c r="B1300" s="1">
        <v>44637</v>
      </c>
      <c r="C1300" t="s">
        <v>2437</v>
      </c>
      <c r="D1300" t="s">
        <v>12</v>
      </c>
      <c r="E1300" t="s">
        <v>19</v>
      </c>
      <c r="F1300" t="s">
        <v>20</v>
      </c>
      <c r="G1300" t="s">
        <v>1857</v>
      </c>
      <c r="H1300" s="8">
        <v>2014.92</v>
      </c>
      <c r="I1300" s="8">
        <v>-678.68</v>
      </c>
      <c r="J1300" s="8">
        <v>0.15</v>
      </c>
      <c r="K1300" t="str">
        <f>IF(SalesData[[#This Row],[Profit]]&gt;0,"Profit","Loss")</f>
        <v>Loss</v>
      </c>
      <c r="L1300" s="8">
        <f>SalesData[[#This Row],[Profit]]/SalesData[[#This Row],[Sales]]</f>
        <v>-0.33682726857641987</v>
      </c>
      <c r="M1300" t="str">
        <f>TEXT(SalesData[[#This Row],[Order_Date]],"mmm")</f>
        <v>Mar</v>
      </c>
      <c r="N1300">
        <f>YEAR(SalesData[[#This Row],[Order_Date]])</f>
        <v>2022</v>
      </c>
    </row>
    <row r="1301" spans="1:14" x14ac:dyDescent="0.3">
      <c r="A1301" t="s">
        <v>2438</v>
      </c>
      <c r="B1301" s="1">
        <v>44726</v>
      </c>
      <c r="C1301" t="s">
        <v>1860</v>
      </c>
      <c r="D1301" t="s">
        <v>40</v>
      </c>
      <c r="E1301" t="s">
        <v>13</v>
      </c>
      <c r="F1301" t="s">
        <v>36</v>
      </c>
      <c r="G1301" t="s">
        <v>1198</v>
      </c>
      <c r="H1301" s="8">
        <v>1938.75</v>
      </c>
      <c r="I1301" s="8">
        <v>494.35</v>
      </c>
      <c r="J1301" s="8">
        <v>0.09</v>
      </c>
      <c r="K1301" t="str">
        <f>IF(SalesData[[#This Row],[Profit]]&gt;0,"Profit","Loss")</f>
        <v>Profit</v>
      </c>
      <c r="L1301" s="8">
        <f>SalesData[[#This Row],[Profit]]/SalesData[[#This Row],[Sales]]</f>
        <v>0.25498388136686012</v>
      </c>
      <c r="M1301" t="str">
        <f>TEXT(SalesData[[#This Row],[Order_Date]],"mmm")</f>
        <v>Jun</v>
      </c>
      <c r="N1301">
        <f>YEAR(SalesData[[#This Row],[Order_Date]])</f>
        <v>2022</v>
      </c>
    </row>
    <row r="1302" spans="1:14" x14ac:dyDescent="0.3">
      <c r="A1302" t="s">
        <v>2439</v>
      </c>
      <c r="B1302" s="1">
        <v>44913</v>
      </c>
      <c r="C1302" t="s">
        <v>247</v>
      </c>
      <c r="D1302" t="s">
        <v>28</v>
      </c>
      <c r="E1302" t="s">
        <v>56</v>
      </c>
      <c r="F1302" t="s">
        <v>73</v>
      </c>
      <c r="G1302" t="s">
        <v>755</v>
      </c>
      <c r="H1302" s="8">
        <v>2879.74</v>
      </c>
      <c r="I1302" s="8">
        <v>-1039.96</v>
      </c>
      <c r="J1302" s="8">
        <v>0.18</v>
      </c>
      <c r="K1302" t="str">
        <f>IF(SalesData[[#This Row],[Profit]]&gt;0,"Profit","Loss")</f>
        <v>Loss</v>
      </c>
      <c r="L1302" s="8">
        <f>SalesData[[#This Row],[Profit]]/SalesData[[#This Row],[Sales]]</f>
        <v>-0.36112982422024215</v>
      </c>
      <c r="M1302" t="str">
        <f>TEXT(SalesData[[#This Row],[Order_Date]],"mmm")</f>
        <v>Dec</v>
      </c>
      <c r="N1302">
        <f>YEAR(SalesData[[#This Row],[Order_Date]])</f>
        <v>2022</v>
      </c>
    </row>
    <row r="1303" spans="1:14" x14ac:dyDescent="0.3">
      <c r="A1303" t="s">
        <v>2440</v>
      </c>
      <c r="B1303" s="1">
        <v>44686</v>
      </c>
      <c r="C1303" t="s">
        <v>2441</v>
      </c>
      <c r="D1303" t="s">
        <v>12</v>
      </c>
      <c r="E1303" t="s">
        <v>13</v>
      </c>
      <c r="F1303" t="s">
        <v>24</v>
      </c>
      <c r="G1303" t="s">
        <v>806</v>
      </c>
      <c r="H1303" s="8">
        <v>124.57</v>
      </c>
      <c r="I1303" s="8">
        <v>-25.82</v>
      </c>
      <c r="J1303" s="8">
        <v>0.16</v>
      </c>
      <c r="K1303" t="str">
        <f>IF(SalesData[[#This Row],[Profit]]&gt;0,"Profit","Loss")</f>
        <v>Loss</v>
      </c>
      <c r="L1303" s="8">
        <f>SalesData[[#This Row],[Profit]]/SalesData[[#This Row],[Sales]]</f>
        <v>-0.20727301918599986</v>
      </c>
      <c r="M1303" t="str">
        <f>TEXT(SalesData[[#This Row],[Order_Date]],"mmm")</f>
        <v>May</v>
      </c>
      <c r="N1303">
        <f>YEAR(SalesData[[#This Row],[Order_Date]])</f>
        <v>2022</v>
      </c>
    </row>
    <row r="1304" spans="1:14" x14ac:dyDescent="0.3">
      <c r="A1304" t="s">
        <v>2442</v>
      </c>
      <c r="B1304" s="1">
        <v>44679</v>
      </c>
      <c r="C1304" t="s">
        <v>950</v>
      </c>
      <c r="D1304" t="s">
        <v>12</v>
      </c>
      <c r="E1304" t="s">
        <v>56</v>
      </c>
      <c r="F1304" t="s">
        <v>73</v>
      </c>
      <c r="G1304" t="s">
        <v>660</v>
      </c>
      <c r="H1304" s="8">
        <v>2607.5500000000002</v>
      </c>
      <c r="I1304" s="8">
        <v>704.36</v>
      </c>
      <c r="J1304" s="8">
        <v>0.05</v>
      </c>
      <c r="K1304" t="str">
        <f>IF(SalesData[[#This Row],[Profit]]&gt;0,"Profit","Loss")</f>
        <v>Profit</v>
      </c>
      <c r="L1304" s="8">
        <f>SalesData[[#This Row],[Profit]]/SalesData[[#This Row],[Sales]]</f>
        <v>0.27012329581407835</v>
      </c>
      <c r="M1304" t="str">
        <f>TEXT(SalesData[[#This Row],[Order_Date]],"mmm")</f>
        <v>Apr</v>
      </c>
      <c r="N1304">
        <f>YEAR(SalesData[[#This Row],[Order_Date]])</f>
        <v>2022</v>
      </c>
    </row>
    <row r="1305" spans="1:14" x14ac:dyDescent="0.3">
      <c r="A1305" t="s">
        <v>2443</v>
      </c>
      <c r="B1305" s="1">
        <v>44842</v>
      </c>
      <c r="C1305" t="s">
        <v>1619</v>
      </c>
      <c r="D1305" t="s">
        <v>18</v>
      </c>
      <c r="E1305" t="s">
        <v>56</v>
      </c>
      <c r="F1305" t="s">
        <v>57</v>
      </c>
      <c r="G1305" t="s">
        <v>717</v>
      </c>
      <c r="H1305" s="8">
        <v>508.87</v>
      </c>
      <c r="I1305" s="8">
        <v>-169.99</v>
      </c>
      <c r="J1305" s="8">
        <v>0.21</v>
      </c>
      <c r="K1305" t="str">
        <f>IF(SalesData[[#This Row],[Profit]]&gt;0,"Profit","Loss")</f>
        <v>Loss</v>
      </c>
      <c r="L1305" s="8">
        <f>SalesData[[#This Row],[Profit]]/SalesData[[#This Row],[Sales]]</f>
        <v>-0.33405388409613457</v>
      </c>
      <c r="M1305" t="str">
        <f>TEXT(SalesData[[#This Row],[Order_Date]],"mmm")</f>
        <v>Oct</v>
      </c>
      <c r="N1305">
        <f>YEAR(SalesData[[#This Row],[Order_Date]])</f>
        <v>2022</v>
      </c>
    </row>
    <row r="1306" spans="1:14" x14ac:dyDescent="0.3">
      <c r="A1306" t="s">
        <v>2444</v>
      </c>
      <c r="B1306" s="1">
        <v>45069</v>
      </c>
      <c r="C1306" t="s">
        <v>484</v>
      </c>
      <c r="D1306" t="s">
        <v>28</v>
      </c>
      <c r="E1306" t="s">
        <v>56</v>
      </c>
      <c r="F1306" t="s">
        <v>95</v>
      </c>
      <c r="G1306" t="s">
        <v>774</v>
      </c>
      <c r="H1306" s="8">
        <v>3569.61</v>
      </c>
      <c r="I1306" s="8">
        <v>-427.55</v>
      </c>
      <c r="J1306" s="8">
        <v>0.2</v>
      </c>
      <c r="K1306" t="str">
        <f>IF(SalesData[[#This Row],[Profit]]&gt;0,"Profit","Loss")</f>
        <v>Loss</v>
      </c>
      <c r="L1306" s="8">
        <f>SalesData[[#This Row],[Profit]]/SalesData[[#This Row],[Sales]]</f>
        <v>-0.11977498942461501</v>
      </c>
      <c r="M1306" t="str">
        <f>TEXT(SalesData[[#This Row],[Order_Date]],"mmm")</f>
        <v>May</v>
      </c>
      <c r="N1306">
        <f>YEAR(SalesData[[#This Row],[Order_Date]])</f>
        <v>2023</v>
      </c>
    </row>
    <row r="1307" spans="1:14" x14ac:dyDescent="0.3">
      <c r="A1307" t="s">
        <v>2445</v>
      </c>
      <c r="B1307" s="1">
        <v>44849</v>
      </c>
      <c r="C1307" t="s">
        <v>1519</v>
      </c>
      <c r="D1307" t="s">
        <v>12</v>
      </c>
      <c r="E1307" t="s">
        <v>56</v>
      </c>
      <c r="F1307" t="s">
        <v>95</v>
      </c>
      <c r="G1307" t="s">
        <v>669</v>
      </c>
      <c r="H1307" s="8">
        <v>947.5</v>
      </c>
      <c r="I1307" s="8">
        <v>115.96</v>
      </c>
      <c r="J1307" s="8">
        <v>0.21</v>
      </c>
      <c r="K1307" t="str">
        <f>IF(SalesData[[#This Row],[Profit]]&gt;0,"Profit","Loss")</f>
        <v>Profit</v>
      </c>
      <c r="L1307" s="8">
        <f>SalesData[[#This Row],[Profit]]/SalesData[[#This Row],[Sales]]</f>
        <v>0.12238522427440633</v>
      </c>
      <c r="M1307" t="str">
        <f>TEXT(SalesData[[#This Row],[Order_Date]],"mmm")</f>
        <v>Oct</v>
      </c>
      <c r="N1307">
        <f>YEAR(SalesData[[#This Row],[Order_Date]])</f>
        <v>2022</v>
      </c>
    </row>
    <row r="1308" spans="1:14" x14ac:dyDescent="0.3">
      <c r="A1308" t="s">
        <v>2446</v>
      </c>
      <c r="B1308" s="1">
        <v>45005</v>
      </c>
      <c r="C1308" t="s">
        <v>207</v>
      </c>
      <c r="D1308" t="s">
        <v>28</v>
      </c>
      <c r="E1308" t="s">
        <v>13</v>
      </c>
      <c r="F1308" t="s">
        <v>36</v>
      </c>
      <c r="G1308" t="s">
        <v>667</v>
      </c>
      <c r="H1308" s="8">
        <v>911.7</v>
      </c>
      <c r="I1308" s="8">
        <v>157.94</v>
      </c>
      <c r="J1308" s="8">
        <v>0.06</v>
      </c>
      <c r="K1308" t="str">
        <f>IF(SalesData[[#This Row],[Profit]]&gt;0,"Profit","Loss")</f>
        <v>Profit</v>
      </c>
      <c r="L1308" s="8">
        <f>SalesData[[#This Row],[Profit]]/SalesData[[#This Row],[Sales]]</f>
        <v>0.1732368103542832</v>
      </c>
      <c r="M1308" t="str">
        <f>TEXT(SalesData[[#This Row],[Order_Date]],"mmm")</f>
        <v>Mar</v>
      </c>
      <c r="N1308">
        <f>YEAR(SalesData[[#This Row],[Order_Date]])</f>
        <v>2023</v>
      </c>
    </row>
    <row r="1309" spans="1:14" x14ac:dyDescent="0.3">
      <c r="A1309" t="s">
        <v>2447</v>
      </c>
      <c r="B1309" s="1">
        <v>45001</v>
      </c>
      <c r="C1309" t="s">
        <v>2448</v>
      </c>
      <c r="D1309" t="s">
        <v>40</v>
      </c>
      <c r="E1309" t="s">
        <v>13</v>
      </c>
      <c r="F1309" t="s">
        <v>36</v>
      </c>
      <c r="G1309" t="s">
        <v>656</v>
      </c>
      <c r="H1309" s="8">
        <v>4097.87</v>
      </c>
      <c r="I1309" s="8">
        <v>-105</v>
      </c>
      <c r="J1309" s="8">
        <v>0.19</v>
      </c>
      <c r="K1309" t="str">
        <f>IF(SalesData[[#This Row],[Profit]]&gt;0,"Profit","Loss")</f>
        <v>Loss</v>
      </c>
      <c r="L1309" s="8">
        <f>SalesData[[#This Row],[Profit]]/SalesData[[#This Row],[Sales]]</f>
        <v>-2.5623067593652314E-2</v>
      </c>
      <c r="M1309" t="str">
        <f>TEXT(SalesData[[#This Row],[Order_Date]],"mmm")</f>
        <v>Mar</v>
      </c>
      <c r="N1309">
        <f>YEAR(SalesData[[#This Row],[Order_Date]])</f>
        <v>2023</v>
      </c>
    </row>
    <row r="1310" spans="1:14" x14ac:dyDescent="0.3">
      <c r="A1310" t="s">
        <v>2449</v>
      </c>
      <c r="B1310" s="1">
        <v>44821</v>
      </c>
      <c r="C1310" t="s">
        <v>452</v>
      </c>
      <c r="D1310" t="s">
        <v>28</v>
      </c>
      <c r="E1310" t="s">
        <v>13</v>
      </c>
      <c r="F1310" t="s">
        <v>14</v>
      </c>
      <c r="G1310" t="s">
        <v>2278</v>
      </c>
      <c r="H1310" s="8">
        <v>2302.08</v>
      </c>
      <c r="I1310" s="8">
        <v>241.39</v>
      </c>
      <c r="J1310" s="8">
        <v>0.27</v>
      </c>
      <c r="K1310" t="str">
        <f>IF(SalesData[[#This Row],[Profit]]&gt;0,"Profit","Loss")</f>
        <v>Profit</v>
      </c>
      <c r="L1310" s="8">
        <f>SalesData[[#This Row],[Profit]]/SalesData[[#This Row],[Sales]]</f>
        <v>0.10485734639977759</v>
      </c>
      <c r="M1310" t="str">
        <f>TEXT(SalesData[[#This Row],[Order_Date]],"mmm")</f>
        <v>Sep</v>
      </c>
      <c r="N1310">
        <f>YEAR(SalesData[[#This Row],[Order_Date]])</f>
        <v>2022</v>
      </c>
    </row>
    <row r="1311" spans="1:14" x14ac:dyDescent="0.3">
      <c r="A1311" t="s">
        <v>2450</v>
      </c>
      <c r="B1311" s="1">
        <v>44679</v>
      </c>
      <c r="C1311" t="s">
        <v>1860</v>
      </c>
      <c r="D1311" t="s">
        <v>40</v>
      </c>
      <c r="E1311" t="s">
        <v>13</v>
      </c>
      <c r="F1311" t="s">
        <v>24</v>
      </c>
      <c r="G1311" t="s">
        <v>2451</v>
      </c>
      <c r="H1311" s="8">
        <v>4756.8500000000004</v>
      </c>
      <c r="I1311" s="8">
        <v>-575.65</v>
      </c>
      <c r="J1311" s="8">
        <v>0.16</v>
      </c>
      <c r="K1311" t="str">
        <f>IF(SalesData[[#This Row],[Profit]]&gt;0,"Profit","Loss")</f>
        <v>Loss</v>
      </c>
      <c r="L1311" s="8">
        <f>SalesData[[#This Row],[Profit]]/SalesData[[#This Row],[Sales]]</f>
        <v>-0.12101495737725594</v>
      </c>
      <c r="M1311" t="str">
        <f>TEXT(SalesData[[#This Row],[Order_Date]],"mmm")</f>
        <v>Apr</v>
      </c>
      <c r="N1311">
        <f>YEAR(SalesData[[#This Row],[Order_Date]])</f>
        <v>2022</v>
      </c>
    </row>
    <row r="1312" spans="1:14" x14ac:dyDescent="0.3">
      <c r="A1312" t="s">
        <v>2452</v>
      </c>
      <c r="B1312" s="1">
        <v>44710</v>
      </c>
      <c r="C1312" t="s">
        <v>617</v>
      </c>
      <c r="D1312" t="s">
        <v>40</v>
      </c>
      <c r="E1312" t="s">
        <v>56</v>
      </c>
      <c r="F1312" t="s">
        <v>95</v>
      </c>
      <c r="G1312" t="s">
        <v>640</v>
      </c>
      <c r="H1312" s="8">
        <v>1302.06</v>
      </c>
      <c r="I1312" s="8">
        <v>-48.18</v>
      </c>
      <c r="J1312" s="8">
        <v>0.06</v>
      </c>
      <c r="K1312" t="str">
        <f>IF(SalesData[[#This Row],[Profit]]&gt;0,"Profit","Loss")</f>
        <v>Loss</v>
      </c>
      <c r="L1312" s="8">
        <f>SalesData[[#This Row],[Profit]]/SalesData[[#This Row],[Sales]]</f>
        <v>-3.7002903092023413E-2</v>
      </c>
      <c r="M1312" t="str">
        <f>TEXT(SalesData[[#This Row],[Order_Date]],"mmm")</f>
        <v>May</v>
      </c>
      <c r="N1312">
        <f>YEAR(SalesData[[#This Row],[Order_Date]])</f>
        <v>2022</v>
      </c>
    </row>
    <row r="1313" spans="1:14" x14ac:dyDescent="0.3">
      <c r="A1313" t="s">
        <v>2453</v>
      </c>
      <c r="B1313" s="1">
        <v>45143</v>
      </c>
      <c r="C1313" t="s">
        <v>784</v>
      </c>
      <c r="D1313" t="s">
        <v>18</v>
      </c>
      <c r="E1313" t="s">
        <v>56</v>
      </c>
      <c r="F1313" t="s">
        <v>95</v>
      </c>
      <c r="G1313" t="s">
        <v>1741</v>
      </c>
      <c r="H1313" s="8">
        <v>3472.63</v>
      </c>
      <c r="I1313" s="8">
        <v>-1013.09</v>
      </c>
      <c r="J1313" s="8">
        <v>0.22</v>
      </c>
      <c r="K1313" t="str">
        <f>IF(SalesData[[#This Row],[Profit]]&gt;0,"Profit","Loss")</f>
        <v>Loss</v>
      </c>
      <c r="L1313" s="8">
        <f>SalesData[[#This Row],[Profit]]/SalesData[[#This Row],[Sales]]</f>
        <v>-0.2917356585642582</v>
      </c>
      <c r="M1313" t="str">
        <f>TEXT(SalesData[[#This Row],[Order_Date]],"mmm")</f>
        <v>Aug</v>
      </c>
      <c r="N1313">
        <f>YEAR(SalesData[[#This Row],[Order_Date]])</f>
        <v>2023</v>
      </c>
    </row>
    <row r="1314" spans="1:14" x14ac:dyDescent="0.3">
      <c r="A1314" t="s">
        <v>2454</v>
      </c>
      <c r="B1314" s="1">
        <v>45136</v>
      </c>
      <c r="C1314" t="s">
        <v>2455</v>
      </c>
      <c r="D1314" t="s">
        <v>12</v>
      </c>
      <c r="E1314" t="s">
        <v>56</v>
      </c>
      <c r="F1314" t="s">
        <v>95</v>
      </c>
      <c r="G1314" t="s">
        <v>279</v>
      </c>
      <c r="H1314" s="8">
        <v>1489.71</v>
      </c>
      <c r="I1314" s="8">
        <v>-192.95</v>
      </c>
      <c r="J1314" s="8">
        <v>0.06</v>
      </c>
      <c r="K1314" t="str">
        <f>IF(SalesData[[#This Row],[Profit]]&gt;0,"Profit","Loss")</f>
        <v>Loss</v>
      </c>
      <c r="L1314" s="8">
        <f>SalesData[[#This Row],[Profit]]/SalesData[[#This Row],[Sales]]</f>
        <v>-0.12952185324660503</v>
      </c>
      <c r="M1314" t="str">
        <f>TEXT(SalesData[[#This Row],[Order_Date]],"mmm")</f>
        <v>Jul</v>
      </c>
      <c r="N1314">
        <f>YEAR(SalesData[[#This Row],[Order_Date]])</f>
        <v>2023</v>
      </c>
    </row>
    <row r="1315" spans="1:14" x14ac:dyDescent="0.3">
      <c r="A1315" t="s">
        <v>2456</v>
      </c>
      <c r="B1315" s="1">
        <v>44764</v>
      </c>
      <c r="C1315" t="s">
        <v>2457</v>
      </c>
      <c r="D1315" t="s">
        <v>12</v>
      </c>
      <c r="E1315" t="s">
        <v>13</v>
      </c>
      <c r="F1315" t="s">
        <v>36</v>
      </c>
      <c r="G1315" t="s">
        <v>1191</v>
      </c>
      <c r="H1315" s="8">
        <v>3442.45</v>
      </c>
      <c r="I1315" s="8">
        <v>544.03</v>
      </c>
      <c r="J1315" s="8">
        <v>0.13</v>
      </c>
      <c r="K1315" t="str">
        <f>IF(SalesData[[#This Row],[Profit]]&gt;0,"Profit","Loss")</f>
        <v>Profit</v>
      </c>
      <c r="L1315" s="8">
        <f>SalesData[[#This Row],[Profit]]/SalesData[[#This Row],[Sales]]</f>
        <v>0.15803570131737571</v>
      </c>
      <c r="M1315" t="str">
        <f>TEXT(SalesData[[#This Row],[Order_Date]],"mmm")</f>
        <v>Jul</v>
      </c>
      <c r="N1315">
        <f>YEAR(SalesData[[#This Row],[Order_Date]])</f>
        <v>2022</v>
      </c>
    </row>
    <row r="1316" spans="1:14" x14ac:dyDescent="0.3">
      <c r="A1316" t="s">
        <v>2458</v>
      </c>
      <c r="B1316" s="1">
        <v>45025</v>
      </c>
      <c r="C1316" t="s">
        <v>814</v>
      </c>
      <c r="D1316" t="s">
        <v>40</v>
      </c>
      <c r="E1316" t="s">
        <v>19</v>
      </c>
      <c r="F1316" t="s">
        <v>29</v>
      </c>
      <c r="G1316" t="s">
        <v>15</v>
      </c>
      <c r="H1316" s="8">
        <v>329.28</v>
      </c>
      <c r="I1316" s="8">
        <v>-68.64</v>
      </c>
      <c r="J1316" s="8">
        <v>0.08</v>
      </c>
      <c r="K1316" t="str">
        <f>IF(SalesData[[#This Row],[Profit]]&gt;0,"Profit","Loss")</f>
        <v>Loss</v>
      </c>
      <c r="L1316" s="8">
        <f>SalesData[[#This Row],[Profit]]/SalesData[[#This Row],[Sales]]</f>
        <v>-0.20845481049562684</v>
      </c>
      <c r="M1316" t="str">
        <f>TEXT(SalesData[[#This Row],[Order_Date]],"mmm")</f>
        <v>Apr</v>
      </c>
      <c r="N1316">
        <f>YEAR(SalesData[[#This Row],[Order_Date]])</f>
        <v>2023</v>
      </c>
    </row>
    <row r="1317" spans="1:14" x14ac:dyDescent="0.3">
      <c r="A1317" t="s">
        <v>2459</v>
      </c>
      <c r="B1317" s="1">
        <v>45151</v>
      </c>
      <c r="C1317" t="s">
        <v>1153</v>
      </c>
      <c r="D1317" t="s">
        <v>28</v>
      </c>
      <c r="E1317" t="s">
        <v>19</v>
      </c>
      <c r="F1317" t="s">
        <v>20</v>
      </c>
      <c r="G1317" t="s">
        <v>190</v>
      </c>
      <c r="H1317" s="8">
        <v>2924.43</v>
      </c>
      <c r="I1317" s="8">
        <v>281.33</v>
      </c>
      <c r="J1317" s="8">
        <v>0.09</v>
      </c>
      <c r="K1317" t="str">
        <f>IF(SalesData[[#This Row],[Profit]]&gt;0,"Profit","Loss")</f>
        <v>Profit</v>
      </c>
      <c r="L1317" s="8">
        <f>SalesData[[#This Row],[Profit]]/SalesData[[#This Row],[Sales]]</f>
        <v>9.6199943236801699E-2</v>
      </c>
      <c r="M1317" t="str">
        <f>TEXT(SalesData[[#This Row],[Order_Date]],"mmm")</f>
        <v>Aug</v>
      </c>
      <c r="N1317">
        <f>YEAR(SalesData[[#This Row],[Order_Date]])</f>
        <v>2023</v>
      </c>
    </row>
    <row r="1318" spans="1:14" x14ac:dyDescent="0.3">
      <c r="A1318" t="s">
        <v>2460</v>
      </c>
      <c r="B1318" s="1">
        <v>44907</v>
      </c>
      <c r="C1318" t="s">
        <v>2107</v>
      </c>
      <c r="D1318" t="s">
        <v>12</v>
      </c>
      <c r="E1318" t="s">
        <v>56</v>
      </c>
      <c r="F1318" t="s">
        <v>95</v>
      </c>
      <c r="G1318" t="s">
        <v>1625</v>
      </c>
      <c r="H1318" s="8">
        <v>281.33999999999997</v>
      </c>
      <c r="I1318" s="8">
        <v>-12.24</v>
      </c>
      <c r="J1318" s="8">
        <v>0.16</v>
      </c>
      <c r="K1318" t="str">
        <f>IF(SalesData[[#This Row],[Profit]]&gt;0,"Profit","Loss")</f>
        <v>Loss</v>
      </c>
      <c r="L1318" s="8">
        <f>SalesData[[#This Row],[Profit]]/SalesData[[#This Row],[Sales]]</f>
        <v>-4.35060780550224E-2</v>
      </c>
      <c r="M1318" t="str">
        <f>TEXT(SalesData[[#This Row],[Order_Date]],"mmm")</f>
        <v>Dec</v>
      </c>
      <c r="N1318">
        <f>YEAR(SalesData[[#This Row],[Order_Date]])</f>
        <v>2022</v>
      </c>
    </row>
    <row r="1319" spans="1:14" x14ac:dyDescent="0.3">
      <c r="A1319" t="s">
        <v>2461</v>
      </c>
      <c r="B1319" s="1">
        <v>44886</v>
      </c>
      <c r="C1319" t="s">
        <v>2462</v>
      </c>
      <c r="D1319" t="s">
        <v>40</v>
      </c>
      <c r="E1319" t="s">
        <v>19</v>
      </c>
      <c r="F1319" t="s">
        <v>20</v>
      </c>
      <c r="G1319" t="s">
        <v>2463</v>
      </c>
      <c r="H1319" s="8">
        <v>4166.2700000000004</v>
      </c>
      <c r="I1319" s="8">
        <v>-580.78</v>
      </c>
      <c r="J1319" s="8">
        <v>0.12</v>
      </c>
      <c r="K1319" t="str">
        <f>IF(SalesData[[#This Row],[Profit]]&gt;0,"Profit","Loss")</f>
        <v>Loss</v>
      </c>
      <c r="L1319" s="8">
        <f>SalesData[[#This Row],[Profit]]/SalesData[[#This Row],[Sales]]</f>
        <v>-0.13940047092483202</v>
      </c>
      <c r="M1319" t="str">
        <f>TEXT(SalesData[[#This Row],[Order_Date]],"mmm")</f>
        <v>Nov</v>
      </c>
      <c r="N1319">
        <f>YEAR(SalesData[[#This Row],[Order_Date]])</f>
        <v>2022</v>
      </c>
    </row>
    <row r="1320" spans="1:14" x14ac:dyDescent="0.3">
      <c r="A1320" t="s">
        <v>2464</v>
      </c>
      <c r="B1320" s="1">
        <v>44867</v>
      </c>
      <c r="C1320" t="s">
        <v>113</v>
      </c>
      <c r="D1320" t="s">
        <v>28</v>
      </c>
      <c r="E1320" t="s">
        <v>56</v>
      </c>
      <c r="F1320" t="s">
        <v>73</v>
      </c>
      <c r="G1320" t="s">
        <v>1818</v>
      </c>
      <c r="H1320" s="8">
        <v>3895.61</v>
      </c>
      <c r="I1320" s="8">
        <v>-1253.44</v>
      </c>
      <c r="J1320" s="8">
        <v>0.15</v>
      </c>
      <c r="K1320" t="str">
        <f>IF(SalesData[[#This Row],[Profit]]&gt;0,"Profit","Loss")</f>
        <v>Loss</v>
      </c>
      <c r="L1320" s="8">
        <f>SalesData[[#This Row],[Profit]]/SalesData[[#This Row],[Sales]]</f>
        <v>-0.32175705473597205</v>
      </c>
      <c r="M1320" t="str">
        <f>TEXT(SalesData[[#This Row],[Order_Date]],"mmm")</f>
        <v>Nov</v>
      </c>
      <c r="N1320">
        <f>YEAR(SalesData[[#This Row],[Order_Date]])</f>
        <v>2022</v>
      </c>
    </row>
    <row r="1321" spans="1:14" x14ac:dyDescent="0.3">
      <c r="A1321" t="s">
        <v>2465</v>
      </c>
      <c r="B1321" s="1">
        <v>44791</v>
      </c>
      <c r="C1321" t="s">
        <v>2061</v>
      </c>
      <c r="D1321" t="s">
        <v>12</v>
      </c>
      <c r="E1321" t="s">
        <v>13</v>
      </c>
      <c r="F1321" t="s">
        <v>14</v>
      </c>
      <c r="G1321" t="s">
        <v>860</v>
      </c>
      <c r="H1321" s="8">
        <v>4231.07</v>
      </c>
      <c r="I1321" s="8">
        <v>-1770.08</v>
      </c>
      <c r="J1321" s="8">
        <v>0.28000000000000003</v>
      </c>
      <c r="K1321" t="str">
        <f>IF(SalesData[[#This Row],[Profit]]&gt;0,"Profit","Loss")</f>
        <v>Loss</v>
      </c>
      <c r="L1321" s="8">
        <f>SalesData[[#This Row],[Profit]]/SalesData[[#This Row],[Sales]]</f>
        <v>-0.41835280437336181</v>
      </c>
      <c r="M1321" t="str">
        <f>TEXT(SalesData[[#This Row],[Order_Date]],"mmm")</f>
        <v>Aug</v>
      </c>
      <c r="N1321">
        <f>YEAR(SalesData[[#This Row],[Order_Date]])</f>
        <v>2022</v>
      </c>
    </row>
    <row r="1322" spans="1:14" x14ac:dyDescent="0.3">
      <c r="A1322" t="s">
        <v>2466</v>
      </c>
      <c r="B1322" s="1">
        <v>44652</v>
      </c>
      <c r="C1322" t="s">
        <v>1155</v>
      </c>
      <c r="D1322" t="s">
        <v>40</v>
      </c>
      <c r="E1322" t="s">
        <v>56</v>
      </c>
      <c r="F1322" t="s">
        <v>95</v>
      </c>
      <c r="G1322" t="s">
        <v>575</v>
      </c>
      <c r="H1322" s="8">
        <v>4320.8</v>
      </c>
      <c r="I1322" s="8">
        <v>-1227.95</v>
      </c>
      <c r="J1322" s="8">
        <v>0.22</v>
      </c>
      <c r="K1322" t="str">
        <f>IF(SalesData[[#This Row],[Profit]]&gt;0,"Profit","Loss")</f>
        <v>Loss</v>
      </c>
      <c r="L1322" s="8">
        <f>SalesData[[#This Row],[Profit]]/SalesData[[#This Row],[Sales]]</f>
        <v>-0.28419505647102389</v>
      </c>
      <c r="M1322" t="str">
        <f>TEXT(SalesData[[#This Row],[Order_Date]],"mmm")</f>
        <v>Apr</v>
      </c>
      <c r="N1322">
        <f>YEAR(SalesData[[#This Row],[Order_Date]])</f>
        <v>2022</v>
      </c>
    </row>
    <row r="1323" spans="1:14" x14ac:dyDescent="0.3">
      <c r="A1323" t="s">
        <v>2467</v>
      </c>
      <c r="B1323" s="1">
        <v>44606</v>
      </c>
      <c r="C1323" t="s">
        <v>2468</v>
      </c>
      <c r="D1323" t="s">
        <v>12</v>
      </c>
      <c r="E1323" t="s">
        <v>13</v>
      </c>
      <c r="F1323" t="s">
        <v>14</v>
      </c>
      <c r="G1323" t="s">
        <v>1140</v>
      </c>
      <c r="H1323" s="8">
        <v>4677.1400000000003</v>
      </c>
      <c r="I1323" s="8">
        <v>-1422.73</v>
      </c>
      <c r="J1323" s="8">
        <v>0.26</v>
      </c>
      <c r="K1323" t="str">
        <f>IF(SalesData[[#This Row],[Profit]]&gt;0,"Profit","Loss")</f>
        <v>Loss</v>
      </c>
      <c r="L1323" s="8">
        <f>SalesData[[#This Row],[Profit]]/SalesData[[#This Row],[Sales]]</f>
        <v>-0.30418802943679257</v>
      </c>
      <c r="M1323" t="str">
        <f>TEXT(SalesData[[#This Row],[Order_Date]],"mmm")</f>
        <v>Feb</v>
      </c>
      <c r="N1323">
        <f>YEAR(SalesData[[#This Row],[Order_Date]])</f>
        <v>2022</v>
      </c>
    </row>
    <row r="1324" spans="1:14" x14ac:dyDescent="0.3">
      <c r="A1324" t="s">
        <v>2469</v>
      </c>
      <c r="B1324" s="1">
        <v>44950</v>
      </c>
      <c r="C1324" t="s">
        <v>2470</v>
      </c>
      <c r="D1324" t="s">
        <v>18</v>
      </c>
      <c r="E1324" t="s">
        <v>19</v>
      </c>
      <c r="F1324" t="s">
        <v>20</v>
      </c>
      <c r="G1324" t="s">
        <v>157</v>
      </c>
      <c r="H1324" s="8">
        <v>1392.26</v>
      </c>
      <c r="I1324" s="8">
        <v>90.46</v>
      </c>
      <c r="J1324" s="8">
        <v>0.21</v>
      </c>
      <c r="K1324" t="str">
        <f>IF(SalesData[[#This Row],[Profit]]&gt;0,"Profit","Loss")</f>
        <v>Profit</v>
      </c>
      <c r="L1324" s="8">
        <f>SalesData[[#This Row],[Profit]]/SalesData[[#This Row],[Sales]]</f>
        <v>6.497349632970853E-2</v>
      </c>
      <c r="M1324" t="str">
        <f>TEXT(SalesData[[#This Row],[Order_Date]],"mmm")</f>
        <v>Jan</v>
      </c>
      <c r="N1324">
        <f>YEAR(SalesData[[#This Row],[Order_Date]])</f>
        <v>2023</v>
      </c>
    </row>
    <row r="1325" spans="1:14" x14ac:dyDescent="0.3">
      <c r="A1325" t="s">
        <v>2471</v>
      </c>
      <c r="B1325" s="1">
        <v>45160</v>
      </c>
      <c r="C1325" t="s">
        <v>693</v>
      </c>
      <c r="D1325" t="s">
        <v>28</v>
      </c>
      <c r="E1325" t="s">
        <v>56</v>
      </c>
      <c r="F1325" t="s">
        <v>73</v>
      </c>
      <c r="G1325" t="s">
        <v>1300</v>
      </c>
      <c r="H1325" s="8">
        <v>2357.4</v>
      </c>
      <c r="I1325" s="8">
        <v>653.32000000000005</v>
      </c>
      <c r="J1325" s="8">
        <v>0.04</v>
      </c>
      <c r="K1325" t="str">
        <f>IF(SalesData[[#This Row],[Profit]]&gt;0,"Profit","Loss")</f>
        <v>Profit</v>
      </c>
      <c r="L1325" s="8">
        <f>SalesData[[#This Row],[Profit]]/SalesData[[#This Row],[Sales]]</f>
        <v>0.27713582760668531</v>
      </c>
      <c r="M1325" t="str">
        <f>TEXT(SalesData[[#This Row],[Order_Date]],"mmm")</f>
        <v>Aug</v>
      </c>
      <c r="N1325">
        <f>YEAR(SalesData[[#This Row],[Order_Date]])</f>
        <v>2023</v>
      </c>
    </row>
    <row r="1326" spans="1:14" x14ac:dyDescent="0.3">
      <c r="A1326" t="s">
        <v>2472</v>
      </c>
      <c r="B1326" s="1">
        <v>44849</v>
      </c>
      <c r="C1326" t="s">
        <v>784</v>
      </c>
      <c r="D1326" t="s">
        <v>28</v>
      </c>
      <c r="E1326" t="s">
        <v>56</v>
      </c>
      <c r="F1326" t="s">
        <v>73</v>
      </c>
      <c r="G1326" t="s">
        <v>193</v>
      </c>
      <c r="H1326" s="8">
        <v>2685.19</v>
      </c>
      <c r="I1326" s="8">
        <v>71.86</v>
      </c>
      <c r="J1326" s="8">
        <v>0.17</v>
      </c>
      <c r="K1326" t="str">
        <f>IF(SalesData[[#This Row],[Profit]]&gt;0,"Profit","Loss")</f>
        <v>Profit</v>
      </c>
      <c r="L1326" s="8">
        <f>SalesData[[#This Row],[Profit]]/SalesData[[#This Row],[Sales]]</f>
        <v>2.6761607186083666E-2</v>
      </c>
      <c r="M1326" t="str">
        <f>TEXT(SalesData[[#This Row],[Order_Date]],"mmm")</f>
        <v>Oct</v>
      </c>
      <c r="N1326">
        <f>YEAR(SalesData[[#This Row],[Order_Date]])</f>
        <v>2022</v>
      </c>
    </row>
    <row r="1327" spans="1:14" x14ac:dyDescent="0.3">
      <c r="A1327" t="s">
        <v>2473</v>
      </c>
      <c r="B1327" s="1">
        <v>44810</v>
      </c>
      <c r="C1327" t="s">
        <v>1512</v>
      </c>
      <c r="D1327" t="s">
        <v>18</v>
      </c>
      <c r="E1327" t="s">
        <v>56</v>
      </c>
      <c r="F1327" t="s">
        <v>95</v>
      </c>
      <c r="G1327" t="s">
        <v>365</v>
      </c>
      <c r="H1327" s="8">
        <v>3854.39</v>
      </c>
      <c r="I1327" s="8">
        <v>-763.92</v>
      </c>
      <c r="J1327" s="8">
        <v>0.21</v>
      </c>
      <c r="K1327" t="str">
        <f>IF(SalesData[[#This Row],[Profit]]&gt;0,"Profit","Loss")</f>
        <v>Loss</v>
      </c>
      <c r="L1327" s="8">
        <f>SalesData[[#This Row],[Profit]]/SalesData[[#This Row],[Sales]]</f>
        <v>-0.19819478568593213</v>
      </c>
      <c r="M1327" t="str">
        <f>TEXT(SalesData[[#This Row],[Order_Date]],"mmm")</f>
        <v>Sep</v>
      </c>
      <c r="N1327">
        <f>YEAR(SalesData[[#This Row],[Order_Date]])</f>
        <v>2022</v>
      </c>
    </row>
    <row r="1328" spans="1:14" x14ac:dyDescent="0.3">
      <c r="A1328" t="s">
        <v>2474</v>
      </c>
      <c r="B1328" s="1">
        <v>44783</v>
      </c>
      <c r="C1328" t="s">
        <v>305</v>
      </c>
      <c r="D1328" t="s">
        <v>28</v>
      </c>
      <c r="E1328" t="s">
        <v>56</v>
      </c>
      <c r="F1328" t="s">
        <v>57</v>
      </c>
      <c r="G1328" t="s">
        <v>1109</v>
      </c>
      <c r="H1328" s="8">
        <v>4861.6499999999996</v>
      </c>
      <c r="I1328" s="8">
        <v>-1031.27</v>
      </c>
      <c r="J1328" s="8">
        <v>0.02</v>
      </c>
      <c r="K1328" t="str">
        <f>IF(SalesData[[#This Row],[Profit]]&gt;0,"Profit","Loss")</f>
        <v>Loss</v>
      </c>
      <c r="L1328" s="8">
        <f>SalesData[[#This Row],[Profit]]/SalesData[[#This Row],[Sales]]</f>
        <v>-0.21212345602830315</v>
      </c>
      <c r="M1328" t="str">
        <f>TEXT(SalesData[[#This Row],[Order_Date]],"mmm")</f>
        <v>Aug</v>
      </c>
      <c r="N1328">
        <f>YEAR(SalesData[[#This Row],[Order_Date]])</f>
        <v>2022</v>
      </c>
    </row>
    <row r="1329" spans="1:14" x14ac:dyDescent="0.3">
      <c r="A1329" t="s">
        <v>2475</v>
      </c>
      <c r="B1329" s="1">
        <v>45088</v>
      </c>
      <c r="C1329" t="s">
        <v>446</v>
      </c>
      <c r="D1329" t="s">
        <v>40</v>
      </c>
      <c r="E1329" t="s">
        <v>19</v>
      </c>
      <c r="F1329" t="s">
        <v>20</v>
      </c>
      <c r="G1329" t="s">
        <v>800</v>
      </c>
      <c r="H1329" s="8">
        <v>1768.21</v>
      </c>
      <c r="I1329" s="8">
        <v>29.99</v>
      </c>
      <c r="J1329" s="8">
        <v>0.24</v>
      </c>
      <c r="K1329" t="str">
        <f>IF(SalesData[[#This Row],[Profit]]&gt;0,"Profit","Loss")</f>
        <v>Profit</v>
      </c>
      <c r="L1329" s="8">
        <f>SalesData[[#This Row],[Profit]]/SalesData[[#This Row],[Sales]]</f>
        <v>1.6960655125805191E-2</v>
      </c>
      <c r="M1329" t="str">
        <f>TEXT(SalesData[[#This Row],[Order_Date]],"mmm")</f>
        <v>Jun</v>
      </c>
      <c r="N1329">
        <f>YEAR(SalesData[[#This Row],[Order_Date]])</f>
        <v>2023</v>
      </c>
    </row>
    <row r="1330" spans="1:14" x14ac:dyDescent="0.3">
      <c r="A1330" t="s">
        <v>2476</v>
      </c>
      <c r="B1330" s="1">
        <v>44786</v>
      </c>
      <c r="C1330" t="s">
        <v>1457</v>
      </c>
      <c r="D1330" t="s">
        <v>28</v>
      </c>
      <c r="E1330" t="s">
        <v>19</v>
      </c>
      <c r="F1330" t="s">
        <v>141</v>
      </c>
      <c r="G1330" t="s">
        <v>1825</v>
      </c>
      <c r="H1330" s="8">
        <v>854.59</v>
      </c>
      <c r="I1330" s="8">
        <v>169.61</v>
      </c>
      <c r="J1330" s="8">
        <v>0.15</v>
      </c>
      <c r="K1330" t="str">
        <f>IF(SalesData[[#This Row],[Profit]]&gt;0,"Profit","Loss")</f>
        <v>Profit</v>
      </c>
      <c r="L1330" s="8">
        <f>SalesData[[#This Row],[Profit]]/SalesData[[#This Row],[Sales]]</f>
        <v>0.19846944148656082</v>
      </c>
      <c r="M1330" t="str">
        <f>TEXT(SalesData[[#This Row],[Order_Date]],"mmm")</f>
        <v>Aug</v>
      </c>
      <c r="N1330">
        <f>YEAR(SalesData[[#This Row],[Order_Date]])</f>
        <v>2022</v>
      </c>
    </row>
    <row r="1331" spans="1:14" x14ac:dyDescent="0.3">
      <c r="A1331" t="s">
        <v>2477</v>
      </c>
      <c r="B1331" s="1">
        <v>44846</v>
      </c>
      <c r="C1331" t="s">
        <v>82</v>
      </c>
      <c r="D1331" t="s">
        <v>18</v>
      </c>
      <c r="E1331" t="s">
        <v>19</v>
      </c>
      <c r="F1331" t="s">
        <v>141</v>
      </c>
      <c r="G1331" t="s">
        <v>420</v>
      </c>
      <c r="H1331" s="8">
        <v>2615.9699999999998</v>
      </c>
      <c r="I1331" s="8">
        <v>-829.86</v>
      </c>
      <c r="J1331" s="8">
        <v>0.23</v>
      </c>
      <c r="K1331" t="str">
        <f>IF(SalesData[[#This Row],[Profit]]&gt;0,"Profit","Loss")</f>
        <v>Loss</v>
      </c>
      <c r="L1331" s="8">
        <f>SalesData[[#This Row],[Profit]]/SalesData[[#This Row],[Sales]]</f>
        <v>-0.31722840858266727</v>
      </c>
      <c r="M1331" t="str">
        <f>TEXT(SalesData[[#This Row],[Order_Date]],"mmm")</f>
        <v>Oct</v>
      </c>
      <c r="N1331">
        <f>YEAR(SalesData[[#This Row],[Order_Date]])</f>
        <v>2022</v>
      </c>
    </row>
    <row r="1332" spans="1:14" x14ac:dyDescent="0.3">
      <c r="A1332" t="s">
        <v>2478</v>
      </c>
      <c r="B1332" s="1">
        <v>44674</v>
      </c>
      <c r="C1332" t="s">
        <v>567</v>
      </c>
      <c r="D1332" t="s">
        <v>12</v>
      </c>
      <c r="E1332" t="s">
        <v>19</v>
      </c>
      <c r="F1332" t="s">
        <v>141</v>
      </c>
      <c r="G1332" t="s">
        <v>199</v>
      </c>
      <c r="H1332" s="8">
        <v>3277.08</v>
      </c>
      <c r="I1332" s="8">
        <v>936.32</v>
      </c>
      <c r="J1332" s="8">
        <v>0.04</v>
      </c>
      <c r="K1332" t="str">
        <f>IF(SalesData[[#This Row],[Profit]]&gt;0,"Profit","Loss")</f>
        <v>Profit</v>
      </c>
      <c r="L1332" s="8">
        <f>SalesData[[#This Row],[Profit]]/SalesData[[#This Row],[Sales]]</f>
        <v>0.28571777313950225</v>
      </c>
      <c r="M1332" t="str">
        <f>TEXT(SalesData[[#This Row],[Order_Date]],"mmm")</f>
        <v>Apr</v>
      </c>
      <c r="N1332">
        <f>YEAR(SalesData[[#This Row],[Order_Date]])</f>
        <v>2022</v>
      </c>
    </row>
    <row r="1333" spans="1:14" x14ac:dyDescent="0.3">
      <c r="A1333" t="s">
        <v>2479</v>
      </c>
      <c r="B1333" s="1">
        <v>44922</v>
      </c>
      <c r="C1333" t="s">
        <v>356</v>
      </c>
      <c r="D1333" t="s">
        <v>12</v>
      </c>
      <c r="E1333" t="s">
        <v>19</v>
      </c>
      <c r="F1333" t="s">
        <v>20</v>
      </c>
      <c r="G1333" t="s">
        <v>1535</v>
      </c>
      <c r="H1333" s="8">
        <v>1407.11</v>
      </c>
      <c r="I1333" s="8">
        <v>-30.21</v>
      </c>
      <c r="J1333" s="8">
        <v>0.14000000000000001</v>
      </c>
      <c r="K1333" t="str">
        <f>IF(SalesData[[#This Row],[Profit]]&gt;0,"Profit","Loss")</f>
        <v>Loss</v>
      </c>
      <c r="L1333" s="8">
        <f>SalesData[[#This Row],[Profit]]/SalesData[[#This Row],[Sales]]</f>
        <v>-2.1469536852129545E-2</v>
      </c>
      <c r="M1333" t="str">
        <f>TEXT(SalesData[[#This Row],[Order_Date]],"mmm")</f>
        <v>Dec</v>
      </c>
      <c r="N1333">
        <f>YEAR(SalesData[[#This Row],[Order_Date]])</f>
        <v>2022</v>
      </c>
    </row>
    <row r="1334" spans="1:14" x14ac:dyDescent="0.3">
      <c r="A1334" t="s">
        <v>2480</v>
      </c>
      <c r="B1334" s="1">
        <v>45003</v>
      </c>
      <c r="C1334" t="s">
        <v>118</v>
      </c>
      <c r="D1334" t="s">
        <v>40</v>
      </c>
      <c r="E1334" t="s">
        <v>13</v>
      </c>
      <c r="F1334" t="s">
        <v>14</v>
      </c>
      <c r="G1334" t="s">
        <v>1492</v>
      </c>
      <c r="H1334" s="8">
        <v>1836.69</v>
      </c>
      <c r="I1334" s="8">
        <v>-40.119999999999997</v>
      </c>
      <c r="J1334" s="8">
        <v>0.06</v>
      </c>
      <c r="K1334" t="str">
        <f>IF(SalesData[[#This Row],[Profit]]&gt;0,"Profit","Loss")</f>
        <v>Loss</v>
      </c>
      <c r="L1334" s="8">
        <f>SalesData[[#This Row],[Profit]]/SalesData[[#This Row],[Sales]]</f>
        <v>-2.1843642639748678E-2</v>
      </c>
      <c r="M1334" t="str">
        <f>TEXT(SalesData[[#This Row],[Order_Date]],"mmm")</f>
        <v>Mar</v>
      </c>
      <c r="N1334">
        <f>YEAR(SalesData[[#This Row],[Order_Date]])</f>
        <v>2023</v>
      </c>
    </row>
    <row r="1335" spans="1:14" x14ac:dyDescent="0.3">
      <c r="A1335" t="s">
        <v>2481</v>
      </c>
      <c r="B1335" s="1">
        <v>44994</v>
      </c>
      <c r="C1335" t="s">
        <v>539</v>
      </c>
      <c r="D1335" t="s">
        <v>40</v>
      </c>
      <c r="E1335" t="s">
        <v>19</v>
      </c>
      <c r="F1335" t="s">
        <v>29</v>
      </c>
      <c r="G1335" t="s">
        <v>1109</v>
      </c>
      <c r="H1335" s="8">
        <v>1911.93</v>
      </c>
      <c r="I1335" s="8">
        <v>37.31</v>
      </c>
      <c r="J1335" s="8">
        <v>0.01</v>
      </c>
      <c r="K1335" t="str">
        <f>IF(SalesData[[#This Row],[Profit]]&gt;0,"Profit","Loss")</f>
        <v>Profit</v>
      </c>
      <c r="L1335" s="8">
        <f>SalesData[[#This Row],[Profit]]/SalesData[[#This Row],[Sales]]</f>
        <v>1.9514312762496537E-2</v>
      </c>
      <c r="M1335" t="str">
        <f>TEXT(SalesData[[#This Row],[Order_Date]],"mmm")</f>
        <v>Mar</v>
      </c>
      <c r="N1335">
        <f>YEAR(SalesData[[#This Row],[Order_Date]])</f>
        <v>2023</v>
      </c>
    </row>
    <row r="1336" spans="1:14" x14ac:dyDescent="0.3">
      <c r="A1336" t="s">
        <v>2482</v>
      </c>
      <c r="B1336" s="1">
        <v>45005</v>
      </c>
      <c r="C1336" t="s">
        <v>866</v>
      </c>
      <c r="D1336" t="s">
        <v>12</v>
      </c>
      <c r="E1336" t="s">
        <v>19</v>
      </c>
      <c r="F1336" t="s">
        <v>20</v>
      </c>
      <c r="G1336" t="s">
        <v>528</v>
      </c>
      <c r="H1336" s="8">
        <v>3010.84</v>
      </c>
      <c r="I1336" s="8">
        <v>-192.18</v>
      </c>
      <c r="J1336" s="8">
        <v>0.16</v>
      </c>
      <c r="K1336" t="str">
        <f>IF(SalesData[[#This Row],[Profit]]&gt;0,"Profit","Loss")</f>
        <v>Loss</v>
      </c>
      <c r="L1336" s="8">
        <f>SalesData[[#This Row],[Profit]]/SalesData[[#This Row],[Sales]]</f>
        <v>-6.3829363234180495E-2</v>
      </c>
      <c r="M1336" t="str">
        <f>TEXT(SalesData[[#This Row],[Order_Date]],"mmm")</f>
        <v>Mar</v>
      </c>
      <c r="N1336">
        <f>YEAR(SalesData[[#This Row],[Order_Date]])</f>
        <v>2023</v>
      </c>
    </row>
    <row r="1337" spans="1:14" x14ac:dyDescent="0.3">
      <c r="A1337" t="s">
        <v>2483</v>
      </c>
      <c r="B1337" s="1">
        <v>44834</v>
      </c>
      <c r="C1337" t="s">
        <v>347</v>
      </c>
      <c r="D1337" t="s">
        <v>12</v>
      </c>
      <c r="E1337" t="s">
        <v>56</v>
      </c>
      <c r="F1337" t="s">
        <v>57</v>
      </c>
      <c r="G1337" t="s">
        <v>1470</v>
      </c>
      <c r="H1337" s="8">
        <v>1175.94</v>
      </c>
      <c r="I1337" s="8">
        <v>-233.53</v>
      </c>
      <c r="J1337" s="8">
        <v>0.02</v>
      </c>
      <c r="K1337" t="str">
        <f>IF(SalesData[[#This Row],[Profit]]&gt;0,"Profit","Loss")</f>
        <v>Loss</v>
      </c>
      <c r="L1337" s="8">
        <f>SalesData[[#This Row],[Profit]]/SalesData[[#This Row],[Sales]]</f>
        <v>-0.19859006411891764</v>
      </c>
      <c r="M1337" t="str">
        <f>TEXT(SalesData[[#This Row],[Order_Date]],"mmm")</f>
        <v>Sep</v>
      </c>
      <c r="N1337">
        <f>YEAR(SalesData[[#This Row],[Order_Date]])</f>
        <v>2022</v>
      </c>
    </row>
    <row r="1338" spans="1:14" x14ac:dyDescent="0.3">
      <c r="A1338" t="s">
        <v>2484</v>
      </c>
      <c r="B1338" s="1">
        <v>44963</v>
      </c>
      <c r="C1338" t="s">
        <v>1519</v>
      </c>
      <c r="D1338" t="s">
        <v>12</v>
      </c>
      <c r="E1338" t="s">
        <v>56</v>
      </c>
      <c r="F1338" t="s">
        <v>95</v>
      </c>
      <c r="G1338" t="s">
        <v>476</v>
      </c>
      <c r="H1338" s="8">
        <v>1209.68</v>
      </c>
      <c r="I1338" s="8">
        <v>47.78</v>
      </c>
      <c r="J1338" s="8">
        <v>0.19</v>
      </c>
      <c r="K1338" t="str">
        <f>IF(SalesData[[#This Row],[Profit]]&gt;0,"Profit","Loss")</f>
        <v>Profit</v>
      </c>
      <c r="L1338" s="8">
        <f>SalesData[[#This Row],[Profit]]/SalesData[[#This Row],[Sales]]</f>
        <v>3.9498049070828649E-2</v>
      </c>
      <c r="M1338" t="str">
        <f>TEXT(SalesData[[#This Row],[Order_Date]],"mmm")</f>
        <v>Feb</v>
      </c>
      <c r="N1338">
        <f>YEAR(SalesData[[#This Row],[Order_Date]])</f>
        <v>2023</v>
      </c>
    </row>
    <row r="1339" spans="1:14" x14ac:dyDescent="0.3">
      <c r="A1339" t="s">
        <v>2485</v>
      </c>
      <c r="B1339" s="1">
        <v>44917</v>
      </c>
      <c r="C1339" t="s">
        <v>1664</v>
      </c>
      <c r="D1339" t="s">
        <v>40</v>
      </c>
      <c r="E1339" t="s">
        <v>13</v>
      </c>
      <c r="F1339" t="s">
        <v>24</v>
      </c>
      <c r="G1339" t="s">
        <v>1550</v>
      </c>
      <c r="H1339" s="8">
        <v>1414.51</v>
      </c>
      <c r="I1339" s="8">
        <v>299.08</v>
      </c>
      <c r="J1339" s="8">
        <v>0.06</v>
      </c>
      <c r="K1339" t="str">
        <f>IF(SalesData[[#This Row],[Profit]]&gt;0,"Profit","Loss")</f>
        <v>Profit</v>
      </c>
      <c r="L1339" s="8">
        <f>SalesData[[#This Row],[Profit]]/SalesData[[#This Row],[Sales]]</f>
        <v>0.21143717612459437</v>
      </c>
      <c r="M1339" t="str">
        <f>TEXT(SalesData[[#This Row],[Order_Date]],"mmm")</f>
        <v>Dec</v>
      </c>
      <c r="N1339">
        <f>YEAR(SalesData[[#This Row],[Order_Date]])</f>
        <v>2022</v>
      </c>
    </row>
    <row r="1340" spans="1:14" x14ac:dyDescent="0.3">
      <c r="A1340" t="s">
        <v>2486</v>
      </c>
      <c r="B1340" s="1">
        <v>45279</v>
      </c>
      <c r="C1340" t="s">
        <v>2487</v>
      </c>
      <c r="D1340" t="s">
        <v>28</v>
      </c>
      <c r="E1340" t="s">
        <v>13</v>
      </c>
      <c r="F1340" t="s">
        <v>36</v>
      </c>
      <c r="G1340" t="s">
        <v>1184</v>
      </c>
      <c r="H1340" s="8">
        <v>3696.02</v>
      </c>
      <c r="I1340" s="8">
        <v>265.91000000000003</v>
      </c>
      <c r="J1340" s="8">
        <v>0.03</v>
      </c>
      <c r="K1340" t="str">
        <f>IF(SalesData[[#This Row],[Profit]]&gt;0,"Profit","Loss")</f>
        <v>Profit</v>
      </c>
      <c r="L1340" s="8">
        <f>SalesData[[#This Row],[Profit]]/SalesData[[#This Row],[Sales]]</f>
        <v>7.1944957007808411E-2</v>
      </c>
      <c r="M1340" t="str">
        <f>TEXT(SalesData[[#This Row],[Order_Date]],"mmm")</f>
        <v>Dec</v>
      </c>
      <c r="N1340">
        <f>YEAR(SalesData[[#This Row],[Order_Date]])</f>
        <v>2023</v>
      </c>
    </row>
    <row r="1341" spans="1:14" x14ac:dyDescent="0.3">
      <c r="A1341" t="s">
        <v>2488</v>
      </c>
      <c r="B1341" s="1">
        <v>44753</v>
      </c>
      <c r="C1341" t="s">
        <v>2489</v>
      </c>
      <c r="D1341" t="s">
        <v>28</v>
      </c>
      <c r="E1341" t="s">
        <v>19</v>
      </c>
      <c r="F1341" t="s">
        <v>141</v>
      </c>
      <c r="G1341" t="s">
        <v>2490</v>
      </c>
      <c r="H1341" s="8">
        <v>1269.24</v>
      </c>
      <c r="I1341" s="8">
        <v>-315.19</v>
      </c>
      <c r="J1341" s="8">
        <v>0.09</v>
      </c>
      <c r="K1341" t="str">
        <f>IF(SalesData[[#This Row],[Profit]]&gt;0,"Profit","Loss")</f>
        <v>Loss</v>
      </c>
      <c r="L1341" s="8">
        <f>SalesData[[#This Row],[Profit]]/SalesData[[#This Row],[Sales]]</f>
        <v>-0.24832970911726701</v>
      </c>
      <c r="M1341" t="str">
        <f>TEXT(SalesData[[#This Row],[Order_Date]],"mmm")</f>
        <v>Jul</v>
      </c>
      <c r="N1341">
        <f>YEAR(SalesData[[#This Row],[Order_Date]])</f>
        <v>2022</v>
      </c>
    </row>
    <row r="1342" spans="1:14" x14ac:dyDescent="0.3">
      <c r="A1342" t="s">
        <v>2491</v>
      </c>
      <c r="B1342" s="1">
        <v>44832</v>
      </c>
      <c r="C1342" t="s">
        <v>2492</v>
      </c>
      <c r="D1342" t="s">
        <v>18</v>
      </c>
      <c r="E1342" t="s">
        <v>56</v>
      </c>
      <c r="F1342" t="s">
        <v>73</v>
      </c>
      <c r="G1342" t="s">
        <v>169</v>
      </c>
      <c r="H1342" s="8">
        <v>2425.54</v>
      </c>
      <c r="I1342" s="8">
        <v>-469.32</v>
      </c>
      <c r="J1342" s="8">
        <v>0.1</v>
      </c>
      <c r="K1342" t="str">
        <f>IF(SalesData[[#This Row],[Profit]]&gt;0,"Profit","Loss")</f>
        <v>Loss</v>
      </c>
      <c r="L1342" s="8">
        <f>SalesData[[#This Row],[Profit]]/SalesData[[#This Row],[Sales]]</f>
        <v>-0.19349093397758849</v>
      </c>
      <c r="M1342" t="str">
        <f>TEXT(SalesData[[#This Row],[Order_Date]],"mmm")</f>
        <v>Sep</v>
      </c>
      <c r="N1342">
        <f>YEAR(SalesData[[#This Row],[Order_Date]])</f>
        <v>2022</v>
      </c>
    </row>
    <row r="1343" spans="1:14" x14ac:dyDescent="0.3">
      <c r="A1343" t="s">
        <v>2493</v>
      </c>
      <c r="B1343" s="1">
        <v>44815</v>
      </c>
      <c r="C1343" t="s">
        <v>2494</v>
      </c>
      <c r="D1343" t="s">
        <v>12</v>
      </c>
      <c r="E1343" t="s">
        <v>56</v>
      </c>
      <c r="F1343" t="s">
        <v>73</v>
      </c>
      <c r="G1343" t="s">
        <v>37</v>
      </c>
      <c r="H1343" s="8">
        <v>1825.5</v>
      </c>
      <c r="I1343" s="8">
        <v>-619.57000000000005</v>
      </c>
      <c r="J1343" s="8">
        <v>0.14000000000000001</v>
      </c>
      <c r="K1343" t="str">
        <f>IF(SalesData[[#This Row],[Profit]]&gt;0,"Profit","Loss")</f>
        <v>Loss</v>
      </c>
      <c r="L1343" s="8">
        <f>SalesData[[#This Row],[Profit]]/SalesData[[#This Row],[Sales]]</f>
        <v>-0.33939742536291428</v>
      </c>
      <c r="M1343" t="str">
        <f>TEXT(SalesData[[#This Row],[Order_Date]],"mmm")</f>
        <v>Sep</v>
      </c>
      <c r="N1343">
        <f>YEAR(SalesData[[#This Row],[Order_Date]])</f>
        <v>2022</v>
      </c>
    </row>
    <row r="1344" spans="1:14" x14ac:dyDescent="0.3">
      <c r="A1344" t="s">
        <v>2495</v>
      </c>
      <c r="B1344" s="1">
        <v>45077</v>
      </c>
      <c r="C1344" t="s">
        <v>1323</v>
      </c>
      <c r="D1344" t="s">
        <v>18</v>
      </c>
      <c r="E1344" t="s">
        <v>56</v>
      </c>
      <c r="F1344" t="s">
        <v>73</v>
      </c>
      <c r="G1344" t="s">
        <v>1342</v>
      </c>
      <c r="H1344" s="8">
        <v>3432.23</v>
      </c>
      <c r="I1344" s="8">
        <v>-525.23</v>
      </c>
      <c r="J1344" s="8">
        <v>0.09</v>
      </c>
      <c r="K1344" t="str">
        <f>IF(SalesData[[#This Row],[Profit]]&gt;0,"Profit","Loss")</f>
        <v>Loss</v>
      </c>
      <c r="L1344" s="8">
        <f>SalesData[[#This Row],[Profit]]/SalesData[[#This Row],[Sales]]</f>
        <v>-0.15302878886321722</v>
      </c>
      <c r="M1344" t="str">
        <f>TEXT(SalesData[[#This Row],[Order_Date]],"mmm")</f>
        <v>May</v>
      </c>
      <c r="N1344">
        <f>YEAR(SalesData[[#This Row],[Order_Date]])</f>
        <v>2023</v>
      </c>
    </row>
    <row r="1345" spans="1:14" x14ac:dyDescent="0.3">
      <c r="A1345" t="s">
        <v>2496</v>
      </c>
      <c r="B1345" s="1">
        <v>44921</v>
      </c>
      <c r="C1345" t="s">
        <v>631</v>
      </c>
      <c r="D1345" t="s">
        <v>40</v>
      </c>
      <c r="E1345" t="s">
        <v>56</v>
      </c>
      <c r="F1345" t="s">
        <v>57</v>
      </c>
      <c r="G1345" t="s">
        <v>320</v>
      </c>
      <c r="H1345" s="8">
        <v>1592.55</v>
      </c>
      <c r="I1345" s="8">
        <v>-236.38</v>
      </c>
      <c r="J1345" s="8">
        <v>0.22</v>
      </c>
      <c r="K1345" t="str">
        <f>IF(SalesData[[#This Row],[Profit]]&gt;0,"Profit","Loss")</f>
        <v>Loss</v>
      </c>
      <c r="L1345" s="8">
        <f>SalesData[[#This Row],[Profit]]/SalesData[[#This Row],[Sales]]</f>
        <v>-0.14842862076543908</v>
      </c>
      <c r="M1345" t="str">
        <f>TEXT(SalesData[[#This Row],[Order_Date]],"mmm")</f>
        <v>Dec</v>
      </c>
      <c r="N1345">
        <f>YEAR(SalesData[[#This Row],[Order_Date]])</f>
        <v>2022</v>
      </c>
    </row>
    <row r="1346" spans="1:14" x14ac:dyDescent="0.3">
      <c r="A1346" t="s">
        <v>2497</v>
      </c>
      <c r="B1346" s="1">
        <v>45289</v>
      </c>
      <c r="C1346" t="s">
        <v>1687</v>
      </c>
      <c r="D1346" t="s">
        <v>28</v>
      </c>
      <c r="E1346" t="s">
        <v>19</v>
      </c>
      <c r="F1346" t="s">
        <v>29</v>
      </c>
      <c r="G1346" t="s">
        <v>67</v>
      </c>
      <c r="H1346" s="8">
        <v>1885.02</v>
      </c>
      <c r="I1346" s="8">
        <v>21.82</v>
      </c>
      <c r="J1346" s="8">
        <v>0</v>
      </c>
      <c r="K1346" t="str">
        <f>IF(SalesData[[#This Row],[Profit]]&gt;0,"Profit","Loss")</f>
        <v>Profit</v>
      </c>
      <c r="L1346" s="8">
        <f>SalesData[[#This Row],[Profit]]/SalesData[[#This Row],[Sales]]</f>
        <v>1.157547400027586E-2</v>
      </c>
      <c r="M1346" t="str">
        <f>TEXT(SalesData[[#This Row],[Order_Date]],"mmm")</f>
        <v>Dec</v>
      </c>
      <c r="N1346">
        <f>YEAR(SalesData[[#This Row],[Order_Date]])</f>
        <v>2023</v>
      </c>
    </row>
    <row r="1347" spans="1:14" x14ac:dyDescent="0.3">
      <c r="A1347" t="s">
        <v>2498</v>
      </c>
      <c r="B1347" s="1">
        <v>44982</v>
      </c>
      <c r="C1347" t="s">
        <v>2329</v>
      </c>
      <c r="D1347" t="s">
        <v>18</v>
      </c>
      <c r="E1347" t="s">
        <v>19</v>
      </c>
      <c r="F1347" t="s">
        <v>141</v>
      </c>
      <c r="G1347" t="s">
        <v>1970</v>
      </c>
      <c r="H1347" s="8">
        <v>2644.61</v>
      </c>
      <c r="I1347" s="8">
        <v>-796.71</v>
      </c>
      <c r="J1347" s="8">
        <v>0.19</v>
      </c>
      <c r="K1347" t="str">
        <f>IF(SalesData[[#This Row],[Profit]]&gt;0,"Profit","Loss")</f>
        <v>Loss</v>
      </c>
      <c r="L1347" s="8">
        <f>SalesData[[#This Row],[Profit]]/SalesData[[#This Row],[Sales]]</f>
        <v>-0.30125803048464611</v>
      </c>
      <c r="M1347" t="str">
        <f>TEXT(SalesData[[#This Row],[Order_Date]],"mmm")</f>
        <v>Feb</v>
      </c>
      <c r="N1347">
        <f>YEAR(SalesData[[#This Row],[Order_Date]])</f>
        <v>2023</v>
      </c>
    </row>
    <row r="1348" spans="1:14" x14ac:dyDescent="0.3">
      <c r="A1348" t="s">
        <v>2499</v>
      </c>
      <c r="B1348" s="1">
        <v>44930</v>
      </c>
      <c r="C1348" t="s">
        <v>916</v>
      </c>
      <c r="D1348" t="s">
        <v>12</v>
      </c>
      <c r="E1348" t="s">
        <v>19</v>
      </c>
      <c r="F1348" t="s">
        <v>20</v>
      </c>
      <c r="G1348" t="s">
        <v>1574</v>
      </c>
      <c r="H1348" s="8">
        <v>1297.4000000000001</v>
      </c>
      <c r="I1348" s="8">
        <v>212.74</v>
      </c>
      <c r="J1348" s="8">
        <v>0.22</v>
      </c>
      <c r="K1348" t="str">
        <f>IF(SalesData[[#This Row],[Profit]]&gt;0,"Profit","Loss")</f>
        <v>Profit</v>
      </c>
      <c r="L1348" s="8">
        <f>SalesData[[#This Row],[Profit]]/SalesData[[#This Row],[Sales]]</f>
        <v>0.16397410205025434</v>
      </c>
      <c r="M1348" t="str">
        <f>TEXT(SalesData[[#This Row],[Order_Date]],"mmm")</f>
        <v>Jan</v>
      </c>
      <c r="N1348">
        <f>YEAR(SalesData[[#This Row],[Order_Date]])</f>
        <v>2023</v>
      </c>
    </row>
    <row r="1349" spans="1:14" x14ac:dyDescent="0.3">
      <c r="A1349" t="s">
        <v>2500</v>
      </c>
      <c r="B1349" s="1">
        <v>45119</v>
      </c>
      <c r="C1349" t="s">
        <v>1945</v>
      </c>
      <c r="D1349" t="s">
        <v>18</v>
      </c>
      <c r="E1349" t="s">
        <v>19</v>
      </c>
      <c r="F1349" t="s">
        <v>141</v>
      </c>
      <c r="G1349" t="s">
        <v>53</v>
      </c>
      <c r="H1349" s="8">
        <v>628.87</v>
      </c>
      <c r="I1349" s="8">
        <v>60.46</v>
      </c>
      <c r="J1349" s="8">
        <v>0.08</v>
      </c>
      <c r="K1349" t="str">
        <f>IF(SalesData[[#This Row],[Profit]]&gt;0,"Profit","Loss")</f>
        <v>Profit</v>
      </c>
      <c r="L1349" s="8">
        <f>SalesData[[#This Row],[Profit]]/SalesData[[#This Row],[Sales]]</f>
        <v>9.6140696805381079E-2</v>
      </c>
      <c r="M1349" t="str">
        <f>TEXT(SalesData[[#This Row],[Order_Date]],"mmm")</f>
        <v>Jul</v>
      </c>
      <c r="N1349">
        <f>YEAR(SalesData[[#This Row],[Order_Date]])</f>
        <v>2023</v>
      </c>
    </row>
    <row r="1350" spans="1:14" x14ac:dyDescent="0.3">
      <c r="A1350" t="s">
        <v>2501</v>
      </c>
      <c r="B1350" s="1">
        <v>44844</v>
      </c>
      <c r="C1350" t="s">
        <v>1405</v>
      </c>
      <c r="D1350" t="s">
        <v>18</v>
      </c>
      <c r="E1350" t="s">
        <v>13</v>
      </c>
      <c r="F1350" t="s">
        <v>36</v>
      </c>
      <c r="G1350" t="s">
        <v>151</v>
      </c>
      <c r="H1350" s="8">
        <v>4451.18</v>
      </c>
      <c r="I1350" s="8">
        <v>-309.91000000000003</v>
      </c>
      <c r="J1350" s="8">
        <v>0.12</v>
      </c>
      <c r="K1350" t="str">
        <f>IF(SalesData[[#This Row],[Profit]]&gt;0,"Profit","Loss")</f>
        <v>Loss</v>
      </c>
      <c r="L1350" s="8">
        <f>SalesData[[#This Row],[Profit]]/SalesData[[#This Row],[Sales]]</f>
        <v>-6.9624234472656685E-2</v>
      </c>
      <c r="M1350" t="str">
        <f>TEXT(SalesData[[#This Row],[Order_Date]],"mmm")</f>
        <v>Oct</v>
      </c>
      <c r="N1350">
        <f>YEAR(SalesData[[#This Row],[Order_Date]])</f>
        <v>2022</v>
      </c>
    </row>
    <row r="1351" spans="1:14" x14ac:dyDescent="0.3">
      <c r="A1351" t="s">
        <v>2502</v>
      </c>
      <c r="B1351" s="1">
        <v>45027</v>
      </c>
      <c r="C1351" t="s">
        <v>1276</v>
      </c>
      <c r="D1351" t="s">
        <v>40</v>
      </c>
      <c r="E1351" t="s">
        <v>13</v>
      </c>
      <c r="F1351" t="s">
        <v>24</v>
      </c>
      <c r="G1351" t="s">
        <v>686</v>
      </c>
      <c r="H1351" s="8">
        <v>3538.99</v>
      </c>
      <c r="I1351" s="8">
        <v>-1331.45</v>
      </c>
      <c r="J1351" s="8">
        <v>0.25</v>
      </c>
      <c r="K1351" t="str">
        <f>IF(SalesData[[#This Row],[Profit]]&gt;0,"Profit","Loss")</f>
        <v>Loss</v>
      </c>
      <c r="L1351" s="8">
        <f>SalesData[[#This Row],[Profit]]/SalesData[[#This Row],[Sales]]</f>
        <v>-0.37622315971505998</v>
      </c>
      <c r="M1351" t="str">
        <f>TEXT(SalesData[[#This Row],[Order_Date]],"mmm")</f>
        <v>Apr</v>
      </c>
      <c r="N1351">
        <f>YEAR(SalesData[[#This Row],[Order_Date]])</f>
        <v>2023</v>
      </c>
    </row>
    <row r="1352" spans="1:14" x14ac:dyDescent="0.3">
      <c r="A1352" t="s">
        <v>2503</v>
      </c>
      <c r="B1352" s="1">
        <v>44715</v>
      </c>
      <c r="C1352" t="s">
        <v>517</v>
      </c>
      <c r="D1352" t="s">
        <v>40</v>
      </c>
      <c r="E1352" t="s">
        <v>56</v>
      </c>
      <c r="F1352" t="s">
        <v>57</v>
      </c>
      <c r="G1352" t="s">
        <v>357</v>
      </c>
      <c r="H1352" s="8">
        <v>2544.7399999999998</v>
      </c>
      <c r="I1352" s="8">
        <v>-331.35</v>
      </c>
      <c r="J1352" s="8">
        <v>0.21</v>
      </c>
      <c r="K1352" t="str">
        <f>IF(SalesData[[#This Row],[Profit]]&gt;0,"Profit","Loss")</f>
        <v>Loss</v>
      </c>
      <c r="L1352" s="8">
        <f>SalesData[[#This Row],[Profit]]/SalesData[[#This Row],[Sales]]</f>
        <v>-0.13020976602717765</v>
      </c>
      <c r="M1352" t="str">
        <f>TEXT(SalesData[[#This Row],[Order_Date]],"mmm")</f>
        <v>Jun</v>
      </c>
      <c r="N1352">
        <f>YEAR(SalesData[[#This Row],[Order_Date]])</f>
        <v>2022</v>
      </c>
    </row>
    <row r="1353" spans="1:14" x14ac:dyDescent="0.3">
      <c r="A1353" t="s">
        <v>2504</v>
      </c>
      <c r="B1353" s="1">
        <v>44863</v>
      </c>
      <c r="C1353" t="s">
        <v>2505</v>
      </c>
      <c r="D1353" t="s">
        <v>28</v>
      </c>
      <c r="E1353" t="s">
        <v>13</v>
      </c>
      <c r="F1353" t="s">
        <v>24</v>
      </c>
      <c r="G1353" t="s">
        <v>1176</v>
      </c>
      <c r="H1353" s="8">
        <v>896.77</v>
      </c>
      <c r="I1353" s="8">
        <v>-279.10000000000002</v>
      </c>
      <c r="J1353" s="8">
        <v>0.15</v>
      </c>
      <c r="K1353" t="str">
        <f>IF(SalesData[[#This Row],[Profit]]&gt;0,"Profit","Loss")</f>
        <v>Loss</v>
      </c>
      <c r="L1353" s="8">
        <f>SalesData[[#This Row],[Profit]]/SalesData[[#This Row],[Sales]]</f>
        <v>-0.31122807408811626</v>
      </c>
      <c r="M1353" t="str">
        <f>TEXT(SalesData[[#This Row],[Order_Date]],"mmm")</f>
        <v>Oct</v>
      </c>
      <c r="N1353">
        <f>YEAR(SalesData[[#This Row],[Order_Date]])</f>
        <v>2022</v>
      </c>
    </row>
    <row r="1354" spans="1:14" x14ac:dyDescent="0.3">
      <c r="A1354" t="s">
        <v>2506</v>
      </c>
      <c r="B1354" s="1">
        <v>44567</v>
      </c>
      <c r="C1354" t="s">
        <v>150</v>
      </c>
      <c r="D1354" t="s">
        <v>40</v>
      </c>
      <c r="E1354" t="s">
        <v>56</v>
      </c>
      <c r="F1354" t="s">
        <v>95</v>
      </c>
      <c r="G1354" t="s">
        <v>248</v>
      </c>
      <c r="H1354" s="8">
        <v>4144.8100000000004</v>
      </c>
      <c r="I1354" s="8">
        <v>219.76</v>
      </c>
      <c r="J1354" s="8">
        <v>0.04</v>
      </c>
      <c r="K1354" t="str">
        <f>IF(SalesData[[#This Row],[Profit]]&gt;0,"Profit","Loss")</f>
        <v>Profit</v>
      </c>
      <c r="L1354" s="8">
        <f>SalesData[[#This Row],[Profit]]/SalesData[[#This Row],[Sales]]</f>
        <v>5.3020524463123754E-2</v>
      </c>
      <c r="M1354" t="str">
        <f>TEXT(SalesData[[#This Row],[Order_Date]],"mmm")</f>
        <v>Jan</v>
      </c>
      <c r="N1354">
        <f>YEAR(SalesData[[#This Row],[Order_Date]])</f>
        <v>2022</v>
      </c>
    </row>
    <row r="1355" spans="1:14" x14ac:dyDescent="0.3">
      <c r="A1355" t="s">
        <v>2507</v>
      </c>
      <c r="B1355" s="1">
        <v>45076</v>
      </c>
      <c r="C1355" t="s">
        <v>2508</v>
      </c>
      <c r="D1355" t="s">
        <v>18</v>
      </c>
      <c r="E1355" t="s">
        <v>56</v>
      </c>
      <c r="F1355" t="s">
        <v>57</v>
      </c>
      <c r="G1355" t="s">
        <v>717</v>
      </c>
      <c r="H1355" s="8">
        <v>1332.02</v>
      </c>
      <c r="I1355" s="8">
        <v>-186.54</v>
      </c>
      <c r="J1355" s="8">
        <v>0.11</v>
      </c>
      <c r="K1355" t="str">
        <f>IF(SalesData[[#This Row],[Profit]]&gt;0,"Profit","Loss")</f>
        <v>Loss</v>
      </c>
      <c r="L1355" s="8">
        <f>SalesData[[#This Row],[Profit]]/SalesData[[#This Row],[Sales]]</f>
        <v>-0.14004294229816369</v>
      </c>
      <c r="M1355" t="str">
        <f>TEXT(SalesData[[#This Row],[Order_Date]],"mmm")</f>
        <v>May</v>
      </c>
      <c r="N1355">
        <f>YEAR(SalesData[[#This Row],[Order_Date]])</f>
        <v>2023</v>
      </c>
    </row>
    <row r="1356" spans="1:14" x14ac:dyDescent="0.3">
      <c r="A1356" t="s">
        <v>2509</v>
      </c>
      <c r="B1356" s="1">
        <v>45161</v>
      </c>
      <c r="C1356" t="s">
        <v>213</v>
      </c>
      <c r="D1356" t="s">
        <v>40</v>
      </c>
      <c r="E1356" t="s">
        <v>56</v>
      </c>
      <c r="F1356" t="s">
        <v>73</v>
      </c>
      <c r="G1356" t="s">
        <v>476</v>
      </c>
      <c r="H1356" s="8">
        <v>1426.28</v>
      </c>
      <c r="I1356" s="8">
        <v>-544.79</v>
      </c>
      <c r="J1356" s="8">
        <v>0.3</v>
      </c>
      <c r="K1356" t="str">
        <f>IF(SalesData[[#This Row],[Profit]]&gt;0,"Profit","Loss")</f>
        <v>Loss</v>
      </c>
      <c r="L1356" s="8">
        <f>SalesData[[#This Row],[Profit]]/SalesData[[#This Row],[Sales]]</f>
        <v>-0.38196567293939476</v>
      </c>
      <c r="M1356" t="str">
        <f>TEXT(SalesData[[#This Row],[Order_Date]],"mmm")</f>
        <v>Aug</v>
      </c>
      <c r="N1356">
        <f>YEAR(SalesData[[#This Row],[Order_Date]])</f>
        <v>2023</v>
      </c>
    </row>
    <row r="1357" spans="1:14" x14ac:dyDescent="0.3">
      <c r="A1357" t="s">
        <v>2510</v>
      </c>
      <c r="B1357" s="1">
        <v>44957</v>
      </c>
      <c r="C1357" t="s">
        <v>2511</v>
      </c>
      <c r="D1357" t="s">
        <v>28</v>
      </c>
      <c r="E1357" t="s">
        <v>56</v>
      </c>
      <c r="F1357" t="s">
        <v>95</v>
      </c>
      <c r="G1357" t="s">
        <v>401</v>
      </c>
      <c r="H1357" s="8">
        <v>4671.38</v>
      </c>
      <c r="I1357" s="8">
        <v>640.45000000000005</v>
      </c>
      <c r="J1357" s="8">
        <v>7.0000000000000007E-2</v>
      </c>
      <c r="K1357" t="str">
        <f>IF(SalesData[[#This Row],[Profit]]&gt;0,"Profit","Loss")</f>
        <v>Profit</v>
      </c>
      <c r="L1357" s="8">
        <f>SalesData[[#This Row],[Profit]]/SalesData[[#This Row],[Sales]]</f>
        <v>0.13710081389225454</v>
      </c>
      <c r="M1357" t="str">
        <f>TEXT(SalesData[[#This Row],[Order_Date]],"mmm")</f>
        <v>Jan</v>
      </c>
      <c r="N1357">
        <f>YEAR(SalesData[[#This Row],[Order_Date]])</f>
        <v>2023</v>
      </c>
    </row>
    <row r="1358" spans="1:14" x14ac:dyDescent="0.3">
      <c r="A1358" t="s">
        <v>2512</v>
      </c>
      <c r="B1358" s="1">
        <v>45008</v>
      </c>
      <c r="C1358" t="s">
        <v>2221</v>
      </c>
      <c r="D1358" t="s">
        <v>40</v>
      </c>
      <c r="E1358" t="s">
        <v>56</v>
      </c>
      <c r="F1358" t="s">
        <v>95</v>
      </c>
      <c r="G1358" t="s">
        <v>398</v>
      </c>
      <c r="H1358" s="8">
        <v>4608.95</v>
      </c>
      <c r="I1358" s="8">
        <v>-1272.1600000000001</v>
      </c>
      <c r="J1358" s="8">
        <v>0.18</v>
      </c>
      <c r="K1358" t="str">
        <f>IF(SalesData[[#This Row],[Profit]]&gt;0,"Profit","Loss")</f>
        <v>Loss</v>
      </c>
      <c r="L1358" s="8">
        <f>SalesData[[#This Row],[Profit]]/SalesData[[#This Row],[Sales]]</f>
        <v>-0.27601948383037356</v>
      </c>
      <c r="M1358" t="str">
        <f>TEXT(SalesData[[#This Row],[Order_Date]],"mmm")</f>
        <v>Mar</v>
      </c>
      <c r="N1358">
        <f>YEAR(SalesData[[#This Row],[Order_Date]])</f>
        <v>2023</v>
      </c>
    </row>
    <row r="1359" spans="1:14" x14ac:dyDescent="0.3">
      <c r="A1359" t="s">
        <v>2513</v>
      </c>
      <c r="B1359" s="1">
        <v>45129</v>
      </c>
      <c r="C1359" t="s">
        <v>2448</v>
      </c>
      <c r="D1359" t="s">
        <v>40</v>
      </c>
      <c r="E1359" t="s">
        <v>13</v>
      </c>
      <c r="F1359" t="s">
        <v>14</v>
      </c>
      <c r="G1359" t="s">
        <v>1271</v>
      </c>
      <c r="H1359" s="8">
        <v>3448.27</v>
      </c>
      <c r="I1359" s="8">
        <v>-615.80999999999995</v>
      </c>
      <c r="J1359" s="8">
        <v>0.06</v>
      </c>
      <c r="K1359" t="str">
        <f>IF(SalesData[[#This Row],[Profit]]&gt;0,"Profit","Loss")</f>
        <v>Loss</v>
      </c>
      <c r="L1359" s="8">
        <f>SalesData[[#This Row],[Profit]]/SalesData[[#This Row],[Sales]]</f>
        <v>-0.17858520359484609</v>
      </c>
      <c r="M1359" t="str">
        <f>TEXT(SalesData[[#This Row],[Order_Date]],"mmm")</f>
        <v>Jul</v>
      </c>
      <c r="N1359">
        <f>YEAR(SalesData[[#This Row],[Order_Date]])</f>
        <v>2023</v>
      </c>
    </row>
    <row r="1360" spans="1:14" x14ac:dyDescent="0.3">
      <c r="A1360" t="s">
        <v>2514</v>
      </c>
      <c r="B1360" s="1">
        <v>44946</v>
      </c>
      <c r="C1360" t="s">
        <v>1639</v>
      </c>
      <c r="D1360" t="s">
        <v>12</v>
      </c>
      <c r="E1360" t="s">
        <v>56</v>
      </c>
      <c r="F1360" t="s">
        <v>95</v>
      </c>
      <c r="G1360" t="s">
        <v>551</v>
      </c>
      <c r="H1360" s="8">
        <v>2876.66</v>
      </c>
      <c r="I1360" s="8">
        <v>-179.8</v>
      </c>
      <c r="J1360" s="8">
        <v>0.19</v>
      </c>
      <c r="K1360" t="str">
        <f>IF(SalesData[[#This Row],[Profit]]&gt;0,"Profit","Loss")</f>
        <v>Loss</v>
      </c>
      <c r="L1360" s="8">
        <f>SalesData[[#This Row],[Profit]]/SalesData[[#This Row],[Sales]]</f>
        <v>-6.2503041721997041E-2</v>
      </c>
      <c r="M1360" t="str">
        <f>TEXT(SalesData[[#This Row],[Order_Date]],"mmm")</f>
        <v>Jan</v>
      </c>
      <c r="N1360">
        <f>YEAR(SalesData[[#This Row],[Order_Date]])</f>
        <v>2023</v>
      </c>
    </row>
    <row r="1361" spans="1:14" x14ac:dyDescent="0.3">
      <c r="A1361" t="s">
        <v>2515</v>
      </c>
      <c r="B1361" s="1">
        <v>44928</v>
      </c>
      <c r="C1361" t="s">
        <v>305</v>
      </c>
      <c r="D1361" t="s">
        <v>40</v>
      </c>
      <c r="E1361" t="s">
        <v>13</v>
      </c>
      <c r="F1361" t="s">
        <v>36</v>
      </c>
      <c r="G1361" t="s">
        <v>1570</v>
      </c>
      <c r="H1361" s="8">
        <v>3501.25</v>
      </c>
      <c r="I1361" s="8">
        <v>213.92</v>
      </c>
      <c r="J1361" s="8">
        <v>0.15</v>
      </c>
      <c r="K1361" t="str">
        <f>IF(SalesData[[#This Row],[Profit]]&gt;0,"Profit","Loss")</f>
        <v>Profit</v>
      </c>
      <c r="L1361" s="8">
        <f>SalesData[[#This Row],[Profit]]/SalesData[[#This Row],[Sales]]</f>
        <v>6.1098179221706531E-2</v>
      </c>
      <c r="M1361" t="str">
        <f>TEXT(SalesData[[#This Row],[Order_Date]],"mmm")</f>
        <v>Jan</v>
      </c>
      <c r="N1361">
        <f>YEAR(SalesData[[#This Row],[Order_Date]])</f>
        <v>2023</v>
      </c>
    </row>
    <row r="1362" spans="1:14" x14ac:dyDescent="0.3">
      <c r="A1362" t="s">
        <v>2516</v>
      </c>
      <c r="B1362" s="1">
        <v>44589</v>
      </c>
      <c r="C1362" t="s">
        <v>2148</v>
      </c>
      <c r="D1362" t="s">
        <v>28</v>
      </c>
      <c r="E1362" t="s">
        <v>19</v>
      </c>
      <c r="F1362" t="s">
        <v>29</v>
      </c>
      <c r="G1362" t="s">
        <v>945</v>
      </c>
      <c r="H1362" s="8">
        <v>4811.09</v>
      </c>
      <c r="I1362" s="8">
        <v>998.47</v>
      </c>
      <c r="J1362" s="8">
        <v>0.14000000000000001</v>
      </c>
      <c r="K1362" t="str">
        <f>IF(SalesData[[#This Row],[Profit]]&gt;0,"Profit","Loss")</f>
        <v>Profit</v>
      </c>
      <c r="L1362" s="8">
        <f>SalesData[[#This Row],[Profit]]/SalesData[[#This Row],[Sales]]</f>
        <v>0.20753509080062937</v>
      </c>
      <c r="M1362" t="str">
        <f>TEXT(SalesData[[#This Row],[Order_Date]],"mmm")</f>
        <v>Jan</v>
      </c>
      <c r="N1362">
        <f>YEAR(SalesData[[#This Row],[Order_Date]])</f>
        <v>2022</v>
      </c>
    </row>
    <row r="1363" spans="1:14" x14ac:dyDescent="0.3">
      <c r="A1363" t="s">
        <v>2517</v>
      </c>
      <c r="B1363" s="1">
        <v>44944</v>
      </c>
      <c r="C1363" t="s">
        <v>527</v>
      </c>
      <c r="D1363" t="s">
        <v>40</v>
      </c>
      <c r="E1363" t="s">
        <v>56</v>
      </c>
      <c r="F1363" t="s">
        <v>73</v>
      </c>
      <c r="G1363" t="s">
        <v>1492</v>
      </c>
      <c r="H1363" s="8">
        <v>4543.5600000000004</v>
      </c>
      <c r="I1363" s="8">
        <v>-417.13</v>
      </c>
      <c r="J1363" s="8">
        <v>0.24</v>
      </c>
      <c r="K1363" t="str">
        <f>IF(SalesData[[#This Row],[Profit]]&gt;0,"Profit","Loss")</f>
        <v>Loss</v>
      </c>
      <c r="L1363" s="8">
        <f>SalesData[[#This Row],[Profit]]/SalesData[[#This Row],[Sales]]</f>
        <v>-9.1806865101374244E-2</v>
      </c>
      <c r="M1363" t="str">
        <f>TEXT(SalesData[[#This Row],[Order_Date]],"mmm")</f>
        <v>Jan</v>
      </c>
      <c r="N1363">
        <f>YEAR(SalesData[[#This Row],[Order_Date]])</f>
        <v>2023</v>
      </c>
    </row>
    <row r="1364" spans="1:14" x14ac:dyDescent="0.3">
      <c r="A1364" t="s">
        <v>2518</v>
      </c>
      <c r="B1364" s="1">
        <v>45092</v>
      </c>
      <c r="C1364" t="s">
        <v>2358</v>
      </c>
      <c r="D1364" t="s">
        <v>12</v>
      </c>
      <c r="E1364" t="s">
        <v>19</v>
      </c>
      <c r="F1364" t="s">
        <v>20</v>
      </c>
      <c r="G1364" t="s">
        <v>285</v>
      </c>
      <c r="H1364" s="8">
        <v>2074.42</v>
      </c>
      <c r="I1364" s="8">
        <v>590.15</v>
      </c>
      <c r="J1364" s="8">
        <v>0</v>
      </c>
      <c r="K1364" t="str">
        <f>IF(SalesData[[#This Row],[Profit]]&gt;0,"Profit","Loss")</f>
        <v>Profit</v>
      </c>
      <c r="L1364" s="8">
        <f>SalesData[[#This Row],[Profit]]/SalesData[[#This Row],[Sales]]</f>
        <v>0.28448915841536426</v>
      </c>
      <c r="M1364" t="str">
        <f>TEXT(SalesData[[#This Row],[Order_Date]],"mmm")</f>
        <v>Jun</v>
      </c>
      <c r="N1364">
        <f>YEAR(SalesData[[#This Row],[Order_Date]])</f>
        <v>2023</v>
      </c>
    </row>
    <row r="1365" spans="1:14" x14ac:dyDescent="0.3">
      <c r="A1365" t="s">
        <v>2519</v>
      </c>
      <c r="B1365" s="1">
        <v>44661</v>
      </c>
      <c r="C1365" t="s">
        <v>685</v>
      </c>
      <c r="D1365" t="s">
        <v>28</v>
      </c>
      <c r="E1365" t="s">
        <v>56</v>
      </c>
      <c r="F1365" t="s">
        <v>95</v>
      </c>
      <c r="G1365" t="s">
        <v>265</v>
      </c>
      <c r="H1365" s="8">
        <v>4166.4799999999996</v>
      </c>
      <c r="I1365" s="8">
        <v>-791.26</v>
      </c>
      <c r="J1365" s="8">
        <v>0.19</v>
      </c>
      <c r="K1365" t="str">
        <f>IF(SalesData[[#This Row],[Profit]]&gt;0,"Profit","Loss")</f>
        <v>Loss</v>
      </c>
      <c r="L1365" s="8">
        <f>SalesData[[#This Row],[Profit]]/SalesData[[#This Row],[Sales]]</f>
        <v>-0.1899109080086788</v>
      </c>
      <c r="M1365" t="str">
        <f>TEXT(SalesData[[#This Row],[Order_Date]],"mmm")</f>
        <v>Apr</v>
      </c>
      <c r="N1365">
        <f>YEAR(SalesData[[#This Row],[Order_Date]])</f>
        <v>2022</v>
      </c>
    </row>
    <row r="1366" spans="1:14" x14ac:dyDescent="0.3">
      <c r="A1366" t="s">
        <v>2520</v>
      </c>
      <c r="B1366" s="1">
        <v>44616</v>
      </c>
      <c r="C1366" t="s">
        <v>970</v>
      </c>
      <c r="D1366" t="s">
        <v>18</v>
      </c>
      <c r="E1366" t="s">
        <v>19</v>
      </c>
      <c r="F1366" t="s">
        <v>20</v>
      </c>
      <c r="G1366" t="s">
        <v>2426</v>
      </c>
      <c r="H1366" s="8">
        <v>695.07</v>
      </c>
      <c r="I1366" s="8">
        <v>-51.09</v>
      </c>
      <c r="J1366" s="8">
        <v>0.18</v>
      </c>
      <c r="K1366" t="str">
        <f>IF(SalesData[[#This Row],[Profit]]&gt;0,"Profit","Loss")</f>
        <v>Loss</v>
      </c>
      <c r="L1366" s="8">
        <f>SalesData[[#This Row],[Profit]]/SalesData[[#This Row],[Sales]]</f>
        <v>-7.3503388147956317E-2</v>
      </c>
      <c r="M1366" t="str">
        <f>TEXT(SalesData[[#This Row],[Order_Date]],"mmm")</f>
        <v>Feb</v>
      </c>
      <c r="N1366">
        <f>YEAR(SalesData[[#This Row],[Order_Date]])</f>
        <v>2022</v>
      </c>
    </row>
    <row r="1367" spans="1:14" x14ac:dyDescent="0.3">
      <c r="A1367" t="s">
        <v>2521</v>
      </c>
      <c r="B1367" s="1">
        <v>45253</v>
      </c>
      <c r="C1367" t="s">
        <v>46</v>
      </c>
      <c r="D1367" t="s">
        <v>18</v>
      </c>
      <c r="E1367" t="s">
        <v>56</v>
      </c>
      <c r="F1367" t="s">
        <v>73</v>
      </c>
      <c r="G1367" t="s">
        <v>1170</v>
      </c>
      <c r="H1367" s="8">
        <v>3728.08</v>
      </c>
      <c r="I1367" s="8">
        <v>-804.79</v>
      </c>
      <c r="J1367" s="8">
        <v>0.15</v>
      </c>
      <c r="K1367" t="str">
        <f>IF(SalesData[[#This Row],[Profit]]&gt;0,"Profit","Loss")</f>
        <v>Loss</v>
      </c>
      <c r="L1367" s="8">
        <f>SalesData[[#This Row],[Profit]]/SalesData[[#This Row],[Sales]]</f>
        <v>-0.21587251346537628</v>
      </c>
      <c r="M1367" t="str">
        <f>TEXT(SalesData[[#This Row],[Order_Date]],"mmm")</f>
        <v>Nov</v>
      </c>
      <c r="N1367">
        <f>YEAR(SalesData[[#This Row],[Order_Date]])</f>
        <v>2023</v>
      </c>
    </row>
    <row r="1368" spans="1:14" x14ac:dyDescent="0.3">
      <c r="A1368" t="s">
        <v>2522</v>
      </c>
      <c r="B1368" s="1">
        <v>45200</v>
      </c>
      <c r="C1368" t="s">
        <v>2523</v>
      </c>
      <c r="D1368" t="s">
        <v>18</v>
      </c>
      <c r="E1368" t="s">
        <v>13</v>
      </c>
      <c r="F1368" t="s">
        <v>36</v>
      </c>
      <c r="G1368" t="s">
        <v>457</v>
      </c>
      <c r="H1368" s="8">
        <v>3623.8</v>
      </c>
      <c r="I1368" s="8">
        <v>12.21</v>
      </c>
      <c r="J1368" s="8">
        <v>0.28000000000000003</v>
      </c>
      <c r="K1368" t="str">
        <f>IF(SalesData[[#This Row],[Profit]]&gt;0,"Profit","Loss")</f>
        <v>Profit</v>
      </c>
      <c r="L1368" s="8">
        <f>SalesData[[#This Row],[Profit]]/SalesData[[#This Row],[Sales]]</f>
        <v>3.3693912467575473E-3</v>
      </c>
      <c r="M1368" t="str">
        <f>TEXT(SalesData[[#This Row],[Order_Date]],"mmm")</f>
        <v>Oct</v>
      </c>
      <c r="N1368">
        <f>YEAR(SalesData[[#This Row],[Order_Date]])</f>
        <v>2023</v>
      </c>
    </row>
    <row r="1369" spans="1:14" x14ac:dyDescent="0.3">
      <c r="A1369" t="s">
        <v>2524</v>
      </c>
      <c r="B1369" s="1">
        <v>44815</v>
      </c>
      <c r="C1369" t="s">
        <v>2525</v>
      </c>
      <c r="D1369" t="s">
        <v>12</v>
      </c>
      <c r="E1369" t="s">
        <v>56</v>
      </c>
      <c r="F1369" t="s">
        <v>57</v>
      </c>
      <c r="G1369" t="s">
        <v>1123</v>
      </c>
      <c r="H1369" s="8">
        <v>849.81</v>
      </c>
      <c r="I1369" s="8">
        <v>-125.86</v>
      </c>
      <c r="J1369" s="8">
        <v>0.26</v>
      </c>
      <c r="K1369" t="str">
        <f>IF(SalesData[[#This Row],[Profit]]&gt;0,"Profit","Loss")</f>
        <v>Loss</v>
      </c>
      <c r="L1369" s="8">
        <f>SalesData[[#This Row],[Profit]]/SalesData[[#This Row],[Sales]]</f>
        <v>-0.14810369376684202</v>
      </c>
      <c r="M1369" t="str">
        <f>TEXT(SalesData[[#This Row],[Order_Date]],"mmm")</f>
        <v>Sep</v>
      </c>
      <c r="N1369">
        <f>YEAR(SalesData[[#This Row],[Order_Date]])</f>
        <v>2022</v>
      </c>
    </row>
    <row r="1370" spans="1:14" x14ac:dyDescent="0.3">
      <c r="A1370" t="s">
        <v>2526</v>
      </c>
      <c r="B1370" s="1">
        <v>44976</v>
      </c>
      <c r="C1370" t="s">
        <v>344</v>
      </c>
      <c r="D1370" t="s">
        <v>18</v>
      </c>
      <c r="E1370" t="s">
        <v>56</v>
      </c>
      <c r="F1370" t="s">
        <v>73</v>
      </c>
      <c r="G1370" t="s">
        <v>2173</v>
      </c>
      <c r="H1370" s="8">
        <v>2274.6999999999998</v>
      </c>
      <c r="I1370" s="8">
        <v>-334.18</v>
      </c>
      <c r="J1370" s="8">
        <v>0.02</v>
      </c>
      <c r="K1370" t="str">
        <f>IF(SalesData[[#This Row],[Profit]]&gt;0,"Profit","Loss")</f>
        <v>Loss</v>
      </c>
      <c r="L1370" s="8">
        <f>SalesData[[#This Row],[Profit]]/SalesData[[#This Row],[Sales]]</f>
        <v>-0.14691168066118609</v>
      </c>
      <c r="M1370" t="str">
        <f>TEXT(SalesData[[#This Row],[Order_Date]],"mmm")</f>
        <v>Feb</v>
      </c>
      <c r="N1370">
        <f>YEAR(SalesData[[#This Row],[Order_Date]])</f>
        <v>2023</v>
      </c>
    </row>
    <row r="1371" spans="1:14" x14ac:dyDescent="0.3">
      <c r="A1371" t="s">
        <v>2527</v>
      </c>
      <c r="B1371" s="1">
        <v>45235</v>
      </c>
      <c r="C1371" t="s">
        <v>1842</v>
      </c>
      <c r="D1371" t="s">
        <v>12</v>
      </c>
      <c r="E1371" t="s">
        <v>56</v>
      </c>
      <c r="F1371" t="s">
        <v>73</v>
      </c>
      <c r="G1371" t="s">
        <v>1196</v>
      </c>
      <c r="H1371" s="8">
        <v>1375.33</v>
      </c>
      <c r="I1371" s="8">
        <v>-160.26</v>
      </c>
      <c r="J1371" s="8">
        <v>0.18</v>
      </c>
      <c r="K1371" t="str">
        <f>IF(SalesData[[#This Row],[Profit]]&gt;0,"Profit","Loss")</f>
        <v>Loss</v>
      </c>
      <c r="L1371" s="8">
        <f>SalesData[[#This Row],[Profit]]/SalesData[[#This Row],[Sales]]</f>
        <v>-0.11652476133000807</v>
      </c>
      <c r="M1371" t="str">
        <f>TEXT(SalesData[[#This Row],[Order_Date]],"mmm")</f>
        <v>Nov</v>
      </c>
      <c r="N1371">
        <f>YEAR(SalesData[[#This Row],[Order_Date]])</f>
        <v>2023</v>
      </c>
    </row>
    <row r="1372" spans="1:14" x14ac:dyDescent="0.3">
      <c r="A1372" t="s">
        <v>2528</v>
      </c>
      <c r="B1372" s="1">
        <v>44808</v>
      </c>
      <c r="C1372" t="s">
        <v>2529</v>
      </c>
      <c r="D1372" t="s">
        <v>18</v>
      </c>
      <c r="E1372" t="s">
        <v>56</v>
      </c>
      <c r="F1372" t="s">
        <v>73</v>
      </c>
      <c r="G1372" t="s">
        <v>1087</v>
      </c>
      <c r="H1372" s="8">
        <v>206.12</v>
      </c>
      <c r="I1372" s="8">
        <v>42.62</v>
      </c>
      <c r="J1372" s="8">
        <v>0.04</v>
      </c>
      <c r="K1372" t="str">
        <f>IF(SalesData[[#This Row],[Profit]]&gt;0,"Profit","Loss")</f>
        <v>Profit</v>
      </c>
      <c r="L1372" s="8">
        <f>SalesData[[#This Row],[Profit]]/SalesData[[#This Row],[Sales]]</f>
        <v>0.20677275373568793</v>
      </c>
      <c r="M1372" t="str">
        <f>TEXT(SalesData[[#This Row],[Order_Date]],"mmm")</f>
        <v>Sep</v>
      </c>
      <c r="N1372">
        <f>YEAR(SalesData[[#This Row],[Order_Date]])</f>
        <v>2022</v>
      </c>
    </row>
    <row r="1373" spans="1:14" x14ac:dyDescent="0.3">
      <c r="A1373" t="s">
        <v>2530</v>
      </c>
      <c r="B1373" s="1">
        <v>44938</v>
      </c>
      <c r="C1373" t="s">
        <v>605</v>
      </c>
      <c r="D1373" t="s">
        <v>40</v>
      </c>
      <c r="E1373" t="s">
        <v>19</v>
      </c>
      <c r="F1373" t="s">
        <v>29</v>
      </c>
      <c r="G1373" t="s">
        <v>964</v>
      </c>
      <c r="H1373" s="8">
        <v>1518.3</v>
      </c>
      <c r="I1373" s="8">
        <v>187.14</v>
      </c>
      <c r="J1373" s="8">
        <v>0.03</v>
      </c>
      <c r="K1373" t="str">
        <f>IF(SalesData[[#This Row],[Profit]]&gt;0,"Profit","Loss")</f>
        <v>Profit</v>
      </c>
      <c r="L1373" s="8">
        <f>SalesData[[#This Row],[Profit]]/SalesData[[#This Row],[Sales]]</f>
        <v>0.12325627346374234</v>
      </c>
      <c r="M1373" t="str">
        <f>TEXT(SalesData[[#This Row],[Order_Date]],"mmm")</f>
        <v>Jan</v>
      </c>
      <c r="N1373">
        <f>YEAR(SalesData[[#This Row],[Order_Date]])</f>
        <v>2023</v>
      </c>
    </row>
    <row r="1374" spans="1:14" x14ac:dyDescent="0.3">
      <c r="A1374" t="s">
        <v>2531</v>
      </c>
      <c r="B1374" s="1">
        <v>44713</v>
      </c>
      <c r="C1374" t="s">
        <v>1040</v>
      </c>
      <c r="D1374" t="s">
        <v>40</v>
      </c>
      <c r="E1374" t="s">
        <v>19</v>
      </c>
      <c r="F1374" t="s">
        <v>141</v>
      </c>
      <c r="G1374" t="s">
        <v>436</v>
      </c>
      <c r="H1374" s="8">
        <v>4019.29</v>
      </c>
      <c r="I1374" s="8">
        <v>595.24</v>
      </c>
      <c r="J1374" s="8">
        <v>0.14000000000000001</v>
      </c>
      <c r="K1374" t="str">
        <f>IF(SalesData[[#This Row],[Profit]]&gt;0,"Profit","Loss")</f>
        <v>Profit</v>
      </c>
      <c r="L1374" s="8">
        <f>SalesData[[#This Row],[Profit]]/SalesData[[#This Row],[Sales]]</f>
        <v>0.14809580796608357</v>
      </c>
      <c r="M1374" t="str">
        <f>TEXT(SalesData[[#This Row],[Order_Date]],"mmm")</f>
        <v>Jun</v>
      </c>
      <c r="N1374">
        <f>YEAR(SalesData[[#This Row],[Order_Date]])</f>
        <v>2022</v>
      </c>
    </row>
    <row r="1375" spans="1:14" x14ac:dyDescent="0.3">
      <c r="A1375" t="s">
        <v>2532</v>
      </c>
      <c r="B1375" s="1">
        <v>45228</v>
      </c>
      <c r="C1375" t="s">
        <v>2533</v>
      </c>
      <c r="D1375" t="s">
        <v>28</v>
      </c>
      <c r="E1375" t="s">
        <v>56</v>
      </c>
      <c r="F1375" t="s">
        <v>73</v>
      </c>
      <c r="G1375" t="s">
        <v>151</v>
      </c>
      <c r="H1375" s="8">
        <v>2008.2</v>
      </c>
      <c r="I1375" s="8">
        <v>-701.97</v>
      </c>
      <c r="J1375" s="8">
        <v>0.17</v>
      </c>
      <c r="K1375" t="str">
        <f>IF(SalesData[[#This Row],[Profit]]&gt;0,"Profit","Loss")</f>
        <v>Loss</v>
      </c>
      <c r="L1375" s="8">
        <f>SalesData[[#This Row],[Profit]]/SalesData[[#This Row],[Sales]]</f>
        <v>-0.34955183746638779</v>
      </c>
      <c r="M1375" t="str">
        <f>TEXT(SalesData[[#This Row],[Order_Date]],"mmm")</f>
        <v>Oct</v>
      </c>
      <c r="N1375">
        <f>YEAR(SalesData[[#This Row],[Order_Date]])</f>
        <v>2023</v>
      </c>
    </row>
    <row r="1376" spans="1:14" x14ac:dyDescent="0.3">
      <c r="A1376" t="s">
        <v>2534</v>
      </c>
      <c r="B1376" s="1">
        <v>44724</v>
      </c>
      <c r="C1376" t="s">
        <v>2535</v>
      </c>
      <c r="D1376" t="s">
        <v>18</v>
      </c>
      <c r="E1376" t="s">
        <v>19</v>
      </c>
      <c r="F1376" t="s">
        <v>20</v>
      </c>
      <c r="G1376" t="s">
        <v>1712</v>
      </c>
      <c r="H1376" s="8">
        <v>2392.7399999999998</v>
      </c>
      <c r="I1376" s="8">
        <v>-607.41999999999996</v>
      </c>
      <c r="J1376" s="8">
        <v>0.22</v>
      </c>
      <c r="K1376" t="str">
        <f>IF(SalesData[[#This Row],[Profit]]&gt;0,"Profit","Loss")</f>
        <v>Loss</v>
      </c>
      <c r="L1376" s="8">
        <f>SalesData[[#This Row],[Profit]]/SalesData[[#This Row],[Sales]]</f>
        <v>-0.25385959193226176</v>
      </c>
      <c r="M1376" t="str">
        <f>TEXT(SalesData[[#This Row],[Order_Date]],"mmm")</f>
        <v>Jun</v>
      </c>
      <c r="N1376">
        <f>YEAR(SalesData[[#This Row],[Order_Date]])</f>
        <v>2022</v>
      </c>
    </row>
    <row r="1377" spans="1:14" x14ac:dyDescent="0.3">
      <c r="A1377" t="s">
        <v>2536</v>
      </c>
      <c r="B1377" s="1">
        <v>44922</v>
      </c>
      <c r="C1377" t="s">
        <v>2537</v>
      </c>
      <c r="D1377" t="s">
        <v>40</v>
      </c>
      <c r="E1377" t="s">
        <v>13</v>
      </c>
      <c r="F1377" t="s">
        <v>24</v>
      </c>
      <c r="G1377" t="s">
        <v>485</v>
      </c>
      <c r="H1377" s="8">
        <v>2014.06</v>
      </c>
      <c r="I1377" s="8">
        <v>349.54</v>
      </c>
      <c r="J1377" s="8">
        <v>0.02</v>
      </c>
      <c r="K1377" t="str">
        <f>IF(SalesData[[#This Row],[Profit]]&gt;0,"Profit","Loss")</f>
        <v>Profit</v>
      </c>
      <c r="L1377" s="8">
        <f>SalesData[[#This Row],[Profit]]/SalesData[[#This Row],[Sales]]</f>
        <v>0.17354994389442222</v>
      </c>
      <c r="M1377" t="str">
        <f>TEXT(SalesData[[#This Row],[Order_Date]],"mmm")</f>
        <v>Dec</v>
      </c>
      <c r="N1377">
        <f>YEAR(SalesData[[#This Row],[Order_Date]])</f>
        <v>2022</v>
      </c>
    </row>
    <row r="1378" spans="1:14" x14ac:dyDescent="0.3">
      <c r="A1378" t="s">
        <v>2538</v>
      </c>
      <c r="B1378" s="1">
        <v>44965</v>
      </c>
      <c r="C1378" t="s">
        <v>1831</v>
      </c>
      <c r="D1378" t="s">
        <v>28</v>
      </c>
      <c r="E1378" t="s">
        <v>13</v>
      </c>
      <c r="F1378" t="s">
        <v>14</v>
      </c>
      <c r="G1378" t="s">
        <v>1306</v>
      </c>
      <c r="H1378" s="8">
        <v>1463.87</v>
      </c>
      <c r="I1378" s="8">
        <v>-363.39</v>
      </c>
      <c r="J1378" s="8">
        <v>0.23</v>
      </c>
      <c r="K1378" t="str">
        <f>IF(SalesData[[#This Row],[Profit]]&gt;0,"Profit","Loss")</f>
        <v>Loss</v>
      </c>
      <c r="L1378" s="8">
        <f>SalesData[[#This Row],[Profit]]/SalesData[[#This Row],[Sales]]</f>
        <v>-0.2482392562181068</v>
      </c>
      <c r="M1378" t="str">
        <f>TEXT(SalesData[[#This Row],[Order_Date]],"mmm")</f>
        <v>Feb</v>
      </c>
      <c r="N1378">
        <f>YEAR(SalesData[[#This Row],[Order_Date]])</f>
        <v>2023</v>
      </c>
    </row>
    <row r="1379" spans="1:14" x14ac:dyDescent="0.3">
      <c r="A1379" t="s">
        <v>2539</v>
      </c>
      <c r="B1379" s="1">
        <v>45236</v>
      </c>
      <c r="C1379" t="s">
        <v>2540</v>
      </c>
      <c r="D1379" t="s">
        <v>40</v>
      </c>
      <c r="E1379" t="s">
        <v>19</v>
      </c>
      <c r="F1379" t="s">
        <v>141</v>
      </c>
      <c r="G1379" t="s">
        <v>525</v>
      </c>
      <c r="H1379" s="8">
        <v>3328.96</v>
      </c>
      <c r="I1379" s="8">
        <v>620.67999999999995</v>
      </c>
      <c r="J1379" s="8">
        <v>0.17</v>
      </c>
      <c r="K1379" t="str">
        <f>IF(SalesData[[#This Row],[Profit]]&gt;0,"Profit","Loss")</f>
        <v>Profit</v>
      </c>
      <c r="L1379" s="8">
        <f>SalesData[[#This Row],[Profit]]/SalesData[[#This Row],[Sales]]</f>
        <v>0.18644862059021433</v>
      </c>
      <c r="M1379" t="str">
        <f>TEXT(SalesData[[#This Row],[Order_Date]],"mmm")</f>
        <v>Nov</v>
      </c>
      <c r="N1379">
        <f>YEAR(SalesData[[#This Row],[Order_Date]])</f>
        <v>2023</v>
      </c>
    </row>
    <row r="1380" spans="1:14" x14ac:dyDescent="0.3">
      <c r="A1380" t="s">
        <v>2541</v>
      </c>
      <c r="B1380" s="1">
        <v>44975</v>
      </c>
      <c r="C1380" t="s">
        <v>1831</v>
      </c>
      <c r="D1380" t="s">
        <v>12</v>
      </c>
      <c r="E1380" t="s">
        <v>13</v>
      </c>
      <c r="F1380" t="s">
        <v>36</v>
      </c>
      <c r="G1380" t="s">
        <v>826</v>
      </c>
      <c r="H1380" s="8">
        <v>2985.38</v>
      </c>
      <c r="I1380" s="8">
        <v>-57.63</v>
      </c>
      <c r="J1380" s="8">
        <v>0.17</v>
      </c>
      <c r="K1380" t="str">
        <f>IF(SalesData[[#This Row],[Profit]]&gt;0,"Profit","Loss")</f>
        <v>Loss</v>
      </c>
      <c r="L1380" s="8">
        <f>SalesData[[#This Row],[Profit]]/SalesData[[#This Row],[Sales]]</f>
        <v>-1.9304075193107745E-2</v>
      </c>
      <c r="M1380" t="str">
        <f>TEXT(SalesData[[#This Row],[Order_Date]],"mmm")</f>
        <v>Feb</v>
      </c>
      <c r="N1380">
        <f>YEAR(SalesData[[#This Row],[Order_Date]])</f>
        <v>2023</v>
      </c>
    </row>
    <row r="1381" spans="1:14" x14ac:dyDescent="0.3">
      <c r="A1381" t="s">
        <v>2542</v>
      </c>
      <c r="B1381" s="1">
        <v>45257</v>
      </c>
      <c r="C1381" t="s">
        <v>433</v>
      </c>
      <c r="D1381" t="s">
        <v>40</v>
      </c>
      <c r="E1381" t="s">
        <v>13</v>
      </c>
      <c r="F1381" t="s">
        <v>14</v>
      </c>
      <c r="G1381" t="s">
        <v>500</v>
      </c>
      <c r="H1381" s="8">
        <v>1235.3499999999999</v>
      </c>
      <c r="I1381" s="8">
        <v>-123.95</v>
      </c>
      <c r="J1381" s="8">
        <v>0.2</v>
      </c>
      <c r="K1381" t="str">
        <f>IF(SalesData[[#This Row],[Profit]]&gt;0,"Profit","Loss")</f>
        <v>Loss</v>
      </c>
      <c r="L1381" s="8">
        <f>SalesData[[#This Row],[Profit]]/SalesData[[#This Row],[Sales]]</f>
        <v>-0.10033593718379408</v>
      </c>
      <c r="M1381" t="str">
        <f>TEXT(SalesData[[#This Row],[Order_Date]],"mmm")</f>
        <v>Nov</v>
      </c>
      <c r="N1381">
        <f>YEAR(SalesData[[#This Row],[Order_Date]])</f>
        <v>2023</v>
      </c>
    </row>
    <row r="1382" spans="1:14" x14ac:dyDescent="0.3">
      <c r="A1382" t="s">
        <v>2543</v>
      </c>
      <c r="B1382" s="1">
        <v>44955</v>
      </c>
      <c r="C1382" t="s">
        <v>472</v>
      </c>
      <c r="D1382" t="s">
        <v>28</v>
      </c>
      <c r="E1382" t="s">
        <v>56</v>
      </c>
      <c r="F1382" t="s">
        <v>73</v>
      </c>
      <c r="G1382" t="s">
        <v>774</v>
      </c>
      <c r="H1382" s="8">
        <v>3998.46</v>
      </c>
      <c r="I1382" s="8">
        <v>1193.3499999999999</v>
      </c>
      <c r="J1382" s="8">
        <v>0.03</v>
      </c>
      <c r="K1382" t="str">
        <f>IF(SalesData[[#This Row],[Profit]]&gt;0,"Profit","Loss")</f>
        <v>Profit</v>
      </c>
      <c r="L1382" s="8">
        <f>SalesData[[#This Row],[Profit]]/SalesData[[#This Row],[Sales]]</f>
        <v>0.29845240417560759</v>
      </c>
      <c r="M1382" t="str">
        <f>TEXT(SalesData[[#This Row],[Order_Date]],"mmm")</f>
        <v>Jan</v>
      </c>
      <c r="N1382">
        <f>YEAR(SalesData[[#This Row],[Order_Date]])</f>
        <v>2023</v>
      </c>
    </row>
    <row r="1383" spans="1:14" x14ac:dyDescent="0.3">
      <c r="A1383" t="s">
        <v>2544</v>
      </c>
      <c r="B1383" s="1">
        <v>44636</v>
      </c>
      <c r="C1383" t="s">
        <v>186</v>
      </c>
      <c r="D1383" t="s">
        <v>40</v>
      </c>
      <c r="E1383" t="s">
        <v>56</v>
      </c>
      <c r="F1383" t="s">
        <v>57</v>
      </c>
      <c r="G1383" t="s">
        <v>2205</v>
      </c>
      <c r="H1383" s="8">
        <v>3098.33</v>
      </c>
      <c r="I1383" s="8">
        <v>861.59</v>
      </c>
      <c r="J1383" s="8">
        <v>0.03</v>
      </c>
      <c r="K1383" t="str">
        <f>IF(SalesData[[#This Row],[Profit]]&gt;0,"Profit","Loss")</f>
        <v>Profit</v>
      </c>
      <c r="L1383" s="8">
        <f>SalesData[[#This Row],[Profit]]/SalesData[[#This Row],[Sales]]</f>
        <v>0.27808206356327442</v>
      </c>
      <c r="M1383" t="str">
        <f>TEXT(SalesData[[#This Row],[Order_Date]],"mmm")</f>
        <v>Mar</v>
      </c>
      <c r="N1383">
        <f>YEAR(SalesData[[#This Row],[Order_Date]])</f>
        <v>2022</v>
      </c>
    </row>
    <row r="1384" spans="1:14" x14ac:dyDescent="0.3">
      <c r="A1384" t="s">
        <v>2545</v>
      </c>
      <c r="B1384" s="1">
        <v>44948</v>
      </c>
      <c r="C1384" t="s">
        <v>724</v>
      </c>
      <c r="D1384" t="s">
        <v>18</v>
      </c>
      <c r="E1384" t="s">
        <v>13</v>
      </c>
      <c r="F1384" t="s">
        <v>14</v>
      </c>
      <c r="G1384" t="s">
        <v>2546</v>
      </c>
      <c r="H1384" s="8">
        <v>4625.3999999999996</v>
      </c>
      <c r="I1384" s="8">
        <v>551.51</v>
      </c>
      <c r="J1384" s="8">
        <v>0.1</v>
      </c>
      <c r="K1384" t="str">
        <f>IF(SalesData[[#This Row],[Profit]]&gt;0,"Profit","Loss")</f>
        <v>Profit</v>
      </c>
      <c r="L1384" s="8">
        <f>SalesData[[#This Row],[Profit]]/SalesData[[#This Row],[Sales]]</f>
        <v>0.11923509318113029</v>
      </c>
      <c r="M1384" t="str">
        <f>TEXT(SalesData[[#This Row],[Order_Date]],"mmm")</f>
        <v>Jan</v>
      </c>
      <c r="N1384">
        <f>YEAR(SalesData[[#This Row],[Order_Date]])</f>
        <v>2023</v>
      </c>
    </row>
    <row r="1385" spans="1:14" x14ac:dyDescent="0.3">
      <c r="A1385" t="s">
        <v>2547</v>
      </c>
      <c r="B1385" s="1">
        <v>44727</v>
      </c>
      <c r="C1385" t="s">
        <v>1439</v>
      </c>
      <c r="D1385" t="s">
        <v>18</v>
      </c>
      <c r="E1385" t="s">
        <v>19</v>
      </c>
      <c r="F1385" t="s">
        <v>29</v>
      </c>
      <c r="G1385" t="s">
        <v>1027</v>
      </c>
      <c r="H1385" s="8">
        <v>2243.8200000000002</v>
      </c>
      <c r="I1385" s="8">
        <v>-379.84</v>
      </c>
      <c r="J1385" s="8">
        <v>0.09</v>
      </c>
      <c r="K1385" t="str">
        <f>IF(SalesData[[#This Row],[Profit]]&gt;0,"Profit","Loss")</f>
        <v>Loss</v>
      </c>
      <c r="L1385" s="8">
        <f>SalesData[[#This Row],[Profit]]/SalesData[[#This Row],[Sales]]</f>
        <v>-0.16928274103983385</v>
      </c>
      <c r="M1385" t="str">
        <f>TEXT(SalesData[[#This Row],[Order_Date]],"mmm")</f>
        <v>Jun</v>
      </c>
      <c r="N1385">
        <f>YEAR(SalesData[[#This Row],[Order_Date]])</f>
        <v>2022</v>
      </c>
    </row>
    <row r="1386" spans="1:14" x14ac:dyDescent="0.3">
      <c r="A1386" t="s">
        <v>2548</v>
      </c>
      <c r="B1386" s="1">
        <v>44705</v>
      </c>
      <c r="C1386" t="s">
        <v>1925</v>
      </c>
      <c r="D1386" t="s">
        <v>40</v>
      </c>
      <c r="E1386" t="s">
        <v>13</v>
      </c>
      <c r="F1386" t="s">
        <v>14</v>
      </c>
      <c r="G1386" t="s">
        <v>1342</v>
      </c>
      <c r="H1386" s="8">
        <v>3182.67</v>
      </c>
      <c r="I1386" s="8">
        <v>-884.39</v>
      </c>
      <c r="J1386" s="8">
        <v>0.2</v>
      </c>
      <c r="K1386" t="str">
        <f>IF(SalesData[[#This Row],[Profit]]&gt;0,"Profit","Loss")</f>
        <v>Loss</v>
      </c>
      <c r="L1386" s="8">
        <f>SalesData[[#This Row],[Profit]]/SalesData[[#This Row],[Sales]]</f>
        <v>-0.27787675128115702</v>
      </c>
      <c r="M1386" t="str">
        <f>TEXT(SalesData[[#This Row],[Order_Date]],"mmm")</f>
        <v>May</v>
      </c>
      <c r="N1386">
        <f>YEAR(SalesData[[#This Row],[Order_Date]])</f>
        <v>2022</v>
      </c>
    </row>
    <row r="1387" spans="1:14" x14ac:dyDescent="0.3">
      <c r="A1387" t="s">
        <v>2549</v>
      </c>
      <c r="B1387" s="1">
        <v>45219</v>
      </c>
      <c r="C1387" t="s">
        <v>555</v>
      </c>
      <c r="D1387" t="s">
        <v>28</v>
      </c>
      <c r="E1387" t="s">
        <v>19</v>
      </c>
      <c r="F1387" t="s">
        <v>141</v>
      </c>
      <c r="G1387" t="s">
        <v>2550</v>
      </c>
      <c r="H1387" s="8">
        <v>2778.25</v>
      </c>
      <c r="I1387" s="8">
        <v>-302.32</v>
      </c>
      <c r="J1387" s="8">
        <v>0.02</v>
      </c>
      <c r="K1387" t="str">
        <f>IF(SalesData[[#This Row],[Profit]]&gt;0,"Profit","Loss")</f>
        <v>Loss</v>
      </c>
      <c r="L1387" s="8">
        <f>SalesData[[#This Row],[Profit]]/SalesData[[#This Row],[Sales]]</f>
        <v>-0.10881670116080266</v>
      </c>
      <c r="M1387" t="str">
        <f>TEXT(SalesData[[#This Row],[Order_Date]],"mmm")</f>
        <v>Oct</v>
      </c>
      <c r="N1387">
        <f>YEAR(SalesData[[#This Row],[Order_Date]])</f>
        <v>2023</v>
      </c>
    </row>
    <row r="1388" spans="1:14" x14ac:dyDescent="0.3">
      <c r="A1388" t="s">
        <v>2551</v>
      </c>
      <c r="B1388" s="1">
        <v>45134</v>
      </c>
      <c r="C1388" t="s">
        <v>2552</v>
      </c>
      <c r="D1388" t="s">
        <v>12</v>
      </c>
      <c r="E1388" t="s">
        <v>56</v>
      </c>
      <c r="F1388" t="s">
        <v>73</v>
      </c>
      <c r="G1388" t="s">
        <v>86</v>
      </c>
      <c r="H1388" s="8">
        <v>4155.12</v>
      </c>
      <c r="I1388" s="8">
        <v>-565.54999999999995</v>
      </c>
      <c r="J1388" s="8">
        <v>0.15</v>
      </c>
      <c r="K1388" t="str">
        <f>IF(SalesData[[#This Row],[Profit]]&gt;0,"Profit","Loss")</f>
        <v>Loss</v>
      </c>
      <c r="L1388" s="8">
        <f>SalesData[[#This Row],[Profit]]/SalesData[[#This Row],[Sales]]</f>
        <v>-0.13610918577562139</v>
      </c>
      <c r="M1388" t="str">
        <f>TEXT(SalesData[[#This Row],[Order_Date]],"mmm")</f>
        <v>Jul</v>
      </c>
      <c r="N1388">
        <f>YEAR(SalesData[[#This Row],[Order_Date]])</f>
        <v>2023</v>
      </c>
    </row>
    <row r="1389" spans="1:14" x14ac:dyDescent="0.3">
      <c r="A1389" t="s">
        <v>2553</v>
      </c>
      <c r="B1389" s="1">
        <v>45091</v>
      </c>
      <c r="C1389" t="s">
        <v>1562</v>
      </c>
      <c r="D1389" t="s">
        <v>12</v>
      </c>
      <c r="E1389" t="s">
        <v>19</v>
      </c>
      <c r="F1389" t="s">
        <v>141</v>
      </c>
      <c r="G1389" t="s">
        <v>747</v>
      </c>
      <c r="H1389" s="8">
        <v>1942.98</v>
      </c>
      <c r="I1389" s="8">
        <v>-336.36</v>
      </c>
      <c r="J1389" s="8">
        <v>0.02</v>
      </c>
      <c r="K1389" t="str">
        <f>IF(SalesData[[#This Row],[Profit]]&gt;0,"Profit","Loss")</f>
        <v>Loss</v>
      </c>
      <c r="L1389" s="8">
        <f>SalesData[[#This Row],[Profit]]/SalesData[[#This Row],[Sales]]</f>
        <v>-0.17311552357718557</v>
      </c>
      <c r="M1389" t="str">
        <f>TEXT(SalesData[[#This Row],[Order_Date]],"mmm")</f>
        <v>Jun</v>
      </c>
      <c r="N1389">
        <f>YEAR(SalesData[[#This Row],[Order_Date]])</f>
        <v>2023</v>
      </c>
    </row>
    <row r="1390" spans="1:14" x14ac:dyDescent="0.3">
      <c r="A1390" t="s">
        <v>2554</v>
      </c>
      <c r="B1390" s="1">
        <v>44858</v>
      </c>
      <c r="C1390" t="s">
        <v>845</v>
      </c>
      <c r="D1390" t="s">
        <v>28</v>
      </c>
      <c r="E1390" t="s">
        <v>19</v>
      </c>
      <c r="F1390" t="s">
        <v>20</v>
      </c>
      <c r="G1390" t="s">
        <v>682</v>
      </c>
      <c r="H1390" s="8">
        <v>352.25</v>
      </c>
      <c r="I1390" s="8">
        <v>-122.05</v>
      </c>
      <c r="J1390" s="8">
        <v>0.16</v>
      </c>
      <c r="K1390" t="str">
        <f>IF(SalesData[[#This Row],[Profit]]&gt;0,"Profit","Loss")</f>
        <v>Loss</v>
      </c>
      <c r="L1390" s="8">
        <f>SalesData[[#This Row],[Profit]]/SalesData[[#This Row],[Sales]]</f>
        <v>-0.34648687012065293</v>
      </c>
      <c r="M1390" t="str">
        <f>TEXT(SalesData[[#This Row],[Order_Date]],"mmm")</f>
        <v>Oct</v>
      </c>
      <c r="N1390">
        <f>YEAR(SalesData[[#This Row],[Order_Date]])</f>
        <v>2022</v>
      </c>
    </row>
    <row r="1391" spans="1:14" x14ac:dyDescent="0.3">
      <c r="A1391" t="s">
        <v>2555</v>
      </c>
      <c r="B1391" s="1">
        <v>45109</v>
      </c>
      <c r="C1391" t="s">
        <v>1334</v>
      </c>
      <c r="D1391" t="s">
        <v>18</v>
      </c>
      <c r="E1391" t="s">
        <v>19</v>
      </c>
      <c r="F1391" t="s">
        <v>20</v>
      </c>
      <c r="G1391" t="s">
        <v>2339</v>
      </c>
      <c r="H1391" s="8">
        <v>4374.97</v>
      </c>
      <c r="I1391" s="8">
        <v>-337.57</v>
      </c>
      <c r="J1391" s="8">
        <v>0.05</v>
      </c>
      <c r="K1391" t="str">
        <f>IF(SalesData[[#This Row],[Profit]]&gt;0,"Profit","Loss")</f>
        <v>Loss</v>
      </c>
      <c r="L1391" s="8">
        <f>SalesData[[#This Row],[Profit]]/SalesData[[#This Row],[Sales]]</f>
        <v>-7.7159386235791327E-2</v>
      </c>
      <c r="M1391" t="str">
        <f>TEXT(SalesData[[#This Row],[Order_Date]],"mmm")</f>
        <v>Jul</v>
      </c>
      <c r="N1391">
        <f>YEAR(SalesData[[#This Row],[Order_Date]])</f>
        <v>2023</v>
      </c>
    </row>
    <row r="1392" spans="1:14" x14ac:dyDescent="0.3">
      <c r="A1392" t="s">
        <v>2556</v>
      </c>
      <c r="B1392" s="1">
        <v>45276</v>
      </c>
      <c r="C1392" t="s">
        <v>2468</v>
      </c>
      <c r="D1392" t="s">
        <v>28</v>
      </c>
      <c r="E1392" t="s">
        <v>13</v>
      </c>
      <c r="F1392" t="s">
        <v>24</v>
      </c>
      <c r="G1392" t="s">
        <v>1886</v>
      </c>
      <c r="H1392" s="8">
        <v>2550.23</v>
      </c>
      <c r="I1392" s="8">
        <v>-729.39</v>
      </c>
      <c r="J1392" s="8">
        <v>0.12</v>
      </c>
      <c r="K1392" t="str">
        <f>IF(SalesData[[#This Row],[Profit]]&gt;0,"Profit","Loss")</f>
        <v>Loss</v>
      </c>
      <c r="L1392" s="8">
        <f>SalesData[[#This Row],[Profit]]/SalesData[[#This Row],[Sales]]</f>
        <v>-0.28600949718260704</v>
      </c>
      <c r="M1392" t="str">
        <f>TEXT(SalesData[[#This Row],[Order_Date]],"mmm")</f>
        <v>Dec</v>
      </c>
      <c r="N1392">
        <f>YEAR(SalesData[[#This Row],[Order_Date]])</f>
        <v>2023</v>
      </c>
    </row>
    <row r="1393" spans="1:14" x14ac:dyDescent="0.3">
      <c r="A1393" t="s">
        <v>2557</v>
      </c>
      <c r="B1393" s="1">
        <v>44904</v>
      </c>
      <c r="C1393" t="s">
        <v>1266</v>
      </c>
      <c r="D1393" t="s">
        <v>12</v>
      </c>
      <c r="E1393" t="s">
        <v>19</v>
      </c>
      <c r="F1393" t="s">
        <v>141</v>
      </c>
      <c r="G1393" t="s">
        <v>860</v>
      </c>
      <c r="H1393" s="8">
        <v>246.89</v>
      </c>
      <c r="I1393" s="8">
        <v>-35.42</v>
      </c>
      <c r="J1393" s="8">
        <v>0.1</v>
      </c>
      <c r="K1393" t="str">
        <f>IF(SalesData[[#This Row],[Profit]]&gt;0,"Profit","Loss")</f>
        <v>Loss</v>
      </c>
      <c r="L1393" s="8">
        <f>SalesData[[#This Row],[Profit]]/SalesData[[#This Row],[Sales]]</f>
        <v>-0.14346470087893395</v>
      </c>
      <c r="M1393" t="str">
        <f>TEXT(SalesData[[#This Row],[Order_Date]],"mmm")</f>
        <v>Dec</v>
      </c>
      <c r="N1393">
        <f>YEAR(SalesData[[#This Row],[Order_Date]])</f>
        <v>2022</v>
      </c>
    </row>
    <row r="1394" spans="1:14" x14ac:dyDescent="0.3">
      <c r="A1394" t="s">
        <v>2558</v>
      </c>
      <c r="B1394" s="1">
        <v>44625</v>
      </c>
      <c r="C1394" t="s">
        <v>1867</v>
      </c>
      <c r="D1394" t="s">
        <v>28</v>
      </c>
      <c r="E1394" t="s">
        <v>56</v>
      </c>
      <c r="F1394" t="s">
        <v>73</v>
      </c>
      <c r="G1394" t="s">
        <v>2559</v>
      </c>
      <c r="H1394" s="8">
        <v>4102.1400000000003</v>
      </c>
      <c r="I1394" s="8">
        <v>633.4</v>
      </c>
      <c r="J1394" s="8">
        <v>0.1</v>
      </c>
      <c r="K1394" t="str">
        <f>IF(SalesData[[#This Row],[Profit]]&gt;0,"Profit","Loss")</f>
        <v>Profit</v>
      </c>
      <c r="L1394" s="8">
        <f>SalesData[[#This Row],[Profit]]/SalesData[[#This Row],[Sales]]</f>
        <v>0.1544072118455245</v>
      </c>
      <c r="M1394" t="str">
        <f>TEXT(SalesData[[#This Row],[Order_Date]],"mmm")</f>
        <v>Mar</v>
      </c>
      <c r="N1394">
        <f>YEAR(SalesData[[#This Row],[Order_Date]])</f>
        <v>2022</v>
      </c>
    </row>
    <row r="1395" spans="1:14" x14ac:dyDescent="0.3">
      <c r="A1395" t="s">
        <v>2560</v>
      </c>
      <c r="B1395" s="1">
        <v>44634</v>
      </c>
      <c r="C1395" t="s">
        <v>1167</v>
      </c>
      <c r="D1395" t="s">
        <v>12</v>
      </c>
      <c r="E1395" t="s">
        <v>13</v>
      </c>
      <c r="F1395" t="s">
        <v>24</v>
      </c>
      <c r="G1395" t="s">
        <v>1067</v>
      </c>
      <c r="H1395" s="8">
        <v>3545.15</v>
      </c>
      <c r="I1395" s="8">
        <v>-1449.2</v>
      </c>
      <c r="J1395" s="8">
        <v>0.23</v>
      </c>
      <c r="K1395" t="str">
        <f>IF(SalesData[[#This Row],[Profit]]&gt;0,"Profit","Loss")</f>
        <v>Loss</v>
      </c>
      <c r="L1395" s="8">
        <f>SalesData[[#This Row],[Profit]]/SalesData[[#This Row],[Sales]]</f>
        <v>-0.40878383143167424</v>
      </c>
      <c r="M1395" t="str">
        <f>TEXT(SalesData[[#This Row],[Order_Date]],"mmm")</f>
        <v>Mar</v>
      </c>
      <c r="N1395">
        <f>YEAR(SalesData[[#This Row],[Order_Date]])</f>
        <v>2022</v>
      </c>
    </row>
    <row r="1396" spans="1:14" x14ac:dyDescent="0.3">
      <c r="A1396" t="s">
        <v>2561</v>
      </c>
      <c r="B1396" s="1">
        <v>44598</v>
      </c>
      <c r="C1396" t="s">
        <v>1023</v>
      </c>
      <c r="D1396" t="s">
        <v>18</v>
      </c>
      <c r="E1396" t="s">
        <v>13</v>
      </c>
      <c r="F1396" t="s">
        <v>36</v>
      </c>
      <c r="G1396" t="s">
        <v>1303</v>
      </c>
      <c r="H1396" s="8">
        <v>4738.34</v>
      </c>
      <c r="I1396" s="8">
        <v>-1208.07</v>
      </c>
      <c r="J1396" s="8">
        <v>0.08</v>
      </c>
      <c r="K1396" t="str">
        <f>IF(SalesData[[#This Row],[Profit]]&gt;0,"Profit","Loss")</f>
        <v>Loss</v>
      </c>
      <c r="L1396" s="8">
        <f>SalesData[[#This Row],[Profit]]/SalesData[[#This Row],[Sales]]</f>
        <v>-0.25495637712785491</v>
      </c>
      <c r="M1396" t="str">
        <f>TEXT(SalesData[[#This Row],[Order_Date]],"mmm")</f>
        <v>Feb</v>
      </c>
      <c r="N1396">
        <f>YEAR(SalesData[[#This Row],[Order_Date]])</f>
        <v>2022</v>
      </c>
    </row>
    <row r="1397" spans="1:14" x14ac:dyDescent="0.3">
      <c r="A1397" t="s">
        <v>2562</v>
      </c>
      <c r="B1397" s="1">
        <v>44795</v>
      </c>
      <c r="C1397" t="s">
        <v>1750</v>
      </c>
      <c r="D1397" t="s">
        <v>12</v>
      </c>
      <c r="E1397" t="s">
        <v>19</v>
      </c>
      <c r="F1397" t="s">
        <v>29</v>
      </c>
      <c r="G1397" t="s">
        <v>1529</v>
      </c>
      <c r="H1397" s="8">
        <v>2440.1999999999998</v>
      </c>
      <c r="I1397" s="8">
        <v>233.94</v>
      </c>
      <c r="J1397" s="8">
        <v>0.23</v>
      </c>
      <c r="K1397" t="str">
        <f>IF(SalesData[[#This Row],[Profit]]&gt;0,"Profit","Loss")</f>
        <v>Profit</v>
      </c>
      <c r="L1397" s="8">
        <f>SalesData[[#This Row],[Profit]]/SalesData[[#This Row],[Sales]]</f>
        <v>9.5869191049913954E-2</v>
      </c>
      <c r="M1397" t="str">
        <f>TEXT(SalesData[[#This Row],[Order_Date]],"mmm")</f>
        <v>Aug</v>
      </c>
      <c r="N1397">
        <f>YEAR(SalesData[[#This Row],[Order_Date]])</f>
        <v>2022</v>
      </c>
    </row>
    <row r="1398" spans="1:14" x14ac:dyDescent="0.3">
      <c r="A1398" t="s">
        <v>2563</v>
      </c>
      <c r="B1398" s="1">
        <v>44580</v>
      </c>
      <c r="C1398" t="s">
        <v>293</v>
      </c>
      <c r="D1398" t="s">
        <v>28</v>
      </c>
      <c r="E1398" t="s">
        <v>56</v>
      </c>
      <c r="F1398" t="s">
        <v>73</v>
      </c>
      <c r="G1398" t="s">
        <v>1956</v>
      </c>
      <c r="H1398" s="8">
        <v>3079.88</v>
      </c>
      <c r="I1398" s="8">
        <v>308.47000000000003</v>
      </c>
      <c r="J1398" s="8">
        <v>0.11</v>
      </c>
      <c r="K1398" t="str">
        <f>IF(SalesData[[#This Row],[Profit]]&gt;0,"Profit","Loss")</f>
        <v>Profit</v>
      </c>
      <c r="L1398" s="8">
        <f>SalesData[[#This Row],[Profit]]/SalesData[[#This Row],[Sales]]</f>
        <v>0.10015649960388068</v>
      </c>
      <c r="M1398" t="str">
        <f>TEXT(SalesData[[#This Row],[Order_Date]],"mmm")</f>
        <v>Jan</v>
      </c>
      <c r="N1398">
        <f>YEAR(SalesData[[#This Row],[Order_Date]])</f>
        <v>2022</v>
      </c>
    </row>
    <row r="1399" spans="1:14" x14ac:dyDescent="0.3">
      <c r="A1399" t="s">
        <v>2564</v>
      </c>
      <c r="B1399" s="1">
        <v>44703</v>
      </c>
      <c r="C1399" t="s">
        <v>2565</v>
      </c>
      <c r="D1399" t="s">
        <v>28</v>
      </c>
      <c r="E1399" t="s">
        <v>19</v>
      </c>
      <c r="F1399" t="s">
        <v>29</v>
      </c>
      <c r="G1399" t="s">
        <v>747</v>
      </c>
      <c r="H1399" s="8">
        <v>3507.66</v>
      </c>
      <c r="I1399" s="8">
        <v>-259.22000000000003</v>
      </c>
      <c r="J1399" s="8">
        <v>0.13</v>
      </c>
      <c r="K1399" t="str">
        <f>IF(SalesData[[#This Row],[Profit]]&gt;0,"Profit","Loss")</f>
        <v>Loss</v>
      </c>
      <c r="L1399" s="8">
        <f>SalesData[[#This Row],[Profit]]/SalesData[[#This Row],[Sales]]</f>
        <v>-7.3901119264694989E-2</v>
      </c>
      <c r="M1399" t="str">
        <f>TEXT(SalesData[[#This Row],[Order_Date]],"mmm")</f>
        <v>May</v>
      </c>
      <c r="N1399">
        <f>YEAR(SalesData[[#This Row],[Order_Date]])</f>
        <v>2022</v>
      </c>
    </row>
    <row r="1400" spans="1:14" x14ac:dyDescent="0.3">
      <c r="A1400" t="s">
        <v>2566</v>
      </c>
      <c r="B1400" s="1">
        <v>44805</v>
      </c>
      <c r="C1400" t="s">
        <v>2331</v>
      </c>
      <c r="D1400" t="s">
        <v>12</v>
      </c>
      <c r="E1400" t="s">
        <v>13</v>
      </c>
      <c r="F1400" t="s">
        <v>36</v>
      </c>
      <c r="G1400" t="s">
        <v>89</v>
      </c>
      <c r="H1400" s="8">
        <v>1823.77</v>
      </c>
      <c r="I1400" s="8">
        <v>457.48</v>
      </c>
      <c r="J1400" s="8">
        <v>0.1</v>
      </c>
      <c r="K1400" t="str">
        <f>IF(SalesData[[#This Row],[Profit]]&gt;0,"Profit","Loss")</f>
        <v>Profit</v>
      </c>
      <c r="L1400" s="8">
        <f>SalesData[[#This Row],[Profit]]/SalesData[[#This Row],[Sales]]</f>
        <v>0.25084303393520019</v>
      </c>
      <c r="M1400" t="str">
        <f>TEXT(SalesData[[#This Row],[Order_Date]],"mmm")</f>
        <v>Sep</v>
      </c>
      <c r="N1400">
        <f>YEAR(SalesData[[#This Row],[Order_Date]])</f>
        <v>2022</v>
      </c>
    </row>
    <row r="1401" spans="1:14" x14ac:dyDescent="0.3">
      <c r="A1401" t="s">
        <v>2567</v>
      </c>
      <c r="B1401" s="1">
        <v>45111</v>
      </c>
      <c r="C1401" t="s">
        <v>1848</v>
      </c>
      <c r="D1401" t="s">
        <v>12</v>
      </c>
      <c r="E1401" t="s">
        <v>56</v>
      </c>
      <c r="F1401" t="s">
        <v>57</v>
      </c>
      <c r="G1401" t="s">
        <v>1191</v>
      </c>
      <c r="H1401" s="8">
        <v>2124.02</v>
      </c>
      <c r="I1401" s="8">
        <v>116.06</v>
      </c>
      <c r="J1401" s="8">
        <v>0.23</v>
      </c>
      <c r="K1401" t="str">
        <f>IF(SalesData[[#This Row],[Profit]]&gt;0,"Profit","Loss")</f>
        <v>Profit</v>
      </c>
      <c r="L1401" s="8">
        <f>SalesData[[#This Row],[Profit]]/SalesData[[#This Row],[Sales]]</f>
        <v>5.4641670040771743E-2</v>
      </c>
      <c r="M1401" t="str">
        <f>TEXT(SalesData[[#This Row],[Order_Date]],"mmm")</f>
        <v>Jul</v>
      </c>
      <c r="N1401">
        <f>YEAR(SalesData[[#This Row],[Order_Date]])</f>
        <v>2023</v>
      </c>
    </row>
    <row r="1402" spans="1:14" x14ac:dyDescent="0.3">
      <c r="A1402" t="s">
        <v>2568</v>
      </c>
      <c r="B1402" s="1">
        <v>45011</v>
      </c>
      <c r="C1402" t="s">
        <v>1860</v>
      </c>
      <c r="D1402" t="s">
        <v>40</v>
      </c>
      <c r="E1402" t="s">
        <v>56</v>
      </c>
      <c r="F1402" t="s">
        <v>73</v>
      </c>
      <c r="G1402" t="s">
        <v>981</v>
      </c>
      <c r="H1402" s="8">
        <v>1324.62</v>
      </c>
      <c r="I1402" s="8">
        <v>-246.39</v>
      </c>
      <c r="J1402" s="8">
        <v>0.02</v>
      </c>
      <c r="K1402" t="str">
        <f>IF(SalesData[[#This Row],[Profit]]&gt;0,"Profit","Loss")</f>
        <v>Loss</v>
      </c>
      <c r="L1402" s="8">
        <f>SalesData[[#This Row],[Profit]]/SalesData[[#This Row],[Sales]]</f>
        <v>-0.18600806268967704</v>
      </c>
      <c r="M1402" t="str">
        <f>TEXT(SalesData[[#This Row],[Order_Date]],"mmm")</f>
        <v>Mar</v>
      </c>
      <c r="N1402">
        <f>YEAR(SalesData[[#This Row],[Order_Date]])</f>
        <v>2023</v>
      </c>
    </row>
    <row r="1403" spans="1:14" x14ac:dyDescent="0.3">
      <c r="A1403" t="s">
        <v>2569</v>
      </c>
      <c r="B1403" s="1">
        <v>44694</v>
      </c>
      <c r="C1403" t="s">
        <v>385</v>
      </c>
      <c r="D1403" t="s">
        <v>28</v>
      </c>
      <c r="E1403" t="s">
        <v>19</v>
      </c>
      <c r="F1403" t="s">
        <v>29</v>
      </c>
      <c r="G1403" t="s">
        <v>2570</v>
      </c>
      <c r="H1403" s="8">
        <v>3051.84</v>
      </c>
      <c r="I1403" s="8">
        <v>393.24</v>
      </c>
      <c r="J1403" s="8">
        <v>0.27</v>
      </c>
      <c r="K1403" t="str">
        <f>IF(SalesData[[#This Row],[Profit]]&gt;0,"Profit","Loss")</f>
        <v>Profit</v>
      </c>
      <c r="L1403" s="8">
        <f>SalesData[[#This Row],[Profit]]/SalesData[[#This Row],[Sales]]</f>
        <v>0.12885341302296319</v>
      </c>
      <c r="M1403" t="str">
        <f>TEXT(SalesData[[#This Row],[Order_Date]],"mmm")</f>
        <v>May</v>
      </c>
      <c r="N1403">
        <f>YEAR(SalesData[[#This Row],[Order_Date]])</f>
        <v>2022</v>
      </c>
    </row>
    <row r="1404" spans="1:14" x14ac:dyDescent="0.3">
      <c r="A1404" t="s">
        <v>2571</v>
      </c>
      <c r="B1404" s="1">
        <v>44772</v>
      </c>
      <c r="C1404" t="s">
        <v>1627</v>
      </c>
      <c r="D1404" t="s">
        <v>40</v>
      </c>
      <c r="E1404" t="s">
        <v>13</v>
      </c>
      <c r="F1404" t="s">
        <v>14</v>
      </c>
      <c r="G1404" t="s">
        <v>951</v>
      </c>
      <c r="H1404" s="8">
        <v>3317.29</v>
      </c>
      <c r="I1404" s="8">
        <v>1137.9000000000001</v>
      </c>
      <c r="J1404" s="8">
        <v>0.02</v>
      </c>
      <c r="K1404" t="str">
        <f>IF(SalesData[[#This Row],[Profit]]&gt;0,"Profit","Loss")</f>
        <v>Profit</v>
      </c>
      <c r="L1404" s="8">
        <f>SalesData[[#This Row],[Profit]]/SalesData[[#This Row],[Sales]]</f>
        <v>0.343020959879902</v>
      </c>
      <c r="M1404" t="str">
        <f>TEXT(SalesData[[#This Row],[Order_Date]],"mmm")</f>
        <v>Jul</v>
      </c>
      <c r="N1404">
        <f>YEAR(SalesData[[#This Row],[Order_Date]])</f>
        <v>2022</v>
      </c>
    </row>
    <row r="1405" spans="1:14" x14ac:dyDescent="0.3">
      <c r="A1405" t="s">
        <v>2572</v>
      </c>
      <c r="B1405" s="1">
        <v>44861</v>
      </c>
      <c r="C1405" t="s">
        <v>746</v>
      </c>
      <c r="D1405" t="s">
        <v>18</v>
      </c>
      <c r="E1405" t="s">
        <v>56</v>
      </c>
      <c r="F1405" t="s">
        <v>95</v>
      </c>
      <c r="G1405" t="s">
        <v>2573</v>
      </c>
      <c r="H1405" s="8">
        <v>3594.36</v>
      </c>
      <c r="I1405" s="8">
        <v>-42.68</v>
      </c>
      <c r="J1405" s="8">
        <v>0.28000000000000003</v>
      </c>
      <c r="K1405" t="str">
        <f>IF(SalesData[[#This Row],[Profit]]&gt;0,"Profit","Loss")</f>
        <v>Loss</v>
      </c>
      <c r="L1405" s="8">
        <f>SalesData[[#This Row],[Profit]]/SalesData[[#This Row],[Sales]]</f>
        <v>-1.1874158403721385E-2</v>
      </c>
      <c r="M1405" t="str">
        <f>TEXT(SalesData[[#This Row],[Order_Date]],"mmm")</f>
        <v>Oct</v>
      </c>
      <c r="N1405">
        <f>YEAR(SalesData[[#This Row],[Order_Date]])</f>
        <v>2022</v>
      </c>
    </row>
    <row r="1406" spans="1:14" x14ac:dyDescent="0.3">
      <c r="A1406" t="s">
        <v>2574</v>
      </c>
      <c r="B1406" s="1">
        <v>44982</v>
      </c>
      <c r="C1406" t="s">
        <v>676</v>
      </c>
      <c r="D1406" t="s">
        <v>28</v>
      </c>
      <c r="E1406" t="s">
        <v>19</v>
      </c>
      <c r="F1406" t="s">
        <v>29</v>
      </c>
      <c r="G1406" t="s">
        <v>2575</v>
      </c>
      <c r="H1406" s="8">
        <v>3519.08</v>
      </c>
      <c r="I1406" s="8">
        <v>-1117.67</v>
      </c>
      <c r="J1406" s="8">
        <v>0.15</v>
      </c>
      <c r="K1406" t="str">
        <f>IF(SalesData[[#This Row],[Profit]]&gt;0,"Profit","Loss")</f>
        <v>Loss</v>
      </c>
      <c r="L1406" s="8">
        <f>SalesData[[#This Row],[Profit]]/SalesData[[#This Row],[Sales]]</f>
        <v>-0.31760289621150983</v>
      </c>
      <c r="M1406" t="str">
        <f>TEXT(SalesData[[#This Row],[Order_Date]],"mmm")</f>
        <v>Feb</v>
      </c>
      <c r="N1406">
        <f>YEAR(SalesData[[#This Row],[Order_Date]])</f>
        <v>2023</v>
      </c>
    </row>
    <row r="1407" spans="1:14" x14ac:dyDescent="0.3">
      <c r="A1407" t="s">
        <v>2576</v>
      </c>
      <c r="B1407" s="1">
        <v>44874</v>
      </c>
      <c r="C1407" t="s">
        <v>2159</v>
      </c>
      <c r="D1407" t="s">
        <v>18</v>
      </c>
      <c r="E1407" t="s">
        <v>56</v>
      </c>
      <c r="F1407" t="s">
        <v>57</v>
      </c>
      <c r="G1407" t="s">
        <v>640</v>
      </c>
      <c r="H1407" s="8">
        <v>4569.04</v>
      </c>
      <c r="I1407" s="8">
        <v>-627.79999999999995</v>
      </c>
      <c r="J1407" s="8">
        <v>0.25</v>
      </c>
      <c r="K1407" t="str">
        <f>IF(SalesData[[#This Row],[Profit]]&gt;0,"Profit","Loss")</f>
        <v>Loss</v>
      </c>
      <c r="L1407" s="8">
        <f>SalesData[[#This Row],[Profit]]/SalesData[[#This Row],[Sales]]</f>
        <v>-0.13740304309001453</v>
      </c>
      <c r="M1407" t="str">
        <f>TEXT(SalesData[[#This Row],[Order_Date]],"mmm")</f>
        <v>Nov</v>
      </c>
      <c r="N1407">
        <f>YEAR(SalesData[[#This Row],[Order_Date]])</f>
        <v>2022</v>
      </c>
    </row>
    <row r="1408" spans="1:14" x14ac:dyDescent="0.3">
      <c r="A1408" t="s">
        <v>2577</v>
      </c>
      <c r="B1408" s="1">
        <v>45277</v>
      </c>
      <c r="C1408" t="s">
        <v>948</v>
      </c>
      <c r="D1408" t="s">
        <v>28</v>
      </c>
      <c r="E1408" t="s">
        <v>19</v>
      </c>
      <c r="F1408" t="s">
        <v>141</v>
      </c>
      <c r="G1408" t="s">
        <v>2027</v>
      </c>
      <c r="H1408" s="8">
        <v>4100.26</v>
      </c>
      <c r="I1408" s="8">
        <v>1421.75</v>
      </c>
      <c r="J1408" s="8">
        <v>0.04</v>
      </c>
      <c r="K1408" t="str">
        <f>IF(SalesData[[#This Row],[Profit]]&gt;0,"Profit","Loss")</f>
        <v>Profit</v>
      </c>
      <c r="L1408" s="8">
        <f>SalesData[[#This Row],[Profit]]/SalesData[[#This Row],[Sales]]</f>
        <v>0.34674630389292382</v>
      </c>
      <c r="M1408" t="str">
        <f>TEXT(SalesData[[#This Row],[Order_Date]],"mmm")</f>
        <v>Dec</v>
      </c>
      <c r="N1408">
        <f>YEAR(SalesData[[#This Row],[Order_Date]])</f>
        <v>2023</v>
      </c>
    </row>
    <row r="1409" spans="1:14" x14ac:dyDescent="0.3">
      <c r="A1409" t="s">
        <v>2578</v>
      </c>
      <c r="B1409" s="1">
        <v>44955</v>
      </c>
      <c r="C1409" t="s">
        <v>127</v>
      </c>
      <c r="D1409" t="s">
        <v>12</v>
      </c>
      <c r="E1409" t="s">
        <v>56</v>
      </c>
      <c r="F1409" t="s">
        <v>57</v>
      </c>
      <c r="G1409" t="s">
        <v>1386</v>
      </c>
      <c r="H1409" s="8">
        <v>2544.65</v>
      </c>
      <c r="I1409" s="8">
        <v>-109.98</v>
      </c>
      <c r="J1409" s="8">
        <v>0.01</v>
      </c>
      <c r="K1409" t="str">
        <f>IF(SalesData[[#This Row],[Profit]]&gt;0,"Profit","Loss")</f>
        <v>Loss</v>
      </c>
      <c r="L1409" s="8">
        <f>SalesData[[#This Row],[Profit]]/SalesData[[#This Row],[Sales]]</f>
        <v>-4.3220089206767141E-2</v>
      </c>
      <c r="M1409" t="str">
        <f>TEXT(SalesData[[#This Row],[Order_Date]],"mmm")</f>
        <v>Jan</v>
      </c>
      <c r="N1409">
        <f>YEAR(SalesData[[#This Row],[Order_Date]])</f>
        <v>2023</v>
      </c>
    </row>
    <row r="1410" spans="1:14" x14ac:dyDescent="0.3">
      <c r="A1410" t="s">
        <v>2579</v>
      </c>
      <c r="B1410" s="1">
        <v>45016</v>
      </c>
      <c r="C1410" t="s">
        <v>1728</v>
      </c>
      <c r="D1410" t="s">
        <v>18</v>
      </c>
      <c r="E1410" t="s">
        <v>19</v>
      </c>
      <c r="F1410" t="s">
        <v>141</v>
      </c>
      <c r="G1410" t="s">
        <v>1076</v>
      </c>
      <c r="H1410" s="8">
        <v>1981.29</v>
      </c>
      <c r="I1410" s="8">
        <v>38.74</v>
      </c>
      <c r="J1410" s="8">
        <v>0.01</v>
      </c>
      <c r="K1410" t="str">
        <f>IF(SalesData[[#This Row],[Profit]]&gt;0,"Profit","Loss")</f>
        <v>Profit</v>
      </c>
      <c r="L1410" s="8">
        <f>SalesData[[#This Row],[Profit]]/SalesData[[#This Row],[Sales]]</f>
        <v>1.9552917543620572E-2</v>
      </c>
      <c r="M1410" t="str">
        <f>TEXT(SalesData[[#This Row],[Order_Date]],"mmm")</f>
        <v>Mar</v>
      </c>
      <c r="N1410">
        <f>YEAR(SalesData[[#This Row],[Order_Date]])</f>
        <v>2023</v>
      </c>
    </row>
    <row r="1411" spans="1:14" x14ac:dyDescent="0.3">
      <c r="A1411" t="s">
        <v>2580</v>
      </c>
      <c r="B1411" s="1">
        <v>44594</v>
      </c>
      <c r="C1411" t="s">
        <v>1455</v>
      </c>
      <c r="D1411" t="s">
        <v>40</v>
      </c>
      <c r="E1411" t="s">
        <v>19</v>
      </c>
      <c r="F1411" t="s">
        <v>20</v>
      </c>
      <c r="G1411" t="s">
        <v>1886</v>
      </c>
      <c r="H1411" s="8">
        <v>3333.64</v>
      </c>
      <c r="I1411" s="8">
        <v>120.82</v>
      </c>
      <c r="J1411" s="8">
        <v>0.16</v>
      </c>
      <c r="K1411" t="str">
        <f>IF(SalesData[[#This Row],[Profit]]&gt;0,"Profit","Loss")</f>
        <v>Profit</v>
      </c>
      <c r="L1411" s="8">
        <f>SalesData[[#This Row],[Profit]]/SalesData[[#This Row],[Sales]]</f>
        <v>3.6242665674757923E-2</v>
      </c>
      <c r="M1411" t="str">
        <f>TEXT(SalesData[[#This Row],[Order_Date]],"mmm")</f>
        <v>Feb</v>
      </c>
      <c r="N1411">
        <f>YEAR(SalesData[[#This Row],[Order_Date]])</f>
        <v>2022</v>
      </c>
    </row>
    <row r="1412" spans="1:14" x14ac:dyDescent="0.3">
      <c r="A1412" t="s">
        <v>2581</v>
      </c>
      <c r="B1412" s="1">
        <v>44830</v>
      </c>
      <c r="C1412" t="s">
        <v>2462</v>
      </c>
      <c r="D1412" t="s">
        <v>18</v>
      </c>
      <c r="E1412" t="s">
        <v>56</v>
      </c>
      <c r="F1412" t="s">
        <v>73</v>
      </c>
      <c r="G1412" t="s">
        <v>1295</v>
      </c>
      <c r="H1412" s="8">
        <v>3796.94</v>
      </c>
      <c r="I1412" s="8">
        <v>747.6</v>
      </c>
      <c r="J1412" s="8">
        <v>0.1</v>
      </c>
      <c r="K1412" t="str">
        <f>IF(SalesData[[#This Row],[Profit]]&gt;0,"Profit","Loss")</f>
        <v>Profit</v>
      </c>
      <c r="L1412" s="8">
        <f>SalesData[[#This Row],[Profit]]/SalesData[[#This Row],[Sales]]</f>
        <v>0.19689539471258435</v>
      </c>
      <c r="M1412" t="str">
        <f>TEXT(SalesData[[#This Row],[Order_Date]],"mmm")</f>
        <v>Sep</v>
      </c>
      <c r="N1412">
        <f>YEAR(SalesData[[#This Row],[Order_Date]])</f>
        <v>2022</v>
      </c>
    </row>
    <row r="1413" spans="1:14" x14ac:dyDescent="0.3">
      <c r="A1413" t="s">
        <v>2582</v>
      </c>
      <c r="B1413" s="1">
        <v>44620</v>
      </c>
      <c r="C1413" t="s">
        <v>866</v>
      </c>
      <c r="D1413" t="s">
        <v>28</v>
      </c>
      <c r="E1413" t="s">
        <v>56</v>
      </c>
      <c r="F1413" t="s">
        <v>95</v>
      </c>
      <c r="G1413" t="s">
        <v>2027</v>
      </c>
      <c r="H1413" s="8">
        <v>3656.35</v>
      </c>
      <c r="I1413" s="8">
        <v>473.3</v>
      </c>
      <c r="J1413" s="8">
        <v>0.19</v>
      </c>
      <c r="K1413" t="str">
        <f>IF(SalesData[[#This Row],[Profit]]&gt;0,"Profit","Loss")</f>
        <v>Profit</v>
      </c>
      <c r="L1413" s="8">
        <f>SalesData[[#This Row],[Profit]]/SalesData[[#This Row],[Sales]]</f>
        <v>0.12944603224527193</v>
      </c>
      <c r="M1413" t="str">
        <f>TEXT(SalesData[[#This Row],[Order_Date]],"mmm")</f>
        <v>Feb</v>
      </c>
      <c r="N1413">
        <f>YEAR(SalesData[[#This Row],[Order_Date]])</f>
        <v>2022</v>
      </c>
    </row>
    <row r="1414" spans="1:14" x14ac:dyDescent="0.3">
      <c r="A1414" t="s">
        <v>2583</v>
      </c>
      <c r="B1414" s="1">
        <v>44996</v>
      </c>
      <c r="C1414" t="s">
        <v>1086</v>
      </c>
      <c r="D1414" t="s">
        <v>40</v>
      </c>
      <c r="E1414" t="s">
        <v>13</v>
      </c>
      <c r="F1414" t="s">
        <v>24</v>
      </c>
      <c r="G1414" t="s">
        <v>971</v>
      </c>
      <c r="H1414" s="8">
        <v>1508.35</v>
      </c>
      <c r="I1414" s="8">
        <v>-270.20999999999998</v>
      </c>
      <c r="J1414" s="8">
        <v>0.3</v>
      </c>
      <c r="K1414" t="str">
        <f>IF(SalesData[[#This Row],[Profit]]&gt;0,"Profit","Loss")</f>
        <v>Loss</v>
      </c>
      <c r="L1414" s="8">
        <f>SalesData[[#This Row],[Profit]]/SalesData[[#This Row],[Sales]]</f>
        <v>-0.1791427719030729</v>
      </c>
      <c r="M1414" t="str">
        <f>TEXT(SalesData[[#This Row],[Order_Date]],"mmm")</f>
        <v>Mar</v>
      </c>
      <c r="N1414">
        <f>YEAR(SalesData[[#This Row],[Order_Date]])</f>
        <v>2023</v>
      </c>
    </row>
    <row r="1415" spans="1:14" x14ac:dyDescent="0.3">
      <c r="A1415" t="s">
        <v>2584</v>
      </c>
      <c r="B1415" s="1">
        <v>44577</v>
      </c>
      <c r="C1415" t="s">
        <v>855</v>
      </c>
      <c r="D1415" t="s">
        <v>40</v>
      </c>
      <c r="E1415" t="s">
        <v>19</v>
      </c>
      <c r="F1415" t="s">
        <v>29</v>
      </c>
      <c r="G1415" t="s">
        <v>285</v>
      </c>
      <c r="H1415" s="8">
        <v>3753.61</v>
      </c>
      <c r="I1415" s="8">
        <v>-1504.73</v>
      </c>
      <c r="J1415" s="8">
        <v>0.28000000000000003</v>
      </c>
      <c r="K1415" t="str">
        <f>IF(SalesData[[#This Row],[Profit]]&gt;0,"Profit","Loss")</f>
        <v>Loss</v>
      </c>
      <c r="L1415" s="8">
        <f>SalesData[[#This Row],[Profit]]/SalesData[[#This Row],[Sales]]</f>
        <v>-0.40087542392523462</v>
      </c>
      <c r="M1415" t="str">
        <f>TEXT(SalesData[[#This Row],[Order_Date]],"mmm")</f>
        <v>Jan</v>
      </c>
      <c r="N1415">
        <f>YEAR(SalesData[[#This Row],[Order_Date]])</f>
        <v>2022</v>
      </c>
    </row>
    <row r="1416" spans="1:14" x14ac:dyDescent="0.3">
      <c r="A1416" t="s">
        <v>2585</v>
      </c>
      <c r="B1416" s="1">
        <v>44842</v>
      </c>
      <c r="C1416" t="s">
        <v>490</v>
      </c>
      <c r="D1416" t="s">
        <v>40</v>
      </c>
      <c r="E1416" t="s">
        <v>56</v>
      </c>
      <c r="F1416" t="s">
        <v>73</v>
      </c>
      <c r="G1416" t="s">
        <v>803</v>
      </c>
      <c r="H1416" s="8">
        <v>1549.54</v>
      </c>
      <c r="I1416" s="8">
        <v>-537.44000000000005</v>
      </c>
      <c r="J1416" s="8">
        <v>0.17</v>
      </c>
      <c r="K1416" t="str">
        <f>IF(SalesData[[#This Row],[Profit]]&gt;0,"Profit","Loss")</f>
        <v>Loss</v>
      </c>
      <c r="L1416" s="8">
        <f>SalesData[[#This Row],[Profit]]/SalesData[[#This Row],[Sales]]</f>
        <v>-0.34683841656233466</v>
      </c>
      <c r="M1416" t="str">
        <f>TEXT(SalesData[[#This Row],[Order_Date]],"mmm")</f>
        <v>Oct</v>
      </c>
      <c r="N1416">
        <f>YEAR(SalesData[[#This Row],[Order_Date]])</f>
        <v>2022</v>
      </c>
    </row>
    <row r="1417" spans="1:14" x14ac:dyDescent="0.3">
      <c r="A1417" t="s">
        <v>2586</v>
      </c>
      <c r="B1417" s="1">
        <v>45144</v>
      </c>
      <c r="C1417" t="s">
        <v>754</v>
      </c>
      <c r="D1417" t="s">
        <v>40</v>
      </c>
      <c r="E1417" t="s">
        <v>19</v>
      </c>
      <c r="F1417" t="s">
        <v>141</v>
      </c>
      <c r="G1417" t="s">
        <v>342</v>
      </c>
      <c r="H1417" s="8">
        <v>4070.27</v>
      </c>
      <c r="I1417" s="8">
        <v>-1243.1300000000001</v>
      </c>
      <c r="J1417" s="8">
        <v>0.18</v>
      </c>
      <c r="K1417" t="str">
        <f>IF(SalesData[[#This Row],[Profit]]&gt;0,"Profit","Loss")</f>
        <v>Loss</v>
      </c>
      <c r="L1417" s="8">
        <f>SalesData[[#This Row],[Profit]]/SalesData[[#This Row],[Sales]]</f>
        <v>-0.30541708535306017</v>
      </c>
      <c r="M1417" t="str">
        <f>TEXT(SalesData[[#This Row],[Order_Date]],"mmm")</f>
        <v>Aug</v>
      </c>
      <c r="N1417">
        <f>YEAR(SalesData[[#This Row],[Order_Date]])</f>
        <v>2023</v>
      </c>
    </row>
    <row r="1418" spans="1:14" x14ac:dyDescent="0.3">
      <c r="A1418" t="s">
        <v>2587</v>
      </c>
      <c r="B1418" s="1">
        <v>44599</v>
      </c>
      <c r="C1418" t="s">
        <v>1932</v>
      </c>
      <c r="D1418" t="s">
        <v>28</v>
      </c>
      <c r="E1418" t="s">
        <v>19</v>
      </c>
      <c r="F1418" t="s">
        <v>20</v>
      </c>
      <c r="G1418" t="s">
        <v>145</v>
      </c>
      <c r="H1418" s="8">
        <v>2274.66</v>
      </c>
      <c r="I1418" s="8">
        <v>-465.57</v>
      </c>
      <c r="J1418" s="8">
        <v>0.01</v>
      </c>
      <c r="K1418" t="str">
        <f>IF(SalesData[[#This Row],[Profit]]&gt;0,"Profit","Loss")</f>
        <v>Loss</v>
      </c>
      <c r="L1418" s="8">
        <f>SalesData[[#This Row],[Profit]]/SalesData[[#This Row],[Sales]]</f>
        <v>-0.20467674289783969</v>
      </c>
      <c r="M1418" t="str">
        <f>TEXT(SalesData[[#This Row],[Order_Date]],"mmm")</f>
        <v>Feb</v>
      </c>
      <c r="N1418">
        <f>YEAR(SalesData[[#This Row],[Order_Date]])</f>
        <v>2022</v>
      </c>
    </row>
    <row r="1419" spans="1:14" x14ac:dyDescent="0.3">
      <c r="A1419" t="s">
        <v>2588</v>
      </c>
      <c r="B1419" s="1">
        <v>45186</v>
      </c>
      <c r="C1419" t="s">
        <v>2589</v>
      </c>
      <c r="D1419" t="s">
        <v>40</v>
      </c>
      <c r="E1419" t="s">
        <v>13</v>
      </c>
      <c r="F1419" t="s">
        <v>14</v>
      </c>
      <c r="G1419" t="s">
        <v>717</v>
      </c>
      <c r="H1419" s="8">
        <v>2102.19</v>
      </c>
      <c r="I1419" s="8">
        <v>-677.48</v>
      </c>
      <c r="J1419" s="8">
        <v>0.17</v>
      </c>
      <c r="K1419" t="str">
        <f>IF(SalesData[[#This Row],[Profit]]&gt;0,"Profit","Loss")</f>
        <v>Loss</v>
      </c>
      <c r="L1419" s="8">
        <f>SalesData[[#This Row],[Profit]]/SalesData[[#This Row],[Sales]]</f>
        <v>-0.32227343865207236</v>
      </c>
      <c r="M1419" t="str">
        <f>TEXT(SalesData[[#This Row],[Order_Date]],"mmm")</f>
        <v>Sep</v>
      </c>
      <c r="N1419">
        <f>YEAR(SalesData[[#This Row],[Order_Date]])</f>
        <v>2023</v>
      </c>
    </row>
    <row r="1420" spans="1:14" x14ac:dyDescent="0.3">
      <c r="A1420" t="s">
        <v>2590</v>
      </c>
      <c r="B1420" s="1">
        <v>45068</v>
      </c>
      <c r="C1420" t="s">
        <v>527</v>
      </c>
      <c r="D1420" t="s">
        <v>18</v>
      </c>
      <c r="E1420" t="s">
        <v>56</v>
      </c>
      <c r="F1420" t="s">
        <v>95</v>
      </c>
      <c r="G1420" t="s">
        <v>1434</v>
      </c>
      <c r="H1420" s="8">
        <v>981.04</v>
      </c>
      <c r="I1420" s="8">
        <v>-259.3</v>
      </c>
      <c r="J1420" s="8">
        <v>0.23</v>
      </c>
      <c r="K1420" t="str">
        <f>IF(SalesData[[#This Row],[Profit]]&gt;0,"Profit","Loss")</f>
        <v>Loss</v>
      </c>
      <c r="L1420" s="8">
        <f>SalesData[[#This Row],[Profit]]/SalesData[[#This Row],[Sales]]</f>
        <v>-0.26431134306450299</v>
      </c>
      <c r="M1420" t="str">
        <f>TEXT(SalesData[[#This Row],[Order_Date]],"mmm")</f>
        <v>May</v>
      </c>
      <c r="N1420">
        <f>YEAR(SalesData[[#This Row],[Order_Date]])</f>
        <v>2023</v>
      </c>
    </row>
    <row r="1421" spans="1:14" x14ac:dyDescent="0.3">
      <c r="A1421" t="s">
        <v>2591</v>
      </c>
      <c r="B1421" s="1">
        <v>45232</v>
      </c>
      <c r="C1421" t="s">
        <v>1104</v>
      </c>
      <c r="D1421" t="s">
        <v>18</v>
      </c>
      <c r="E1421" t="s">
        <v>56</v>
      </c>
      <c r="F1421" t="s">
        <v>57</v>
      </c>
      <c r="G1421" t="s">
        <v>47</v>
      </c>
      <c r="H1421" s="8">
        <v>4369.07</v>
      </c>
      <c r="I1421" s="8">
        <v>-1137.69</v>
      </c>
      <c r="J1421" s="8">
        <v>0.2</v>
      </c>
      <c r="K1421" t="str">
        <f>IF(SalesData[[#This Row],[Profit]]&gt;0,"Profit","Loss")</f>
        <v>Loss</v>
      </c>
      <c r="L1421" s="8">
        <f>SalesData[[#This Row],[Profit]]/SalesData[[#This Row],[Sales]]</f>
        <v>-0.26039637726106474</v>
      </c>
      <c r="M1421" t="str">
        <f>TEXT(SalesData[[#This Row],[Order_Date]],"mmm")</f>
        <v>Nov</v>
      </c>
      <c r="N1421">
        <f>YEAR(SalesData[[#This Row],[Order_Date]])</f>
        <v>2023</v>
      </c>
    </row>
    <row r="1422" spans="1:14" x14ac:dyDescent="0.3">
      <c r="A1422" t="s">
        <v>2592</v>
      </c>
      <c r="B1422" s="1">
        <v>44624</v>
      </c>
      <c r="C1422" t="s">
        <v>514</v>
      </c>
      <c r="D1422" t="s">
        <v>40</v>
      </c>
      <c r="E1422" t="s">
        <v>13</v>
      </c>
      <c r="F1422" t="s">
        <v>36</v>
      </c>
      <c r="G1422" t="s">
        <v>1825</v>
      </c>
      <c r="H1422" s="8">
        <v>2941.46</v>
      </c>
      <c r="I1422" s="8">
        <v>648.34</v>
      </c>
      <c r="J1422" s="8">
        <v>0.01</v>
      </c>
      <c r="K1422" t="str">
        <f>IF(SalesData[[#This Row],[Profit]]&gt;0,"Profit","Loss")</f>
        <v>Profit</v>
      </c>
      <c r="L1422" s="8">
        <f>SalesData[[#This Row],[Profit]]/SalesData[[#This Row],[Sales]]</f>
        <v>0.22041435205646176</v>
      </c>
      <c r="M1422" t="str">
        <f>TEXT(SalesData[[#This Row],[Order_Date]],"mmm")</f>
        <v>Mar</v>
      </c>
      <c r="N1422">
        <f>YEAR(SalesData[[#This Row],[Order_Date]])</f>
        <v>2022</v>
      </c>
    </row>
    <row r="1423" spans="1:14" x14ac:dyDescent="0.3">
      <c r="A1423" t="s">
        <v>2593</v>
      </c>
      <c r="B1423" s="1">
        <v>44607</v>
      </c>
      <c r="C1423" t="s">
        <v>1134</v>
      </c>
      <c r="D1423" t="s">
        <v>18</v>
      </c>
      <c r="E1423" t="s">
        <v>19</v>
      </c>
      <c r="F1423" t="s">
        <v>20</v>
      </c>
      <c r="G1423" t="s">
        <v>497</v>
      </c>
      <c r="H1423" s="8">
        <v>3424.1</v>
      </c>
      <c r="I1423" s="8">
        <v>-849.17</v>
      </c>
      <c r="J1423" s="8">
        <v>0.26</v>
      </c>
      <c r="K1423" t="str">
        <f>IF(SalesData[[#This Row],[Profit]]&gt;0,"Profit","Loss")</f>
        <v>Loss</v>
      </c>
      <c r="L1423" s="8">
        <f>SalesData[[#This Row],[Profit]]/SalesData[[#This Row],[Sales]]</f>
        <v>-0.24799801407669167</v>
      </c>
      <c r="M1423" t="str">
        <f>TEXT(SalesData[[#This Row],[Order_Date]],"mmm")</f>
        <v>Feb</v>
      </c>
      <c r="N1423">
        <f>YEAR(SalesData[[#This Row],[Order_Date]])</f>
        <v>2022</v>
      </c>
    </row>
    <row r="1424" spans="1:14" x14ac:dyDescent="0.3">
      <c r="A1424" t="s">
        <v>2594</v>
      </c>
      <c r="B1424" s="1">
        <v>44770</v>
      </c>
      <c r="C1424" t="s">
        <v>2595</v>
      </c>
      <c r="D1424" t="s">
        <v>40</v>
      </c>
      <c r="E1424" t="s">
        <v>56</v>
      </c>
      <c r="F1424" t="s">
        <v>57</v>
      </c>
      <c r="G1424" t="s">
        <v>383</v>
      </c>
      <c r="H1424" s="8">
        <v>2584</v>
      </c>
      <c r="I1424" s="8">
        <v>-474.24</v>
      </c>
      <c r="J1424" s="8">
        <v>0.03</v>
      </c>
      <c r="K1424" t="str">
        <f>IF(SalesData[[#This Row],[Profit]]&gt;0,"Profit","Loss")</f>
        <v>Loss</v>
      </c>
      <c r="L1424" s="8">
        <f>SalesData[[#This Row],[Profit]]/SalesData[[#This Row],[Sales]]</f>
        <v>-0.18352941176470589</v>
      </c>
      <c r="M1424" t="str">
        <f>TEXT(SalesData[[#This Row],[Order_Date]],"mmm")</f>
        <v>Jul</v>
      </c>
      <c r="N1424">
        <f>YEAR(SalesData[[#This Row],[Order_Date]])</f>
        <v>2022</v>
      </c>
    </row>
    <row r="1425" spans="1:14" x14ac:dyDescent="0.3">
      <c r="A1425" t="s">
        <v>2596</v>
      </c>
      <c r="B1425" s="1">
        <v>44587</v>
      </c>
      <c r="C1425" t="s">
        <v>2140</v>
      </c>
      <c r="D1425" t="s">
        <v>40</v>
      </c>
      <c r="E1425" t="s">
        <v>13</v>
      </c>
      <c r="F1425" t="s">
        <v>36</v>
      </c>
      <c r="G1425" t="s">
        <v>1980</v>
      </c>
      <c r="H1425" s="8">
        <v>449.83</v>
      </c>
      <c r="I1425" s="8">
        <v>-72.040000000000006</v>
      </c>
      <c r="J1425" s="8">
        <v>0.13</v>
      </c>
      <c r="K1425" t="str">
        <f>IF(SalesData[[#This Row],[Profit]]&gt;0,"Profit","Loss")</f>
        <v>Loss</v>
      </c>
      <c r="L1425" s="8">
        <f>SalesData[[#This Row],[Profit]]/SalesData[[#This Row],[Sales]]</f>
        <v>-0.16014938976946849</v>
      </c>
      <c r="M1425" t="str">
        <f>TEXT(SalesData[[#This Row],[Order_Date]],"mmm")</f>
        <v>Jan</v>
      </c>
      <c r="N1425">
        <f>YEAR(SalesData[[#This Row],[Order_Date]])</f>
        <v>2022</v>
      </c>
    </row>
    <row r="1426" spans="1:14" x14ac:dyDescent="0.3">
      <c r="A1426" t="s">
        <v>2597</v>
      </c>
      <c r="B1426" s="1">
        <v>44593</v>
      </c>
      <c r="C1426" t="s">
        <v>1755</v>
      </c>
      <c r="D1426" t="s">
        <v>40</v>
      </c>
      <c r="E1426" t="s">
        <v>19</v>
      </c>
      <c r="F1426" t="s">
        <v>141</v>
      </c>
      <c r="G1426" t="s">
        <v>981</v>
      </c>
      <c r="H1426" s="8">
        <v>1936.11</v>
      </c>
      <c r="I1426" s="8">
        <v>-587.73</v>
      </c>
      <c r="J1426" s="8">
        <v>0.28000000000000003</v>
      </c>
      <c r="K1426" t="str">
        <f>IF(SalesData[[#This Row],[Profit]]&gt;0,"Profit","Loss")</f>
        <v>Loss</v>
      </c>
      <c r="L1426" s="8">
        <f>SalesData[[#This Row],[Profit]]/SalesData[[#This Row],[Sales]]</f>
        <v>-0.30356229759672748</v>
      </c>
      <c r="M1426" t="str">
        <f>TEXT(SalesData[[#This Row],[Order_Date]],"mmm")</f>
        <v>Feb</v>
      </c>
      <c r="N1426">
        <f>YEAR(SalesData[[#This Row],[Order_Date]])</f>
        <v>2022</v>
      </c>
    </row>
    <row r="1427" spans="1:14" x14ac:dyDescent="0.3">
      <c r="A1427" t="s">
        <v>2598</v>
      </c>
      <c r="B1427" s="1">
        <v>44882</v>
      </c>
      <c r="C1427" t="s">
        <v>174</v>
      </c>
      <c r="D1427" t="s">
        <v>40</v>
      </c>
      <c r="E1427" t="s">
        <v>19</v>
      </c>
      <c r="F1427" t="s">
        <v>20</v>
      </c>
      <c r="G1427" t="s">
        <v>1373</v>
      </c>
      <c r="H1427" s="8">
        <v>4568.18</v>
      </c>
      <c r="I1427" s="8">
        <v>710</v>
      </c>
      <c r="J1427" s="8">
        <v>0.01</v>
      </c>
      <c r="K1427" t="str">
        <f>IF(SalesData[[#This Row],[Profit]]&gt;0,"Profit","Loss")</f>
        <v>Profit</v>
      </c>
      <c r="L1427" s="8">
        <f>SalesData[[#This Row],[Profit]]/SalesData[[#This Row],[Sales]]</f>
        <v>0.15542294743201887</v>
      </c>
      <c r="M1427" t="str">
        <f>TEXT(SalesData[[#This Row],[Order_Date]],"mmm")</f>
        <v>Nov</v>
      </c>
      <c r="N1427">
        <f>YEAR(SalesData[[#This Row],[Order_Date]])</f>
        <v>2022</v>
      </c>
    </row>
    <row r="1428" spans="1:14" x14ac:dyDescent="0.3">
      <c r="A1428" t="s">
        <v>2599</v>
      </c>
      <c r="B1428" s="1">
        <v>44952</v>
      </c>
      <c r="C1428" t="s">
        <v>1499</v>
      </c>
      <c r="D1428" t="s">
        <v>12</v>
      </c>
      <c r="E1428" t="s">
        <v>56</v>
      </c>
      <c r="F1428" t="s">
        <v>95</v>
      </c>
      <c r="G1428" t="s">
        <v>1665</v>
      </c>
      <c r="H1428" s="8">
        <v>4170.5600000000004</v>
      </c>
      <c r="I1428" s="8">
        <v>941.53</v>
      </c>
      <c r="J1428" s="8">
        <v>0.01</v>
      </c>
      <c r="K1428" t="str">
        <f>IF(SalesData[[#This Row],[Profit]]&gt;0,"Profit","Loss")</f>
        <v>Profit</v>
      </c>
      <c r="L1428" s="8">
        <f>SalesData[[#This Row],[Profit]]/SalesData[[#This Row],[Sales]]</f>
        <v>0.22575625335686331</v>
      </c>
      <c r="M1428" t="str">
        <f>TEXT(SalesData[[#This Row],[Order_Date]],"mmm")</f>
        <v>Jan</v>
      </c>
      <c r="N1428">
        <f>YEAR(SalesData[[#This Row],[Order_Date]])</f>
        <v>2023</v>
      </c>
    </row>
    <row r="1429" spans="1:14" x14ac:dyDescent="0.3">
      <c r="A1429" t="s">
        <v>2600</v>
      </c>
      <c r="B1429" s="1">
        <v>44990</v>
      </c>
      <c r="C1429" t="s">
        <v>221</v>
      </c>
      <c r="D1429" t="s">
        <v>12</v>
      </c>
      <c r="E1429" t="s">
        <v>56</v>
      </c>
      <c r="F1429" t="s">
        <v>57</v>
      </c>
      <c r="G1429" t="s">
        <v>649</v>
      </c>
      <c r="H1429" s="8">
        <v>2870.47</v>
      </c>
      <c r="I1429" s="8">
        <v>-349.64</v>
      </c>
      <c r="J1429" s="8">
        <v>0.3</v>
      </c>
      <c r="K1429" t="str">
        <f>IF(SalesData[[#This Row],[Profit]]&gt;0,"Profit","Loss")</f>
        <v>Loss</v>
      </c>
      <c r="L1429" s="8">
        <f>SalesData[[#This Row],[Profit]]/SalesData[[#This Row],[Sales]]</f>
        <v>-0.12180583667483026</v>
      </c>
      <c r="M1429" t="str">
        <f>TEXT(SalesData[[#This Row],[Order_Date]],"mmm")</f>
        <v>Mar</v>
      </c>
      <c r="N1429">
        <f>YEAR(SalesData[[#This Row],[Order_Date]])</f>
        <v>2023</v>
      </c>
    </row>
    <row r="1430" spans="1:14" x14ac:dyDescent="0.3">
      <c r="A1430" t="s">
        <v>2601</v>
      </c>
      <c r="B1430" s="1">
        <v>44886</v>
      </c>
      <c r="C1430" t="s">
        <v>1424</v>
      </c>
      <c r="D1430" t="s">
        <v>18</v>
      </c>
      <c r="E1430" t="s">
        <v>13</v>
      </c>
      <c r="F1430" t="s">
        <v>14</v>
      </c>
      <c r="G1430" t="s">
        <v>342</v>
      </c>
      <c r="H1430" s="8">
        <v>3074.8</v>
      </c>
      <c r="I1430" s="8">
        <v>-269.95999999999998</v>
      </c>
      <c r="J1430" s="8">
        <v>0.2</v>
      </c>
      <c r="K1430" t="str">
        <f>IF(SalesData[[#This Row],[Profit]]&gt;0,"Profit","Loss")</f>
        <v>Loss</v>
      </c>
      <c r="L1430" s="8">
        <f>SalesData[[#This Row],[Profit]]/SalesData[[#This Row],[Sales]]</f>
        <v>-8.7797580330427977E-2</v>
      </c>
      <c r="M1430" t="str">
        <f>TEXT(SalesData[[#This Row],[Order_Date]],"mmm")</f>
        <v>Nov</v>
      </c>
      <c r="N1430">
        <f>YEAR(SalesData[[#This Row],[Order_Date]])</f>
        <v>2022</v>
      </c>
    </row>
    <row r="1431" spans="1:14" x14ac:dyDescent="0.3">
      <c r="A1431" t="s">
        <v>2602</v>
      </c>
      <c r="B1431" s="1">
        <v>44932</v>
      </c>
      <c r="C1431" t="s">
        <v>799</v>
      </c>
      <c r="D1431" t="s">
        <v>28</v>
      </c>
      <c r="E1431" t="s">
        <v>13</v>
      </c>
      <c r="F1431" t="s">
        <v>36</v>
      </c>
      <c r="G1431" t="s">
        <v>128</v>
      </c>
      <c r="H1431" s="8">
        <v>4564.24</v>
      </c>
      <c r="I1431" s="8">
        <v>818.84</v>
      </c>
      <c r="J1431" s="8">
        <v>0.1</v>
      </c>
      <c r="K1431" t="str">
        <f>IF(SalesData[[#This Row],[Profit]]&gt;0,"Profit","Loss")</f>
        <v>Profit</v>
      </c>
      <c r="L1431" s="8">
        <f>SalesData[[#This Row],[Profit]]/SalesData[[#This Row],[Sales]]</f>
        <v>0.17940336178640914</v>
      </c>
      <c r="M1431" t="str">
        <f>TEXT(SalesData[[#This Row],[Order_Date]],"mmm")</f>
        <v>Jan</v>
      </c>
      <c r="N1431">
        <f>YEAR(SalesData[[#This Row],[Order_Date]])</f>
        <v>2023</v>
      </c>
    </row>
    <row r="1432" spans="1:14" x14ac:dyDescent="0.3">
      <c r="A1432" t="s">
        <v>2603</v>
      </c>
      <c r="B1432" s="1">
        <v>44981</v>
      </c>
      <c r="C1432" t="s">
        <v>490</v>
      </c>
      <c r="D1432" t="s">
        <v>12</v>
      </c>
      <c r="E1432" t="s">
        <v>13</v>
      </c>
      <c r="F1432" t="s">
        <v>14</v>
      </c>
      <c r="G1432" t="s">
        <v>271</v>
      </c>
      <c r="H1432" s="8">
        <v>3496.06</v>
      </c>
      <c r="I1432" s="8">
        <v>855.01</v>
      </c>
      <c r="J1432" s="8">
        <v>0.13</v>
      </c>
      <c r="K1432" t="str">
        <f>IF(SalesData[[#This Row],[Profit]]&gt;0,"Profit","Loss")</f>
        <v>Profit</v>
      </c>
      <c r="L1432" s="8">
        <f>SalesData[[#This Row],[Profit]]/SalesData[[#This Row],[Sales]]</f>
        <v>0.24456388048260042</v>
      </c>
      <c r="M1432" t="str">
        <f>TEXT(SalesData[[#This Row],[Order_Date]],"mmm")</f>
        <v>Feb</v>
      </c>
      <c r="N1432">
        <f>YEAR(SalesData[[#This Row],[Order_Date]])</f>
        <v>2023</v>
      </c>
    </row>
    <row r="1433" spans="1:14" x14ac:dyDescent="0.3">
      <c r="A1433" t="s">
        <v>2604</v>
      </c>
      <c r="B1433" s="1">
        <v>44797</v>
      </c>
      <c r="C1433" t="s">
        <v>2605</v>
      </c>
      <c r="D1433" t="s">
        <v>28</v>
      </c>
      <c r="E1433" t="s">
        <v>13</v>
      </c>
      <c r="F1433" t="s">
        <v>24</v>
      </c>
      <c r="G1433" t="s">
        <v>816</v>
      </c>
      <c r="H1433" s="8">
        <v>474.57</v>
      </c>
      <c r="I1433" s="8">
        <v>-9.26</v>
      </c>
      <c r="J1433" s="8">
        <v>0.11</v>
      </c>
      <c r="K1433" t="str">
        <f>IF(SalesData[[#This Row],[Profit]]&gt;0,"Profit","Loss")</f>
        <v>Loss</v>
      </c>
      <c r="L1433" s="8">
        <f>SalesData[[#This Row],[Profit]]/SalesData[[#This Row],[Sales]]</f>
        <v>-1.9512400699580674E-2</v>
      </c>
      <c r="M1433" t="str">
        <f>TEXT(SalesData[[#This Row],[Order_Date]],"mmm")</f>
        <v>Aug</v>
      </c>
      <c r="N1433">
        <f>YEAR(SalesData[[#This Row],[Order_Date]])</f>
        <v>2022</v>
      </c>
    </row>
    <row r="1434" spans="1:14" x14ac:dyDescent="0.3">
      <c r="A1434" t="s">
        <v>2606</v>
      </c>
      <c r="B1434" s="1">
        <v>45252</v>
      </c>
      <c r="C1434" t="s">
        <v>2607</v>
      </c>
      <c r="D1434" t="s">
        <v>18</v>
      </c>
      <c r="E1434" t="s">
        <v>13</v>
      </c>
      <c r="F1434" t="s">
        <v>14</v>
      </c>
      <c r="G1434" t="s">
        <v>2205</v>
      </c>
      <c r="H1434" s="8">
        <v>4636.01</v>
      </c>
      <c r="I1434" s="8">
        <v>1277.5</v>
      </c>
      <c r="J1434" s="8">
        <v>7.0000000000000007E-2</v>
      </c>
      <c r="K1434" t="str">
        <f>IF(SalesData[[#This Row],[Profit]]&gt;0,"Profit","Loss")</f>
        <v>Profit</v>
      </c>
      <c r="L1434" s="8">
        <f>SalesData[[#This Row],[Profit]]/SalesData[[#This Row],[Sales]]</f>
        <v>0.2755602339080373</v>
      </c>
      <c r="M1434" t="str">
        <f>TEXT(SalesData[[#This Row],[Order_Date]],"mmm")</f>
        <v>Nov</v>
      </c>
      <c r="N1434">
        <f>YEAR(SalesData[[#This Row],[Order_Date]])</f>
        <v>2023</v>
      </c>
    </row>
    <row r="1435" spans="1:14" x14ac:dyDescent="0.3">
      <c r="A1435" t="s">
        <v>2608</v>
      </c>
      <c r="B1435" s="1">
        <v>45079</v>
      </c>
      <c r="C1435" t="s">
        <v>198</v>
      </c>
      <c r="D1435" t="s">
        <v>28</v>
      </c>
      <c r="E1435" t="s">
        <v>19</v>
      </c>
      <c r="F1435" t="s">
        <v>29</v>
      </c>
      <c r="G1435" t="s">
        <v>1988</v>
      </c>
      <c r="H1435" s="8">
        <v>1773.7</v>
      </c>
      <c r="I1435" s="8">
        <v>9.0500000000000007</v>
      </c>
      <c r="J1435" s="8">
        <v>0.04</v>
      </c>
      <c r="K1435" t="str">
        <f>IF(SalesData[[#This Row],[Profit]]&gt;0,"Profit","Loss")</f>
        <v>Profit</v>
      </c>
      <c r="L1435" s="8">
        <f>SalesData[[#This Row],[Profit]]/SalesData[[#This Row],[Sales]]</f>
        <v>5.1023284659187009E-3</v>
      </c>
      <c r="M1435" t="str">
        <f>TEXT(SalesData[[#This Row],[Order_Date]],"mmm")</f>
        <v>Jun</v>
      </c>
      <c r="N1435">
        <f>YEAR(SalesData[[#This Row],[Order_Date]])</f>
        <v>2023</v>
      </c>
    </row>
    <row r="1436" spans="1:14" x14ac:dyDescent="0.3">
      <c r="A1436" t="s">
        <v>2609</v>
      </c>
      <c r="B1436" s="1">
        <v>44831</v>
      </c>
      <c r="C1436" t="s">
        <v>1266</v>
      </c>
      <c r="D1436" t="s">
        <v>28</v>
      </c>
      <c r="E1436" t="s">
        <v>56</v>
      </c>
      <c r="F1436" t="s">
        <v>57</v>
      </c>
      <c r="G1436" t="s">
        <v>208</v>
      </c>
      <c r="H1436" s="8">
        <v>4394.3900000000003</v>
      </c>
      <c r="I1436" s="8">
        <v>-560.4</v>
      </c>
      <c r="J1436" s="8">
        <v>0</v>
      </c>
      <c r="K1436" t="str">
        <f>IF(SalesData[[#This Row],[Profit]]&gt;0,"Profit","Loss")</f>
        <v>Loss</v>
      </c>
      <c r="L1436" s="8">
        <f>SalesData[[#This Row],[Profit]]/SalesData[[#This Row],[Sales]]</f>
        <v>-0.12752623230983137</v>
      </c>
      <c r="M1436" t="str">
        <f>TEXT(SalesData[[#This Row],[Order_Date]],"mmm")</f>
        <v>Sep</v>
      </c>
      <c r="N1436">
        <f>YEAR(SalesData[[#This Row],[Order_Date]])</f>
        <v>2022</v>
      </c>
    </row>
    <row r="1437" spans="1:14" x14ac:dyDescent="0.3">
      <c r="A1437" t="s">
        <v>2610</v>
      </c>
      <c r="B1437" s="1">
        <v>44732</v>
      </c>
      <c r="C1437" t="s">
        <v>634</v>
      </c>
      <c r="D1437" t="s">
        <v>18</v>
      </c>
      <c r="E1437" t="s">
        <v>56</v>
      </c>
      <c r="F1437" t="s">
        <v>57</v>
      </c>
      <c r="G1437" t="s">
        <v>92</v>
      </c>
      <c r="H1437" s="8">
        <v>4360.3500000000004</v>
      </c>
      <c r="I1437" s="8">
        <v>-1899.55</v>
      </c>
      <c r="J1437" s="8">
        <v>0.25</v>
      </c>
      <c r="K1437" t="str">
        <f>IF(SalesData[[#This Row],[Profit]]&gt;0,"Profit","Loss")</f>
        <v>Loss</v>
      </c>
      <c r="L1437" s="8">
        <f>SalesData[[#This Row],[Profit]]/SalesData[[#This Row],[Sales]]</f>
        <v>-0.4356416342724781</v>
      </c>
      <c r="M1437" t="str">
        <f>TEXT(SalesData[[#This Row],[Order_Date]],"mmm")</f>
        <v>Jun</v>
      </c>
      <c r="N1437">
        <f>YEAR(SalesData[[#This Row],[Order_Date]])</f>
        <v>2022</v>
      </c>
    </row>
    <row r="1438" spans="1:14" x14ac:dyDescent="0.3">
      <c r="A1438" t="s">
        <v>2611</v>
      </c>
      <c r="B1438" s="1">
        <v>45132</v>
      </c>
      <c r="C1438" t="s">
        <v>639</v>
      </c>
      <c r="D1438" t="s">
        <v>40</v>
      </c>
      <c r="E1438" t="s">
        <v>13</v>
      </c>
      <c r="F1438" t="s">
        <v>36</v>
      </c>
      <c r="G1438" t="s">
        <v>747</v>
      </c>
      <c r="H1438" s="8">
        <v>4530.88</v>
      </c>
      <c r="I1438" s="8">
        <v>-310.86</v>
      </c>
      <c r="J1438" s="8">
        <v>0.11</v>
      </c>
      <c r="K1438" t="str">
        <f>IF(SalesData[[#This Row],[Profit]]&gt;0,"Profit","Loss")</f>
        <v>Loss</v>
      </c>
      <c r="L1438" s="8">
        <f>SalesData[[#This Row],[Profit]]/SalesData[[#This Row],[Sales]]</f>
        <v>-6.8609188502012849E-2</v>
      </c>
      <c r="M1438" t="str">
        <f>TEXT(SalesData[[#This Row],[Order_Date]],"mmm")</f>
        <v>Jul</v>
      </c>
      <c r="N1438">
        <f>YEAR(SalesData[[#This Row],[Order_Date]])</f>
        <v>2023</v>
      </c>
    </row>
    <row r="1439" spans="1:14" x14ac:dyDescent="0.3">
      <c r="A1439" t="s">
        <v>2612</v>
      </c>
      <c r="B1439" s="1">
        <v>44608</v>
      </c>
      <c r="C1439" t="s">
        <v>615</v>
      </c>
      <c r="D1439" t="s">
        <v>40</v>
      </c>
      <c r="E1439" t="s">
        <v>19</v>
      </c>
      <c r="F1439" t="s">
        <v>29</v>
      </c>
      <c r="G1439" t="s">
        <v>205</v>
      </c>
      <c r="H1439" s="8">
        <v>2998.24</v>
      </c>
      <c r="I1439" s="8">
        <v>649.05999999999995</v>
      </c>
      <c r="J1439" s="8">
        <v>0.18</v>
      </c>
      <c r="K1439" t="str">
        <f>IF(SalesData[[#This Row],[Profit]]&gt;0,"Profit","Loss")</f>
        <v>Profit</v>
      </c>
      <c r="L1439" s="8">
        <f>SalesData[[#This Row],[Profit]]/SalesData[[#This Row],[Sales]]</f>
        <v>0.21648033512994289</v>
      </c>
      <c r="M1439" t="str">
        <f>TEXT(SalesData[[#This Row],[Order_Date]],"mmm")</f>
        <v>Feb</v>
      </c>
      <c r="N1439">
        <f>YEAR(SalesData[[#This Row],[Order_Date]])</f>
        <v>2022</v>
      </c>
    </row>
    <row r="1440" spans="1:14" x14ac:dyDescent="0.3">
      <c r="A1440" t="s">
        <v>2613</v>
      </c>
      <c r="B1440" s="1">
        <v>45050</v>
      </c>
      <c r="C1440" t="s">
        <v>1605</v>
      </c>
      <c r="D1440" t="s">
        <v>18</v>
      </c>
      <c r="E1440" t="s">
        <v>19</v>
      </c>
      <c r="F1440" t="s">
        <v>29</v>
      </c>
      <c r="G1440" t="s">
        <v>637</v>
      </c>
      <c r="H1440" s="8">
        <v>3191.08</v>
      </c>
      <c r="I1440" s="8">
        <v>-506.06</v>
      </c>
      <c r="J1440" s="8">
        <v>0.22</v>
      </c>
      <c r="K1440" t="str">
        <f>IF(SalesData[[#This Row],[Profit]]&gt;0,"Profit","Loss")</f>
        <v>Loss</v>
      </c>
      <c r="L1440" s="8">
        <f>SalesData[[#This Row],[Profit]]/SalesData[[#This Row],[Sales]]</f>
        <v>-0.15858580793963173</v>
      </c>
      <c r="M1440" t="str">
        <f>TEXT(SalesData[[#This Row],[Order_Date]],"mmm")</f>
        <v>May</v>
      </c>
      <c r="N1440">
        <f>YEAR(SalesData[[#This Row],[Order_Date]])</f>
        <v>2023</v>
      </c>
    </row>
    <row r="1441" spans="1:14" x14ac:dyDescent="0.3">
      <c r="A1441" t="s">
        <v>2614</v>
      </c>
      <c r="B1441" s="1">
        <v>44647</v>
      </c>
      <c r="C1441" t="s">
        <v>2615</v>
      </c>
      <c r="D1441" t="s">
        <v>12</v>
      </c>
      <c r="E1441" t="s">
        <v>56</v>
      </c>
      <c r="F1441" t="s">
        <v>73</v>
      </c>
      <c r="G1441" t="s">
        <v>1703</v>
      </c>
      <c r="H1441" s="8">
        <v>3853.18</v>
      </c>
      <c r="I1441" s="8">
        <v>354.39</v>
      </c>
      <c r="J1441" s="8">
        <v>0.27</v>
      </c>
      <c r="K1441" t="str">
        <f>IF(SalesData[[#This Row],[Profit]]&gt;0,"Profit","Loss")</f>
        <v>Profit</v>
      </c>
      <c r="L1441" s="8">
        <f>SalesData[[#This Row],[Profit]]/SalesData[[#This Row],[Sales]]</f>
        <v>9.197338302389195E-2</v>
      </c>
      <c r="M1441" t="str">
        <f>TEXT(SalesData[[#This Row],[Order_Date]],"mmm")</f>
        <v>Mar</v>
      </c>
      <c r="N1441">
        <f>YEAR(SalesData[[#This Row],[Order_Date]])</f>
        <v>2022</v>
      </c>
    </row>
    <row r="1442" spans="1:14" x14ac:dyDescent="0.3">
      <c r="A1442" t="s">
        <v>2616</v>
      </c>
      <c r="B1442" s="1">
        <v>44742</v>
      </c>
      <c r="C1442" t="s">
        <v>118</v>
      </c>
      <c r="D1442" t="s">
        <v>40</v>
      </c>
      <c r="E1442" t="s">
        <v>13</v>
      </c>
      <c r="F1442" t="s">
        <v>36</v>
      </c>
      <c r="G1442" t="s">
        <v>148</v>
      </c>
      <c r="H1442" s="8">
        <v>3402.14</v>
      </c>
      <c r="I1442" s="8">
        <v>-502.62</v>
      </c>
      <c r="J1442" s="8">
        <v>0.14000000000000001</v>
      </c>
      <c r="K1442" t="str">
        <f>IF(SalesData[[#This Row],[Profit]]&gt;0,"Profit","Loss")</f>
        <v>Loss</v>
      </c>
      <c r="L1442" s="8">
        <f>SalesData[[#This Row],[Profit]]/SalesData[[#This Row],[Sales]]</f>
        <v>-0.14773642472091097</v>
      </c>
      <c r="M1442" t="str">
        <f>TEXT(SalesData[[#This Row],[Order_Date]],"mmm")</f>
        <v>Jun</v>
      </c>
      <c r="N1442">
        <f>YEAR(SalesData[[#This Row],[Order_Date]])</f>
        <v>2022</v>
      </c>
    </row>
    <row r="1443" spans="1:14" x14ac:dyDescent="0.3">
      <c r="A1443" t="s">
        <v>2617</v>
      </c>
      <c r="B1443" s="1">
        <v>45099</v>
      </c>
      <c r="C1443" t="s">
        <v>2114</v>
      </c>
      <c r="D1443" t="s">
        <v>28</v>
      </c>
      <c r="E1443" t="s">
        <v>56</v>
      </c>
      <c r="F1443" t="s">
        <v>57</v>
      </c>
      <c r="G1443" t="s">
        <v>1654</v>
      </c>
      <c r="H1443" s="8">
        <v>1557.01</v>
      </c>
      <c r="I1443" s="8">
        <v>59.91</v>
      </c>
      <c r="J1443" s="8">
        <v>0.1</v>
      </c>
      <c r="K1443" t="str">
        <f>IF(SalesData[[#This Row],[Profit]]&gt;0,"Profit","Loss")</f>
        <v>Profit</v>
      </c>
      <c r="L1443" s="8">
        <f>SalesData[[#This Row],[Profit]]/SalesData[[#This Row],[Sales]]</f>
        <v>3.8477594877361097E-2</v>
      </c>
      <c r="M1443" t="str">
        <f>TEXT(SalesData[[#This Row],[Order_Date]],"mmm")</f>
        <v>Jun</v>
      </c>
      <c r="N1443">
        <f>YEAR(SalesData[[#This Row],[Order_Date]])</f>
        <v>2023</v>
      </c>
    </row>
    <row r="1444" spans="1:14" x14ac:dyDescent="0.3">
      <c r="A1444" t="s">
        <v>2618</v>
      </c>
      <c r="B1444" s="1">
        <v>44777</v>
      </c>
      <c r="C1444" t="s">
        <v>150</v>
      </c>
      <c r="D1444" t="s">
        <v>40</v>
      </c>
      <c r="E1444" t="s">
        <v>19</v>
      </c>
      <c r="F1444" t="s">
        <v>29</v>
      </c>
      <c r="G1444" t="s">
        <v>895</v>
      </c>
      <c r="H1444" s="8">
        <v>1661.03</v>
      </c>
      <c r="I1444" s="8">
        <v>-272.55</v>
      </c>
      <c r="J1444" s="8">
        <v>0.05</v>
      </c>
      <c r="K1444" t="str">
        <f>IF(SalesData[[#This Row],[Profit]]&gt;0,"Profit","Loss")</f>
        <v>Loss</v>
      </c>
      <c r="L1444" s="8">
        <f>SalesData[[#This Row],[Profit]]/SalesData[[#This Row],[Sales]]</f>
        <v>-0.16408493525101894</v>
      </c>
      <c r="M1444" t="str">
        <f>TEXT(SalesData[[#This Row],[Order_Date]],"mmm")</f>
        <v>Aug</v>
      </c>
      <c r="N1444">
        <f>YEAR(SalesData[[#This Row],[Order_Date]])</f>
        <v>2022</v>
      </c>
    </row>
    <row r="1445" spans="1:14" x14ac:dyDescent="0.3">
      <c r="A1445" t="s">
        <v>2619</v>
      </c>
      <c r="B1445" s="1">
        <v>44842</v>
      </c>
      <c r="C1445" t="s">
        <v>2437</v>
      </c>
      <c r="D1445" t="s">
        <v>28</v>
      </c>
      <c r="E1445" t="s">
        <v>13</v>
      </c>
      <c r="F1445" t="s">
        <v>36</v>
      </c>
      <c r="G1445" t="s">
        <v>984</v>
      </c>
      <c r="H1445" s="8">
        <v>587.39</v>
      </c>
      <c r="I1445" s="8">
        <v>-128.56</v>
      </c>
      <c r="J1445" s="8">
        <v>0.09</v>
      </c>
      <c r="K1445" t="str">
        <f>IF(SalesData[[#This Row],[Profit]]&gt;0,"Profit","Loss")</f>
        <v>Loss</v>
      </c>
      <c r="L1445" s="8">
        <f>SalesData[[#This Row],[Profit]]/SalesData[[#This Row],[Sales]]</f>
        <v>-0.21886651117656072</v>
      </c>
      <c r="M1445" t="str">
        <f>TEXT(SalesData[[#This Row],[Order_Date]],"mmm")</f>
        <v>Oct</v>
      </c>
      <c r="N1445">
        <f>YEAR(SalesData[[#This Row],[Order_Date]])</f>
        <v>2022</v>
      </c>
    </row>
    <row r="1446" spans="1:14" x14ac:dyDescent="0.3">
      <c r="A1446" t="s">
        <v>2620</v>
      </c>
      <c r="B1446" s="1">
        <v>44670</v>
      </c>
      <c r="C1446" t="s">
        <v>2331</v>
      </c>
      <c r="D1446" t="s">
        <v>40</v>
      </c>
      <c r="E1446" t="s">
        <v>56</v>
      </c>
      <c r="F1446" t="s">
        <v>95</v>
      </c>
      <c r="G1446" t="s">
        <v>2490</v>
      </c>
      <c r="H1446" s="8">
        <v>4702.1000000000004</v>
      </c>
      <c r="I1446" s="8">
        <v>393.58</v>
      </c>
      <c r="J1446" s="8">
        <v>0.08</v>
      </c>
      <c r="K1446" t="str">
        <f>IF(SalesData[[#This Row],[Profit]]&gt;0,"Profit","Loss")</f>
        <v>Profit</v>
      </c>
      <c r="L1446" s="8">
        <f>SalesData[[#This Row],[Profit]]/SalesData[[#This Row],[Sales]]</f>
        <v>8.3703026307394554E-2</v>
      </c>
      <c r="M1446" t="str">
        <f>TEXT(SalesData[[#This Row],[Order_Date]],"mmm")</f>
        <v>Apr</v>
      </c>
      <c r="N1446">
        <f>YEAR(SalesData[[#This Row],[Order_Date]])</f>
        <v>2022</v>
      </c>
    </row>
    <row r="1447" spans="1:14" x14ac:dyDescent="0.3">
      <c r="A1447" t="s">
        <v>2621</v>
      </c>
      <c r="B1447" s="1">
        <v>45174</v>
      </c>
      <c r="C1447" t="s">
        <v>2245</v>
      </c>
      <c r="D1447" t="s">
        <v>18</v>
      </c>
      <c r="E1447" t="s">
        <v>56</v>
      </c>
      <c r="F1447" t="s">
        <v>57</v>
      </c>
      <c r="G1447" t="s">
        <v>462</v>
      </c>
      <c r="H1447" s="8">
        <v>2805.6</v>
      </c>
      <c r="I1447" s="8">
        <v>-697.72</v>
      </c>
      <c r="J1447" s="8">
        <v>0.15</v>
      </c>
      <c r="K1447" t="str">
        <f>IF(SalesData[[#This Row],[Profit]]&gt;0,"Profit","Loss")</f>
        <v>Loss</v>
      </c>
      <c r="L1447" s="8">
        <f>SalesData[[#This Row],[Profit]]/SalesData[[#This Row],[Sales]]</f>
        <v>-0.2486883376104933</v>
      </c>
      <c r="M1447" t="str">
        <f>TEXT(SalesData[[#This Row],[Order_Date]],"mmm")</f>
        <v>Sep</v>
      </c>
      <c r="N1447">
        <f>YEAR(SalesData[[#This Row],[Order_Date]])</f>
        <v>2023</v>
      </c>
    </row>
    <row r="1448" spans="1:14" x14ac:dyDescent="0.3">
      <c r="A1448" t="s">
        <v>2622</v>
      </c>
      <c r="B1448" s="1">
        <v>44998</v>
      </c>
      <c r="C1448" t="s">
        <v>1049</v>
      </c>
      <c r="D1448" t="s">
        <v>28</v>
      </c>
      <c r="E1448" t="s">
        <v>19</v>
      </c>
      <c r="F1448" t="s">
        <v>20</v>
      </c>
      <c r="G1448" t="s">
        <v>1539</v>
      </c>
      <c r="H1448" s="8">
        <v>1910.75</v>
      </c>
      <c r="I1448" s="8">
        <v>551.69000000000005</v>
      </c>
      <c r="J1448" s="8">
        <v>0.08</v>
      </c>
      <c r="K1448" t="str">
        <f>IF(SalesData[[#This Row],[Profit]]&gt;0,"Profit","Loss")</f>
        <v>Profit</v>
      </c>
      <c r="L1448" s="8">
        <f>SalesData[[#This Row],[Profit]]/SalesData[[#This Row],[Sales]]</f>
        <v>0.28872955645688869</v>
      </c>
      <c r="M1448" t="str">
        <f>TEXT(SalesData[[#This Row],[Order_Date]],"mmm")</f>
        <v>Mar</v>
      </c>
      <c r="N1448">
        <f>YEAR(SalesData[[#This Row],[Order_Date]])</f>
        <v>2023</v>
      </c>
    </row>
    <row r="1449" spans="1:14" x14ac:dyDescent="0.3">
      <c r="A1449" t="s">
        <v>2623</v>
      </c>
      <c r="B1449" s="1">
        <v>44684</v>
      </c>
      <c r="C1449" t="s">
        <v>2078</v>
      </c>
      <c r="D1449" t="s">
        <v>28</v>
      </c>
      <c r="E1449" t="s">
        <v>56</v>
      </c>
      <c r="F1449" t="s">
        <v>95</v>
      </c>
      <c r="G1449" t="s">
        <v>1818</v>
      </c>
      <c r="H1449" s="8">
        <v>1545.21</v>
      </c>
      <c r="I1449" s="8">
        <v>299.45</v>
      </c>
      <c r="J1449" s="8">
        <v>0.03</v>
      </c>
      <c r="K1449" t="str">
        <f>IF(SalesData[[#This Row],[Profit]]&gt;0,"Profit","Loss")</f>
        <v>Profit</v>
      </c>
      <c r="L1449" s="8">
        <f>SalesData[[#This Row],[Profit]]/SalesData[[#This Row],[Sales]]</f>
        <v>0.1937924295079633</v>
      </c>
      <c r="M1449" t="str">
        <f>TEXT(SalesData[[#This Row],[Order_Date]],"mmm")</f>
        <v>May</v>
      </c>
      <c r="N1449">
        <f>YEAR(SalesData[[#This Row],[Order_Date]])</f>
        <v>2022</v>
      </c>
    </row>
    <row r="1450" spans="1:14" x14ac:dyDescent="0.3">
      <c r="A1450" t="s">
        <v>2624</v>
      </c>
      <c r="B1450" s="1">
        <v>44681</v>
      </c>
      <c r="C1450" t="s">
        <v>837</v>
      </c>
      <c r="D1450" t="s">
        <v>12</v>
      </c>
      <c r="E1450" t="s">
        <v>19</v>
      </c>
      <c r="F1450" t="s">
        <v>20</v>
      </c>
      <c r="G1450" t="s">
        <v>2110</v>
      </c>
      <c r="H1450" s="8">
        <v>4336.0600000000004</v>
      </c>
      <c r="I1450" s="8">
        <v>-264.58999999999997</v>
      </c>
      <c r="J1450" s="8">
        <v>0.3</v>
      </c>
      <c r="K1450" t="str">
        <f>IF(SalesData[[#This Row],[Profit]]&gt;0,"Profit","Loss")</f>
        <v>Loss</v>
      </c>
      <c r="L1450" s="8">
        <f>SalesData[[#This Row],[Profit]]/SalesData[[#This Row],[Sales]]</f>
        <v>-6.1020834582547277E-2</v>
      </c>
      <c r="M1450" t="str">
        <f>TEXT(SalesData[[#This Row],[Order_Date]],"mmm")</f>
        <v>Apr</v>
      </c>
      <c r="N1450">
        <f>YEAR(SalesData[[#This Row],[Order_Date]])</f>
        <v>2022</v>
      </c>
    </row>
    <row r="1451" spans="1:14" x14ac:dyDescent="0.3">
      <c r="A1451" t="s">
        <v>2625</v>
      </c>
      <c r="B1451" s="1">
        <v>45026</v>
      </c>
      <c r="C1451" t="s">
        <v>1169</v>
      </c>
      <c r="D1451" t="s">
        <v>12</v>
      </c>
      <c r="E1451" t="s">
        <v>56</v>
      </c>
      <c r="F1451" t="s">
        <v>73</v>
      </c>
      <c r="G1451" t="s">
        <v>1550</v>
      </c>
      <c r="H1451" s="8">
        <v>464.32</v>
      </c>
      <c r="I1451" s="8">
        <v>-22.66</v>
      </c>
      <c r="J1451" s="8">
        <v>0.05</v>
      </c>
      <c r="K1451" t="str">
        <f>IF(SalesData[[#This Row],[Profit]]&gt;0,"Profit","Loss")</f>
        <v>Loss</v>
      </c>
      <c r="L1451" s="8">
        <f>SalesData[[#This Row],[Profit]]/SalesData[[#This Row],[Sales]]</f>
        <v>-4.8802549965541009E-2</v>
      </c>
      <c r="M1451" t="str">
        <f>TEXT(SalesData[[#This Row],[Order_Date]],"mmm")</f>
        <v>Apr</v>
      </c>
      <c r="N1451">
        <f>YEAR(SalesData[[#This Row],[Order_Date]])</f>
        <v>2023</v>
      </c>
    </row>
    <row r="1452" spans="1:14" x14ac:dyDescent="0.3">
      <c r="A1452" t="s">
        <v>2626</v>
      </c>
      <c r="B1452" s="1">
        <v>45284</v>
      </c>
      <c r="C1452" t="s">
        <v>1583</v>
      </c>
      <c r="D1452" t="s">
        <v>40</v>
      </c>
      <c r="E1452" t="s">
        <v>13</v>
      </c>
      <c r="F1452" t="s">
        <v>36</v>
      </c>
      <c r="G1452" t="s">
        <v>2550</v>
      </c>
      <c r="H1452" s="8">
        <v>4472.1400000000003</v>
      </c>
      <c r="I1452" s="8">
        <v>-669.64</v>
      </c>
      <c r="J1452" s="8">
        <v>0.01</v>
      </c>
      <c r="K1452" t="str">
        <f>IF(SalesData[[#This Row],[Profit]]&gt;0,"Profit","Loss")</f>
        <v>Loss</v>
      </c>
      <c r="L1452" s="8">
        <f>SalesData[[#This Row],[Profit]]/SalesData[[#This Row],[Sales]]</f>
        <v>-0.14973592061071431</v>
      </c>
      <c r="M1452" t="str">
        <f>TEXT(SalesData[[#This Row],[Order_Date]],"mmm")</f>
        <v>Dec</v>
      </c>
      <c r="N1452">
        <f>YEAR(SalesData[[#This Row],[Order_Date]])</f>
        <v>2023</v>
      </c>
    </row>
    <row r="1453" spans="1:14" x14ac:dyDescent="0.3">
      <c r="A1453" t="s">
        <v>2627</v>
      </c>
      <c r="B1453" s="1">
        <v>45204</v>
      </c>
      <c r="C1453" t="s">
        <v>134</v>
      </c>
      <c r="D1453" t="s">
        <v>18</v>
      </c>
      <c r="E1453" t="s">
        <v>13</v>
      </c>
      <c r="F1453" t="s">
        <v>24</v>
      </c>
      <c r="G1453" t="s">
        <v>551</v>
      </c>
      <c r="H1453" s="8">
        <v>4204.41</v>
      </c>
      <c r="I1453" s="8">
        <v>754.73</v>
      </c>
      <c r="J1453" s="8">
        <v>0.19</v>
      </c>
      <c r="K1453" t="str">
        <f>IF(SalesData[[#This Row],[Profit]]&gt;0,"Profit","Loss")</f>
        <v>Profit</v>
      </c>
      <c r="L1453" s="8">
        <f>SalesData[[#This Row],[Profit]]/SalesData[[#This Row],[Sales]]</f>
        <v>0.17950913445643979</v>
      </c>
      <c r="M1453" t="str">
        <f>TEXT(SalesData[[#This Row],[Order_Date]],"mmm")</f>
        <v>Oct</v>
      </c>
      <c r="N1453">
        <f>YEAR(SalesData[[#This Row],[Order_Date]])</f>
        <v>2023</v>
      </c>
    </row>
    <row r="1454" spans="1:14" x14ac:dyDescent="0.3">
      <c r="A1454" t="s">
        <v>2628</v>
      </c>
      <c r="B1454" s="1">
        <v>45043</v>
      </c>
      <c r="C1454" t="s">
        <v>2615</v>
      </c>
      <c r="D1454" t="s">
        <v>28</v>
      </c>
      <c r="E1454" t="s">
        <v>13</v>
      </c>
      <c r="F1454" t="s">
        <v>36</v>
      </c>
      <c r="G1454" t="s">
        <v>891</v>
      </c>
      <c r="H1454" s="8">
        <v>4373.3599999999997</v>
      </c>
      <c r="I1454" s="8">
        <v>-667.34</v>
      </c>
      <c r="J1454" s="8">
        <v>7.0000000000000007E-2</v>
      </c>
      <c r="K1454" t="str">
        <f>IF(SalesData[[#This Row],[Profit]]&gt;0,"Profit","Loss")</f>
        <v>Loss</v>
      </c>
      <c r="L1454" s="8">
        <f>SalesData[[#This Row],[Profit]]/SalesData[[#This Row],[Sales]]</f>
        <v>-0.15259205736550388</v>
      </c>
      <c r="M1454" t="str">
        <f>TEXT(SalesData[[#This Row],[Order_Date]],"mmm")</f>
        <v>Apr</v>
      </c>
      <c r="N1454">
        <f>YEAR(SalesData[[#This Row],[Order_Date]])</f>
        <v>2023</v>
      </c>
    </row>
    <row r="1455" spans="1:14" x14ac:dyDescent="0.3">
      <c r="A1455" t="s">
        <v>2629</v>
      </c>
      <c r="B1455" s="1">
        <v>44652</v>
      </c>
      <c r="C1455" t="s">
        <v>2380</v>
      </c>
      <c r="D1455" t="s">
        <v>18</v>
      </c>
      <c r="E1455" t="s">
        <v>56</v>
      </c>
      <c r="F1455" t="s">
        <v>73</v>
      </c>
      <c r="G1455" t="s">
        <v>1074</v>
      </c>
      <c r="H1455" s="8">
        <v>2533.96</v>
      </c>
      <c r="I1455" s="8">
        <v>356.94</v>
      </c>
      <c r="J1455" s="8">
        <v>0.04</v>
      </c>
      <c r="K1455" t="str">
        <f>IF(SalesData[[#This Row],[Profit]]&gt;0,"Profit","Loss")</f>
        <v>Profit</v>
      </c>
      <c r="L1455" s="8">
        <f>SalesData[[#This Row],[Profit]]/SalesData[[#This Row],[Sales]]</f>
        <v>0.14086252348103365</v>
      </c>
      <c r="M1455" t="str">
        <f>TEXT(SalesData[[#This Row],[Order_Date]],"mmm")</f>
        <v>Apr</v>
      </c>
      <c r="N1455">
        <f>YEAR(SalesData[[#This Row],[Order_Date]])</f>
        <v>2022</v>
      </c>
    </row>
    <row r="1456" spans="1:14" x14ac:dyDescent="0.3">
      <c r="A1456" t="s">
        <v>2630</v>
      </c>
      <c r="B1456" s="1">
        <v>44601</v>
      </c>
      <c r="C1456" t="s">
        <v>541</v>
      </c>
      <c r="D1456" t="s">
        <v>40</v>
      </c>
      <c r="E1456" t="s">
        <v>19</v>
      </c>
      <c r="F1456" t="s">
        <v>20</v>
      </c>
      <c r="G1456" t="s">
        <v>755</v>
      </c>
      <c r="H1456" s="8">
        <v>2504.39</v>
      </c>
      <c r="I1456" s="8">
        <v>115.19</v>
      </c>
      <c r="J1456" s="8">
        <v>0.18</v>
      </c>
      <c r="K1456" t="str">
        <f>IF(SalesData[[#This Row],[Profit]]&gt;0,"Profit","Loss")</f>
        <v>Profit</v>
      </c>
      <c r="L1456" s="8">
        <f>SalesData[[#This Row],[Profit]]/SalesData[[#This Row],[Sales]]</f>
        <v>4.5995232371954846E-2</v>
      </c>
      <c r="M1456" t="str">
        <f>TEXT(SalesData[[#This Row],[Order_Date]],"mmm")</f>
        <v>Feb</v>
      </c>
      <c r="N1456">
        <f>YEAR(SalesData[[#This Row],[Order_Date]])</f>
        <v>2022</v>
      </c>
    </row>
    <row r="1457" spans="1:14" x14ac:dyDescent="0.3">
      <c r="A1457" t="s">
        <v>2631</v>
      </c>
      <c r="B1457" s="1">
        <v>45234</v>
      </c>
      <c r="C1457" t="s">
        <v>1860</v>
      </c>
      <c r="D1457" t="s">
        <v>40</v>
      </c>
      <c r="E1457" t="s">
        <v>19</v>
      </c>
      <c r="F1457" t="s">
        <v>141</v>
      </c>
      <c r="G1457" t="s">
        <v>225</v>
      </c>
      <c r="H1457" s="8">
        <v>2961.1</v>
      </c>
      <c r="I1457" s="8">
        <v>-294.51</v>
      </c>
      <c r="J1457" s="8">
        <v>0.19</v>
      </c>
      <c r="K1457" t="str">
        <f>IF(SalesData[[#This Row],[Profit]]&gt;0,"Profit","Loss")</f>
        <v>Loss</v>
      </c>
      <c r="L1457" s="8">
        <f>SalesData[[#This Row],[Profit]]/SalesData[[#This Row],[Sales]]</f>
        <v>-9.9459660261389346E-2</v>
      </c>
      <c r="M1457" t="str">
        <f>TEXT(SalesData[[#This Row],[Order_Date]],"mmm")</f>
        <v>Nov</v>
      </c>
      <c r="N1457">
        <f>YEAR(SalesData[[#This Row],[Order_Date]])</f>
        <v>2023</v>
      </c>
    </row>
    <row r="1458" spans="1:14" x14ac:dyDescent="0.3">
      <c r="A1458" t="s">
        <v>2632</v>
      </c>
      <c r="B1458" s="1">
        <v>45174</v>
      </c>
      <c r="C1458" t="s">
        <v>1767</v>
      </c>
      <c r="D1458" t="s">
        <v>28</v>
      </c>
      <c r="E1458" t="s">
        <v>56</v>
      </c>
      <c r="F1458" t="s">
        <v>95</v>
      </c>
      <c r="G1458" t="s">
        <v>789</v>
      </c>
      <c r="H1458" s="8">
        <v>3373.08</v>
      </c>
      <c r="I1458" s="8">
        <v>94.5</v>
      </c>
      <c r="J1458" s="8">
        <v>0.15</v>
      </c>
      <c r="K1458" t="str">
        <f>IF(SalesData[[#This Row],[Profit]]&gt;0,"Profit","Loss")</f>
        <v>Profit</v>
      </c>
      <c r="L1458" s="8">
        <f>SalesData[[#This Row],[Profit]]/SalesData[[#This Row],[Sales]]</f>
        <v>2.8015937955814862E-2</v>
      </c>
      <c r="M1458" t="str">
        <f>TEXT(SalesData[[#This Row],[Order_Date]],"mmm")</f>
        <v>Sep</v>
      </c>
      <c r="N1458">
        <f>YEAR(SalesData[[#This Row],[Order_Date]])</f>
        <v>2023</v>
      </c>
    </row>
    <row r="1459" spans="1:14" x14ac:dyDescent="0.3">
      <c r="A1459" t="s">
        <v>2633</v>
      </c>
      <c r="B1459" s="1">
        <v>44856</v>
      </c>
      <c r="C1459" t="s">
        <v>2634</v>
      </c>
      <c r="D1459" t="s">
        <v>28</v>
      </c>
      <c r="E1459" t="s">
        <v>56</v>
      </c>
      <c r="F1459" t="s">
        <v>57</v>
      </c>
      <c r="G1459" t="s">
        <v>1376</v>
      </c>
      <c r="H1459" s="8">
        <v>650.6</v>
      </c>
      <c r="I1459" s="8">
        <v>-4.57</v>
      </c>
      <c r="J1459" s="8">
        <v>0.26</v>
      </c>
      <c r="K1459" t="str">
        <f>IF(SalesData[[#This Row],[Profit]]&gt;0,"Profit","Loss")</f>
        <v>Loss</v>
      </c>
      <c r="L1459" s="8">
        <f>SalesData[[#This Row],[Profit]]/SalesData[[#This Row],[Sales]]</f>
        <v>-7.0242852751306491E-3</v>
      </c>
      <c r="M1459" t="str">
        <f>TEXT(SalesData[[#This Row],[Order_Date]],"mmm")</f>
        <v>Oct</v>
      </c>
      <c r="N1459">
        <f>YEAR(SalesData[[#This Row],[Order_Date]])</f>
        <v>2022</v>
      </c>
    </row>
    <row r="1460" spans="1:14" x14ac:dyDescent="0.3">
      <c r="A1460" t="s">
        <v>2635</v>
      </c>
      <c r="B1460" s="1">
        <v>45238</v>
      </c>
      <c r="C1460" t="s">
        <v>1700</v>
      </c>
      <c r="D1460" t="s">
        <v>40</v>
      </c>
      <c r="E1460" t="s">
        <v>56</v>
      </c>
      <c r="F1460" t="s">
        <v>73</v>
      </c>
      <c r="G1460" t="s">
        <v>942</v>
      </c>
      <c r="H1460" s="8">
        <v>2181.84</v>
      </c>
      <c r="I1460" s="8">
        <v>706.46</v>
      </c>
      <c r="J1460" s="8">
        <v>0.05</v>
      </c>
      <c r="K1460" t="str">
        <f>IF(SalesData[[#This Row],[Profit]]&gt;0,"Profit","Loss")</f>
        <v>Profit</v>
      </c>
      <c r="L1460" s="8">
        <f>SalesData[[#This Row],[Profit]]/SalesData[[#This Row],[Sales]]</f>
        <v>0.32379092875737908</v>
      </c>
      <c r="M1460" t="str">
        <f>TEXT(SalesData[[#This Row],[Order_Date]],"mmm")</f>
        <v>Nov</v>
      </c>
      <c r="N1460">
        <f>YEAR(SalesData[[#This Row],[Order_Date]])</f>
        <v>2023</v>
      </c>
    </row>
    <row r="1461" spans="1:14" x14ac:dyDescent="0.3">
      <c r="A1461" t="s">
        <v>2636</v>
      </c>
      <c r="B1461" s="1">
        <v>45062</v>
      </c>
      <c r="C1461" t="s">
        <v>2408</v>
      </c>
      <c r="D1461" t="s">
        <v>28</v>
      </c>
      <c r="E1461" t="s">
        <v>19</v>
      </c>
      <c r="F1461" t="s">
        <v>141</v>
      </c>
      <c r="G1461" t="s">
        <v>420</v>
      </c>
      <c r="H1461" s="8">
        <v>727.48</v>
      </c>
      <c r="I1461" s="8">
        <v>32.06</v>
      </c>
      <c r="J1461" s="8">
        <v>0.26</v>
      </c>
      <c r="K1461" t="str">
        <f>IF(SalesData[[#This Row],[Profit]]&gt;0,"Profit","Loss")</f>
        <v>Profit</v>
      </c>
      <c r="L1461" s="8">
        <f>SalesData[[#This Row],[Profit]]/SalesData[[#This Row],[Sales]]</f>
        <v>4.4069940067080884E-2</v>
      </c>
      <c r="M1461" t="str">
        <f>TEXT(SalesData[[#This Row],[Order_Date]],"mmm")</f>
        <v>May</v>
      </c>
      <c r="N1461">
        <f>YEAR(SalesData[[#This Row],[Order_Date]])</f>
        <v>2023</v>
      </c>
    </row>
    <row r="1462" spans="1:14" x14ac:dyDescent="0.3">
      <c r="A1462" t="s">
        <v>2637</v>
      </c>
      <c r="B1462" s="1">
        <v>44980</v>
      </c>
      <c r="C1462" t="s">
        <v>1465</v>
      </c>
      <c r="D1462" t="s">
        <v>40</v>
      </c>
      <c r="E1462" t="s">
        <v>56</v>
      </c>
      <c r="F1462" t="s">
        <v>57</v>
      </c>
      <c r="G1462" t="s">
        <v>1011</v>
      </c>
      <c r="H1462" s="8">
        <v>1525.56</v>
      </c>
      <c r="I1462" s="8">
        <v>280.52999999999997</v>
      </c>
      <c r="J1462" s="8">
        <v>0.15</v>
      </c>
      <c r="K1462" t="str">
        <f>IF(SalesData[[#This Row],[Profit]]&gt;0,"Profit","Loss")</f>
        <v>Profit</v>
      </c>
      <c r="L1462" s="8">
        <f>SalesData[[#This Row],[Profit]]/SalesData[[#This Row],[Sales]]</f>
        <v>0.18388657279949658</v>
      </c>
      <c r="M1462" t="str">
        <f>TEXT(SalesData[[#This Row],[Order_Date]],"mmm")</f>
        <v>Feb</v>
      </c>
      <c r="N1462">
        <f>YEAR(SalesData[[#This Row],[Order_Date]])</f>
        <v>2023</v>
      </c>
    </row>
    <row r="1463" spans="1:14" x14ac:dyDescent="0.3">
      <c r="A1463" t="s">
        <v>2638</v>
      </c>
      <c r="B1463" s="1">
        <v>44828</v>
      </c>
      <c r="C1463" t="s">
        <v>1073</v>
      </c>
      <c r="D1463" t="s">
        <v>40</v>
      </c>
      <c r="E1463" t="s">
        <v>13</v>
      </c>
      <c r="F1463" t="s">
        <v>36</v>
      </c>
      <c r="G1463" t="s">
        <v>2141</v>
      </c>
      <c r="H1463" s="8">
        <v>2115.02</v>
      </c>
      <c r="I1463" s="8">
        <v>-391.03</v>
      </c>
      <c r="J1463" s="8">
        <v>0.24</v>
      </c>
      <c r="K1463" t="str">
        <f>IF(SalesData[[#This Row],[Profit]]&gt;0,"Profit","Loss")</f>
        <v>Loss</v>
      </c>
      <c r="L1463" s="8">
        <f>SalesData[[#This Row],[Profit]]/SalesData[[#This Row],[Sales]]</f>
        <v>-0.18488241245945664</v>
      </c>
      <c r="M1463" t="str">
        <f>TEXT(SalesData[[#This Row],[Order_Date]],"mmm")</f>
        <v>Sep</v>
      </c>
      <c r="N1463">
        <f>YEAR(SalesData[[#This Row],[Order_Date]])</f>
        <v>2022</v>
      </c>
    </row>
    <row r="1464" spans="1:14" x14ac:dyDescent="0.3">
      <c r="A1464" t="s">
        <v>2639</v>
      </c>
      <c r="B1464" s="1">
        <v>44981</v>
      </c>
      <c r="C1464" t="s">
        <v>267</v>
      </c>
      <c r="D1464" t="s">
        <v>18</v>
      </c>
      <c r="E1464" t="s">
        <v>13</v>
      </c>
      <c r="F1464" t="s">
        <v>14</v>
      </c>
      <c r="G1464" t="s">
        <v>806</v>
      </c>
      <c r="H1464" s="8">
        <v>1765.22</v>
      </c>
      <c r="I1464" s="8">
        <v>-467.6</v>
      </c>
      <c r="J1464" s="8">
        <v>0.25</v>
      </c>
      <c r="K1464" t="str">
        <f>IF(SalesData[[#This Row],[Profit]]&gt;0,"Profit","Loss")</f>
        <v>Loss</v>
      </c>
      <c r="L1464" s="8">
        <f>SalesData[[#This Row],[Profit]]/SalesData[[#This Row],[Sales]]</f>
        <v>-0.26489616025197993</v>
      </c>
      <c r="M1464" t="str">
        <f>TEXT(SalesData[[#This Row],[Order_Date]],"mmm")</f>
        <v>Feb</v>
      </c>
      <c r="N1464">
        <f>YEAR(SalesData[[#This Row],[Order_Date]])</f>
        <v>2023</v>
      </c>
    </row>
    <row r="1465" spans="1:14" x14ac:dyDescent="0.3">
      <c r="A1465" t="s">
        <v>2640</v>
      </c>
      <c r="B1465" s="1">
        <v>44694</v>
      </c>
      <c r="C1465" t="s">
        <v>2348</v>
      </c>
      <c r="D1465" t="s">
        <v>12</v>
      </c>
      <c r="E1465" t="s">
        <v>56</v>
      </c>
      <c r="F1465" t="s">
        <v>73</v>
      </c>
      <c r="G1465" t="s">
        <v>205</v>
      </c>
      <c r="H1465" s="8">
        <v>640.54999999999995</v>
      </c>
      <c r="I1465" s="8">
        <v>-79.14</v>
      </c>
      <c r="J1465" s="8">
        <v>0.28999999999999998</v>
      </c>
      <c r="K1465" t="str">
        <f>IF(SalesData[[#This Row],[Profit]]&gt;0,"Profit","Loss")</f>
        <v>Loss</v>
      </c>
      <c r="L1465" s="8">
        <f>SalesData[[#This Row],[Profit]]/SalesData[[#This Row],[Sales]]</f>
        <v>-0.12355007415502303</v>
      </c>
      <c r="M1465" t="str">
        <f>TEXT(SalesData[[#This Row],[Order_Date]],"mmm")</f>
        <v>May</v>
      </c>
      <c r="N1465">
        <f>YEAR(SalesData[[#This Row],[Order_Date]])</f>
        <v>2022</v>
      </c>
    </row>
    <row r="1466" spans="1:14" x14ac:dyDescent="0.3">
      <c r="A1466" t="s">
        <v>2641</v>
      </c>
      <c r="B1466" s="1">
        <v>44923</v>
      </c>
      <c r="C1466" t="s">
        <v>2148</v>
      </c>
      <c r="D1466" t="s">
        <v>12</v>
      </c>
      <c r="E1466" t="s">
        <v>13</v>
      </c>
      <c r="F1466" t="s">
        <v>14</v>
      </c>
      <c r="G1466" t="s">
        <v>1132</v>
      </c>
      <c r="H1466" s="8">
        <v>4031.82</v>
      </c>
      <c r="I1466" s="8">
        <v>777.49</v>
      </c>
      <c r="J1466" s="8">
        <v>0.03</v>
      </c>
      <c r="K1466" t="str">
        <f>IF(SalesData[[#This Row],[Profit]]&gt;0,"Profit","Loss")</f>
        <v>Profit</v>
      </c>
      <c r="L1466" s="8">
        <f>SalesData[[#This Row],[Profit]]/SalesData[[#This Row],[Sales]]</f>
        <v>0.19283846997137769</v>
      </c>
      <c r="M1466" t="str">
        <f>TEXT(SalesData[[#This Row],[Order_Date]],"mmm")</f>
        <v>Dec</v>
      </c>
      <c r="N1466">
        <f>YEAR(SalesData[[#This Row],[Order_Date]])</f>
        <v>2022</v>
      </c>
    </row>
    <row r="1467" spans="1:14" x14ac:dyDescent="0.3">
      <c r="A1467" t="s">
        <v>2642</v>
      </c>
      <c r="B1467" s="1">
        <v>45110</v>
      </c>
      <c r="C1467" t="s">
        <v>2643</v>
      </c>
      <c r="D1467" t="s">
        <v>18</v>
      </c>
      <c r="E1467" t="s">
        <v>56</v>
      </c>
      <c r="F1467" t="s">
        <v>73</v>
      </c>
      <c r="G1467" t="s">
        <v>479</v>
      </c>
      <c r="H1467" s="8">
        <v>1131.27</v>
      </c>
      <c r="I1467" s="8">
        <v>261.47000000000003</v>
      </c>
      <c r="J1467" s="8">
        <v>0.16</v>
      </c>
      <c r="K1467" t="str">
        <f>IF(SalesData[[#This Row],[Profit]]&gt;0,"Profit","Loss")</f>
        <v>Profit</v>
      </c>
      <c r="L1467" s="8">
        <f>SalesData[[#This Row],[Profit]]/SalesData[[#This Row],[Sales]]</f>
        <v>0.23112961538801527</v>
      </c>
      <c r="M1467" t="str">
        <f>TEXT(SalesData[[#This Row],[Order_Date]],"mmm")</f>
        <v>Jul</v>
      </c>
      <c r="N1467">
        <f>YEAR(SalesData[[#This Row],[Order_Date]])</f>
        <v>2023</v>
      </c>
    </row>
    <row r="1468" spans="1:14" x14ac:dyDescent="0.3">
      <c r="A1468" t="s">
        <v>2644</v>
      </c>
      <c r="B1468" s="1">
        <v>44575</v>
      </c>
      <c r="C1468" t="s">
        <v>983</v>
      </c>
      <c r="D1468" t="s">
        <v>12</v>
      </c>
      <c r="E1468" t="s">
        <v>56</v>
      </c>
      <c r="F1468" t="s">
        <v>95</v>
      </c>
      <c r="G1468" t="s">
        <v>236</v>
      </c>
      <c r="H1468" s="8">
        <v>1724.36</v>
      </c>
      <c r="I1468" s="8">
        <v>310.39</v>
      </c>
      <c r="J1468" s="8">
        <v>0.06</v>
      </c>
      <c r="K1468" t="str">
        <f>IF(SalesData[[#This Row],[Profit]]&gt;0,"Profit","Loss")</f>
        <v>Profit</v>
      </c>
      <c r="L1468" s="8">
        <f>SalesData[[#This Row],[Profit]]/SalesData[[#This Row],[Sales]]</f>
        <v>0.18000301561158924</v>
      </c>
      <c r="M1468" t="str">
        <f>TEXT(SalesData[[#This Row],[Order_Date]],"mmm")</f>
        <v>Jan</v>
      </c>
      <c r="N1468">
        <f>YEAR(SalesData[[#This Row],[Order_Date]])</f>
        <v>2022</v>
      </c>
    </row>
    <row r="1469" spans="1:14" x14ac:dyDescent="0.3">
      <c r="A1469" t="s">
        <v>2645</v>
      </c>
      <c r="B1469" s="1">
        <v>44851</v>
      </c>
      <c r="C1469" t="s">
        <v>1242</v>
      </c>
      <c r="D1469" t="s">
        <v>12</v>
      </c>
      <c r="E1469" t="s">
        <v>13</v>
      </c>
      <c r="F1469" t="s">
        <v>14</v>
      </c>
      <c r="G1469" t="s">
        <v>816</v>
      </c>
      <c r="H1469" s="8">
        <v>2557.35</v>
      </c>
      <c r="I1469" s="8">
        <v>-1060.3499999999999</v>
      </c>
      <c r="J1469" s="8">
        <v>0.24</v>
      </c>
      <c r="K1469" t="str">
        <f>IF(SalesData[[#This Row],[Profit]]&gt;0,"Profit","Loss")</f>
        <v>Loss</v>
      </c>
      <c r="L1469" s="8">
        <f>SalesData[[#This Row],[Profit]]/SalesData[[#This Row],[Sales]]</f>
        <v>-0.41462842395448413</v>
      </c>
      <c r="M1469" t="str">
        <f>TEXT(SalesData[[#This Row],[Order_Date]],"mmm")</f>
        <v>Oct</v>
      </c>
      <c r="N1469">
        <f>YEAR(SalesData[[#This Row],[Order_Date]])</f>
        <v>2022</v>
      </c>
    </row>
    <row r="1470" spans="1:14" x14ac:dyDescent="0.3">
      <c r="A1470" t="s">
        <v>2646</v>
      </c>
      <c r="B1470" s="1">
        <v>44948</v>
      </c>
      <c r="C1470" t="s">
        <v>2537</v>
      </c>
      <c r="D1470" t="s">
        <v>28</v>
      </c>
      <c r="E1470" t="s">
        <v>13</v>
      </c>
      <c r="F1470" t="s">
        <v>24</v>
      </c>
      <c r="G1470" t="s">
        <v>2294</v>
      </c>
      <c r="H1470" s="8">
        <v>1311.81</v>
      </c>
      <c r="I1470" s="8">
        <v>-269.99</v>
      </c>
      <c r="J1470" s="8">
        <v>0.08</v>
      </c>
      <c r="K1470" t="str">
        <f>IF(SalesData[[#This Row],[Profit]]&gt;0,"Profit","Loss")</f>
        <v>Loss</v>
      </c>
      <c r="L1470" s="8">
        <f>SalesData[[#This Row],[Profit]]/SalesData[[#This Row],[Sales]]</f>
        <v>-0.20581486648218875</v>
      </c>
      <c r="M1470" t="str">
        <f>TEXT(SalesData[[#This Row],[Order_Date]],"mmm")</f>
        <v>Jan</v>
      </c>
      <c r="N1470">
        <f>YEAR(SalesData[[#This Row],[Order_Date]])</f>
        <v>2023</v>
      </c>
    </row>
    <row r="1471" spans="1:14" x14ac:dyDescent="0.3">
      <c r="A1471" t="s">
        <v>2647</v>
      </c>
      <c r="B1471" s="1">
        <v>45282</v>
      </c>
      <c r="C1471" t="s">
        <v>1499</v>
      </c>
      <c r="D1471" t="s">
        <v>28</v>
      </c>
      <c r="E1471" t="s">
        <v>13</v>
      </c>
      <c r="F1471" t="s">
        <v>36</v>
      </c>
      <c r="G1471" t="s">
        <v>1449</v>
      </c>
      <c r="H1471" s="8">
        <v>4323.72</v>
      </c>
      <c r="I1471" s="8">
        <v>357.6</v>
      </c>
      <c r="J1471" s="8">
        <v>0.02</v>
      </c>
      <c r="K1471" t="str">
        <f>IF(SalesData[[#This Row],[Profit]]&gt;0,"Profit","Loss")</f>
        <v>Profit</v>
      </c>
      <c r="L1471" s="8">
        <f>SalesData[[#This Row],[Profit]]/SalesData[[#This Row],[Sales]]</f>
        <v>8.2706558241514253E-2</v>
      </c>
      <c r="M1471" t="str">
        <f>TEXT(SalesData[[#This Row],[Order_Date]],"mmm")</f>
        <v>Dec</v>
      </c>
      <c r="N1471">
        <f>YEAR(SalesData[[#This Row],[Order_Date]])</f>
        <v>2023</v>
      </c>
    </row>
    <row r="1472" spans="1:14" x14ac:dyDescent="0.3">
      <c r="A1472" t="s">
        <v>2648</v>
      </c>
      <c r="B1472" s="1">
        <v>45164</v>
      </c>
      <c r="C1472" t="s">
        <v>2126</v>
      </c>
      <c r="D1472" t="s">
        <v>18</v>
      </c>
      <c r="E1472" t="s">
        <v>56</v>
      </c>
      <c r="F1472" t="s">
        <v>73</v>
      </c>
      <c r="G1472" t="s">
        <v>395</v>
      </c>
      <c r="H1472" s="8">
        <v>4168.2299999999996</v>
      </c>
      <c r="I1472" s="8">
        <v>-1204.17</v>
      </c>
      <c r="J1472" s="8">
        <v>0.18</v>
      </c>
      <c r="K1472" t="str">
        <f>IF(SalesData[[#This Row],[Profit]]&gt;0,"Profit","Loss")</f>
        <v>Loss</v>
      </c>
      <c r="L1472" s="8">
        <f>SalesData[[#This Row],[Profit]]/SalesData[[#This Row],[Sales]]</f>
        <v>-0.28889240756868029</v>
      </c>
      <c r="M1472" t="str">
        <f>TEXT(SalesData[[#This Row],[Order_Date]],"mmm")</f>
        <v>Aug</v>
      </c>
      <c r="N1472">
        <f>YEAR(SalesData[[#This Row],[Order_Date]])</f>
        <v>2023</v>
      </c>
    </row>
    <row r="1473" spans="1:14" x14ac:dyDescent="0.3">
      <c r="A1473" t="s">
        <v>2649</v>
      </c>
      <c r="B1473" s="1">
        <v>44871</v>
      </c>
      <c r="C1473" t="s">
        <v>2059</v>
      </c>
      <c r="D1473" t="s">
        <v>28</v>
      </c>
      <c r="E1473" t="s">
        <v>13</v>
      </c>
      <c r="F1473" t="s">
        <v>36</v>
      </c>
      <c r="G1473" t="s">
        <v>2030</v>
      </c>
      <c r="H1473" s="8">
        <v>3945.38</v>
      </c>
      <c r="I1473" s="8">
        <v>458.02</v>
      </c>
      <c r="J1473" s="8">
        <v>0.13</v>
      </c>
      <c r="K1473" t="str">
        <f>IF(SalesData[[#This Row],[Profit]]&gt;0,"Profit","Loss")</f>
        <v>Profit</v>
      </c>
      <c r="L1473" s="8">
        <f>SalesData[[#This Row],[Profit]]/SalesData[[#This Row],[Sales]]</f>
        <v>0.11609021184271223</v>
      </c>
      <c r="M1473" t="str">
        <f>TEXT(SalesData[[#This Row],[Order_Date]],"mmm")</f>
        <v>Nov</v>
      </c>
      <c r="N1473">
        <f>YEAR(SalesData[[#This Row],[Order_Date]])</f>
        <v>2022</v>
      </c>
    </row>
    <row r="1474" spans="1:14" x14ac:dyDescent="0.3">
      <c r="A1474" t="s">
        <v>2650</v>
      </c>
      <c r="B1474" s="1">
        <v>45001</v>
      </c>
      <c r="C1474" t="s">
        <v>2378</v>
      </c>
      <c r="D1474" t="s">
        <v>18</v>
      </c>
      <c r="E1474" t="s">
        <v>56</v>
      </c>
      <c r="F1474" t="s">
        <v>95</v>
      </c>
      <c r="G1474" t="s">
        <v>401</v>
      </c>
      <c r="H1474" s="8">
        <v>4849.3900000000003</v>
      </c>
      <c r="I1474" s="8">
        <v>-698.56</v>
      </c>
      <c r="J1474" s="8">
        <v>0.17</v>
      </c>
      <c r="K1474" t="str">
        <f>IF(SalesData[[#This Row],[Profit]]&gt;0,"Profit","Loss")</f>
        <v>Loss</v>
      </c>
      <c r="L1474" s="8">
        <f>SalesData[[#This Row],[Profit]]/SalesData[[#This Row],[Sales]]</f>
        <v>-0.14405110745887625</v>
      </c>
      <c r="M1474" t="str">
        <f>TEXT(SalesData[[#This Row],[Order_Date]],"mmm")</f>
        <v>Mar</v>
      </c>
      <c r="N1474">
        <f>YEAR(SalesData[[#This Row],[Order_Date]])</f>
        <v>2023</v>
      </c>
    </row>
    <row r="1475" spans="1:14" x14ac:dyDescent="0.3">
      <c r="A1475" t="s">
        <v>2651</v>
      </c>
      <c r="B1475" s="1">
        <v>45080</v>
      </c>
      <c r="C1475" t="s">
        <v>2096</v>
      </c>
      <c r="D1475" t="s">
        <v>28</v>
      </c>
      <c r="E1475" t="s">
        <v>19</v>
      </c>
      <c r="F1475" t="s">
        <v>141</v>
      </c>
      <c r="G1475" t="s">
        <v>431</v>
      </c>
      <c r="H1475" s="8">
        <v>1464.93</v>
      </c>
      <c r="I1475" s="8">
        <v>192.97</v>
      </c>
      <c r="J1475" s="8">
        <v>0.09</v>
      </c>
      <c r="K1475" t="str">
        <f>IF(SalesData[[#This Row],[Profit]]&gt;0,"Profit","Loss")</f>
        <v>Profit</v>
      </c>
      <c r="L1475" s="8">
        <f>SalesData[[#This Row],[Profit]]/SalesData[[#This Row],[Sales]]</f>
        <v>0.13172643061443209</v>
      </c>
      <c r="M1475" t="str">
        <f>TEXT(SalesData[[#This Row],[Order_Date]],"mmm")</f>
        <v>Jun</v>
      </c>
      <c r="N1475">
        <f>YEAR(SalesData[[#This Row],[Order_Date]])</f>
        <v>2023</v>
      </c>
    </row>
    <row r="1476" spans="1:14" x14ac:dyDescent="0.3">
      <c r="A1476" t="s">
        <v>2652</v>
      </c>
      <c r="B1476" s="1">
        <v>44672</v>
      </c>
      <c r="C1476" t="s">
        <v>880</v>
      </c>
      <c r="D1476" t="s">
        <v>18</v>
      </c>
      <c r="E1476" t="s">
        <v>19</v>
      </c>
      <c r="F1476" t="s">
        <v>141</v>
      </c>
      <c r="G1476" t="s">
        <v>1389</v>
      </c>
      <c r="H1476" s="8">
        <v>2028.86</v>
      </c>
      <c r="I1476" s="8">
        <v>36.42</v>
      </c>
      <c r="J1476" s="8">
        <v>0.11</v>
      </c>
      <c r="K1476" t="str">
        <f>IF(SalesData[[#This Row],[Profit]]&gt;0,"Profit","Loss")</f>
        <v>Profit</v>
      </c>
      <c r="L1476" s="8">
        <f>SalesData[[#This Row],[Profit]]/SalesData[[#This Row],[Sales]]</f>
        <v>1.7950967538420591E-2</v>
      </c>
      <c r="M1476" t="str">
        <f>TEXT(SalesData[[#This Row],[Order_Date]],"mmm")</f>
        <v>Apr</v>
      </c>
      <c r="N1476">
        <f>YEAR(SalesData[[#This Row],[Order_Date]])</f>
        <v>2022</v>
      </c>
    </row>
    <row r="1477" spans="1:14" x14ac:dyDescent="0.3">
      <c r="A1477" t="s">
        <v>2653</v>
      </c>
      <c r="B1477" s="1">
        <v>44673</v>
      </c>
      <c r="C1477" t="s">
        <v>569</v>
      </c>
      <c r="D1477" t="s">
        <v>40</v>
      </c>
      <c r="E1477" t="s">
        <v>56</v>
      </c>
      <c r="F1477" t="s">
        <v>95</v>
      </c>
      <c r="G1477" t="s">
        <v>345</v>
      </c>
      <c r="H1477" s="8">
        <v>3878.91</v>
      </c>
      <c r="I1477" s="8">
        <v>-170.35</v>
      </c>
      <c r="J1477" s="8">
        <v>0.13</v>
      </c>
      <c r="K1477" t="str">
        <f>IF(SalesData[[#This Row],[Profit]]&gt;0,"Profit","Loss")</f>
        <v>Loss</v>
      </c>
      <c r="L1477" s="8">
        <f>SalesData[[#This Row],[Profit]]/SalesData[[#This Row],[Sales]]</f>
        <v>-4.3916976676437451E-2</v>
      </c>
      <c r="M1477" t="str">
        <f>TEXT(SalesData[[#This Row],[Order_Date]],"mmm")</f>
        <v>Apr</v>
      </c>
      <c r="N1477">
        <f>YEAR(SalesData[[#This Row],[Order_Date]])</f>
        <v>2022</v>
      </c>
    </row>
    <row r="1478" spans="1:14" x14ac:dyDescent="0.3">
      <c r="A1478" t="s">
        <v>2654</v>
      </c>
      <c r="B1478" s="1">
        <v>45063</v>
      </c>
      <c r="C1478" t="s">
        <v>662</v>
      </c>
      <c r="D1478" t="s">
        <v>18</v>
      </c>
      <c r="E1478" t="s">
        <v>56</v>
      </c>
      <c r="F1478" t="s">
        <v>73</v>
      </c>
      <c r="G1478" t="s">
        <v>228</v>
      </c>
      <c r="H1478" s="8">
        <v>4881.51</v>
      </c>
      <c r="I1478" s="8">
        <v>-627.01</v>
      </c>
      <c r="J1478" s="8">
        <v>0.03</v>
      </c>
      <c r="K1478" t="str">
        <f>IF(SalesData[[#This Row],[Profit]]&gt;0,"Profit","Loss")</f>
        <v>Loss</v>
      </c>
      <c r="L1478" s="8">
        <f>SalesData[[#This Row],[Profit]]/SalesData[[#This Row],[Sales]]</f>
        <v>-0.12844591120370541</v>
      </c>
      <c r="M1478" t="str">
        <f>TEXT(SalesData[[#This Row],[Order_Date]],"mmm")</f>
        <v>May</v>
      </c>
      <c r="N1478">
        <f>YEAR(SalesData[[#This Row],[Order_Date]])</f>
        <v>2023</v>
      </c>
    </row>
    <row r="1479" spans="1:14" x14ac:dyDescent="0.3">
      <c r="A1479" t="s">
        <v>2655</v>
      </c>
      <c r="B1479" s="1">
        <v>45142</v>
      </c>
      <c r="C1479" t="s">
        <v>79</v>
      </c>
      <c r="D1479" t="s">
        <v>18</v>
      </c>
      <c r="E1479" t="s">
        <v>56</v>
      </c>
      <c r="F1479" t="s">
        <v>95</v>
      </c>
      <c r="G1479" t="s">
        <v>1386</v>
      </c>
      <c r="H1479" s="8">
        <v>3120.79</v>
      </c>
      <c r="I1479" s="8">
        <v>292.79000000000002</v>
      </c>
      <c r="J1479" s="8">
        <v>0.14000000000000001</v>
      </c>
      <c r="K1479" t="str">
        <f>IF(SalesData[[#This Row],[Profit]]&gt;0,"Profit","Loss")</f>
        <v>Profit</v>
      </c>
      <c r="L1479" s="8">
        <f>SalesData[[#This Row],[Profit]]/SalesData[[#This Row],[Sales]]</f>
        <v>9.3819193217102081E-2</v>
      </c>
      <c r="M1479" t="str">
        <f>TEXT(SalesData[[#This Row],[Order_Date]],"mmm")</f>
        <v>Aug</v>
      </c>
      <c r="N1479">
        <f>YEAR(SalesData[[#This Row],[Order_Date]])</f>
        <v>2023</v>
      </c>
    </row>
    <row r="1480" spans="1:14" x14ac:dyDescent="0.3">
      <c r="A1480" t="s">
        <v>2656</v>
      </c>
      <c r="B1480" s="1">
        <v>44599</v>
      </c>
      <c r="C1480" t="s">
        <v>784</v>
      </c>
      <c r="D1480" t="s">
        <v>28</v>
      </c>
      <c r="E1480" t="s">
        <v>19</v>
      </c>
      <c r="F1480" t="s">
        <v>29</v>
      </c>
      <c r="G1480" t="s">
        <v>163</v>
      </c>
      <c r="H1480" s="8">
        <v>2118.11</v>
      </c>
      <c r="I1480" s="8">
        <v>170.71</v>
      </c>
      <c r="J1480" s="8">
        <v>0.22</v>
      </c>
      <c r="K1480" t="str">
        <f>IF(SalesData[[#This Row],[Profit]]&gt;0,"Profit","Loss")</f>
        <v>Profit</v>
      </c>
      <c r="L1480" s="8">
        <f>SalesData[[#This Row],[Profit]]/SalesData[[#This Row],[Sales]]</f>
        <v>8.0595436497632317E-2</v>
      </c>
      <c r="M1480" t="str">
        <f>TEXT(SalesData[[#This Row],[Order_Date]],"mmm")</f>
        <v>Feb</v>
      </c>
      <c r="N1480">
        <f>YEAR(SalesData[[#This Row],[Order_Date]])</f>
        <v>2022</v>
      </c>
    </row>
    <row r="1481" spans="1:14" x14ac:dyDescent="0.3">
      <c r="A1481" t="s">
        <v>2657</v>
      </c>
      <c r="B1481" s="1">
        <v>45120</v>
      </c>
      <c r="C1481" t="s">
        <v>978</v>
      </c>
      <c r="D1481" t="s">
        <v>40</v>
      </c>
      <c r="E1481" t="s">
        <v>56</v>
      </c>
      <c r="F1481" t="s">
        <v>95</v>
      </c>
      <c r="G1481" t="s">
        <v>251</v>
      </c>
      <c r="H1481" s="8">
        <v>3482.95</v>
      </c>
      <c r="I1481" s="8">
        <v>163.06</v>
      </c>
      <c r="J1481" s="8">
        <v>0.23</v>
      </c>
      <c r="K1481" t="str">
        <f>IF(SalesData[[#This Row],[Profit]]&gt;0,"Profit","Loss")</f>
        <v>Profit</v>
      </c>
      <c r="L1481" s="8">
        <f>SalesData[[#This Row],[Profit]]/SalesData[[#This Row],[Sales]]</f>
        <v>4.6816635323504503E-2</v>
      </c>
      <c r="M1481" t="str">
        <f>TEXT(SalesData[[#This Row],[Order_Date]],"mmm")</f>
        <v>Jul</v>
      </c>
      <c r="N1481">
        <f>YEAR(SalesData[[#This Row],[Order_Date]])</f>
        <v>2023</v>
      </c>
    </row>
    <row r="1482" spans="1:14" x14ac:dyDescent="0.3">
      <c r="A1482" t="s">
        <v>2658</v>
      </c>
      <c r="B1482" s="1">
        <v>44645</v>
      </c>
      <c r="C1482" t="s">
        <v>2659</v>
      </c>
      <c r="D1482" t="s">
        <v>28</v>
      </c>
      <c r="E1482" t="s">
        <v>13</v>
      </c>
      <c r="F1482" t="s">
        <v>14</v>
      </c>
      <c r="G1482" t="s">
        <v>306</v>
      </c>
      <c r="H1482" s="8">
        <v>1677.01</v>
      </c>
      <c r="I1482" s="8">
        <v>-169.95</v>
      </c>
      <c r="J1482" s="8">
        <v>0.21</v>
      </c>
      <c r="K1482" t="str">
        <f>IF(SalesData[[#This Row],[Profit]]&gt;0,"Profit","Loss")</f>
        <v>Loss</v>
      </c>
      <c r="L1482" s="8">
        <f>SalesData[[#This Row],[Profit]]/SalesData[[#This Row],[Sales]]</f>
        <v>-0.10134107727443485</v>
      </c>
      <c r="M1482" t="str">
        <f>TEXT(SalesData[[#This Row],[Order_Date]],"mmm")</f>
        <v>Mar</v>
      </c>
      <c r="N1482">
        <f>YEAR(SalesData[[#This Row],[Order_Date]])</f>
        <v>2022</v>
      </c>
    </row>
    <row r="1483" spans="1:14" x14ac:dyDescent="0.3">
      <c r="A1483" t="s">
        <v>2660</v>
      </c>
      <c r="B1483" s="1">
        <v>44686</v>
      </c>
      <c r="C1483" t="s">
        <v>2661</v>
      </c>
      <c r="D1483" t="s">
        <v>18</v>
      </c>
      <c r="E1483" t="s">
        <v>56</v>
      </c>
      <c r="F1483" t="s">
        <v>95</v>
      </c>
      <c r="G1483" t="s">
        <v>86</v>
      </c>
      <c r="H1483" s="8">
        <v>723.68</v>
      </c>
      <c r="I1483" s="8">
        <v>81.03</v>
      </c>
      <c r="J1483" s="8">
        <v>0</v>
      </c>
      <c r="K1483" t="str">
        <f>IF(SalesData[[#This Row],[Profit]]&gt;0,"Profit","Loss")</f>
        <v>Profit</v>
      </c>
      <c r="L1483" s="8">
        <f>SalesData[[#This Row],[Profit]]/SalesData[[#This Row],[Sales]]</f>
        <v>0.11196937873093081</v>
      </c>
      <c r="M1483" t="str">
        <f>TEXT(SalesData[[#This Row],[Order_Date]],"mmm")</f>
        <v>May</v>
      </c>
      <c r="N1483">
        <f>YEAR(SalesData[[#This Row],[Order_Date]])</f>
        <v>2022</v>
      </c>
    </row>
    <row r="1484" spans="1:14" x14ac:dyDescent="0.3">
      <c r="A1484" t="s">
        <v>2662</v>
      </c>
      <c r="B1484" s="1">
        <v>45099</v>
      </c>
      <c r="C1484" t="s">
        <v>2437</v>
      </c>
      <c r="D1484" t="s">
        <v>18</v>
      </c>
      <c r="E1484" t="s">
        <v>56</v>
      </c>
      <c r="F1484" t="s">
        <v>57</v>
      </c>
      <c r="G1484" t="s">
        <v>974</v>
      </c>
      <c r="H1484" s="8">
        <v>4438.96</v>
      </c>
      <c r="I1484" s="8">
        <v>114.08</v>
      </c>
      <c r="J1484" s="8">
        <v>0.15</v>
      </c>
      <c r="K1484" t="str">
        <f>IF(SalesData[[#This Row],[Profit]]&gt;0,"Profit","Loss")</f>
        <v>Profit</v>
      </c>
      <c r="L1484" s="8">
        <f>SalesData[[#This Row],[Profit]]/SalesData[[#This Row],[Sales]]</f>
        <v>2.5699713446392849E-2</v>
      </c>
      <c r="M1484" t="str">
        <f>TEXT(SalesData[[#This Row],[Order_Date]],"mmm")</f>
        <v>Jun</v>
      </c>
      <c r="N1484">
        <f>YEAR(SalesData[[#This Row],[Order_Date]])</f>
        <v>2023</v>
      </c>
    </row>
    <row r="1485" spans="1:14" x14ac:dyDescent="0.3">
      <c r="A1485" t="s">
        <v>2663</v>
      </c>
      <c r="B1485" s="1">
        <v>44863</v>
      </c>
      <c r="C1485" t="s">
        <v>626</v>
      </c>
      <c r="D1485" t="s">
        <v>40</v>
      </c>
      <c r="E1485" t="s">
        <v>13</v>
      </c>
      <c r="F1485" t="s">
        <v>36</v>
      </c>
      <c r="G1485" t="s">
        <v>1326</v>
      </c>
      <c r="H1485" s="8">
        <v>2057.09</v>
      </c>
      <c r="I1485" s="8">
        <v>-59.06</v>
      </c>
      <c r="J1485" s="8">
        <v>0.09</v>
      </c>
      <c r="K1485" t="str">
        <f>IF(SalesData[[#This Row],[Profit]]&gt;0,"Profit","Loss")</f>
        <v>Loss</v>
      </c>
      <c r="L1485" s="8">
        <f>SalesData[[#This Row],[Profit]]/SalesData[[#This Row],[Sales]]</f>
        <v>-2.8710459921539651E-2</v>
      </c>
      <c r="M1485" t="str">
        <f>TEXT(SalesData[[#This Row],[Order_Date]],"mmm")</f>
        <v>Oct</v>
      </c>
      <c r="N1485">
        <f>YEAR(SalesData[[#This Row],[Order_Date]])</f>
        <v>2022</v>
      </c>
    </row>
    <row r="1486" spans="1:14" x14ac:dyDescent="0.3">
      <c r="A1486" t="s">
        <v>2664</v>
      </c>
      <c r="B1486" s="1">
        <v>44859</v>
      </c>
      <c r="C1486" t="s">
        <v>517</v>
      </c>
      <c r="D1486" t="s">
        <v>18</v>
      </c>
      <c r="E1486" t="s">
        <v>19</v>
      </c>
      <c r="F1486" t="s">
        <v>141</v>
      </c>
      <c r="G1486" t="s">
        <v>398</v>
      </c>
      <c r="H1486" s="8">
        <v>4458.7700000000004</v>
      </c>
      <c r="I1486" s="8">
        <v>-1205.8</v>
      </c>
      <c r="J1486" s="8">
        <v>0.17</v>
      </c>
      <c r="K1486" t="str">
        <f>IF(SalesData[[#This Row],[Profit]]&gt;0,"Profit","Loss")</f>
        <v>Loss</v>
      </c>
      <c r="L1486" s="8">
        <f>SalesData[[#This Row],[Profit]]/SalesData[[#This Row],[Sales]]</f>
        <v>-0.27043332578267099</v>
      </c>
      <c r="M1486" t="str">
        <f>TEXT(SalesData[[#This Row],[Order_Date]],"mmm")</f>
        <v>Oct</v>
      </c>
      <c r="N1486">
        <f>YEAR(SalesData[[#This Row],[Order_Date]])</f>
        <v>2022</v>
      </c>
    </row>
    <row r="1487" spans="1:14" x14ac:dyDescent="0.3">
      <c r="A1487" t="s">
        <v>2665</v>
      </c>
      <c r="B1487" s="1">
        <v>44777</v>
      </c>
      <c r="C1487" t="s">
        <v>91</v>
      </c>
      <c r="D1487" t="s">
        <v>18</v>
      </c>
      <c r="E1487" t="s">
        <v>13</v>
      </c>
      <c r="F1487" t="s">
        <v>24</v>
      </c>
      <c r="G1487" t="s">
        <v>303</v>
      </c>
      <c r="H1487" s="8">
        <v>1919.14</v>
      </c>
      <c r="I1487" s="8">
        <v>-185.65</v>
      </c>
      <c r="J1487" s="8">
        <v>0.18</v>
      </c>
      <c r="K1487" t="str">
        <f>IF(SalesData[[#This Row],[Profit]]&gt;0,"Profit","Loss")</f>
        <v>Loss</v>
      </c>
      <c r="L1487" s="8">
        <f>SalesData[[#This Row],[Profit]]/SalesData[[#This Row],[Sales]]</f>
        <v>-9.6736038017028458E-2</v>
      </c>
      <c r="M1487" t="str">
        <f>TEXT(SalesData[[#This Row],[Order_Date]],"mmm")</f>
        <v>Aug</v>
      </c>
      <c r="N1487">
        <f>YEAR(SalesData[[#This Row],[Order_Date]])</f>
        <v>2022</v>
      </c>
    </row>
    <row r="1488" spans="1:14" x14ac:dyDescent="0.3">
      <c r="A1488" t="s">
        <v>2666</v>
      </c>
      <c r="B1488" s="1">
        <v>44715</v>
      </c>
      <c r="C1488" t="s">
        <v>316</v>
      </c>
      <c r="D1488" t="s">
        <v>12</v>
      </c>
      <c r="E1488" t="s">
        <v>13</v>
      </c>
      <c r="F1488" t="s">
        <v>24</v>
      </c>
      <c r="G1488" t="s">
        <v>1150</v>
      </c>
      <c r="H1488" s="8">
        <v>4164.1000000000004</v>
      </c>
      <c r="I1488" s="8">
        <v>207.3</v>
      </c>
      <c r="J1488" s="8">
        <v>0</v>
      </c>
      <c r="K1488" t="str">
        <f>IF(SalesData[[#This Row],[Profit]]&gt;0,"Profit","Loss")</f>
        <v>Profit</v>
      </c>
      <c r="L1488" s="8">
        <f>SalesData[[#This Row],[Profit]]/SalesData[[#This Row],[Sales]]</f>
        <v>4.9782666122331357E-2</v>
      </c>
      <c r="M1488" t="str">
        <f>TEXT(SalesData[[#This Row],[Order_Date]],"mmm")</f>
        <v>Jun</v>
      </c>
      <c r="N1488">
        <f>YEAR(SalesData[[#This Row],[Order_Date]])</f>
        <v>2022</v>
      </c>
    </row>
    <row r="1489" spans="1:14" x14ac:dyDescent="0.3">
      <c r="A1489" t="s">
        <v>2667</v>
      </c>
      <c r="B1489" s="1">
        <v>44900</v>
      </c>
      <c r="C1489" t="s">
        <v>2384</v>
      </c>
      <c r="D1489" t="s">
        <v>12</v>
      </c>
      <c r="E1489" t="s">
        <v>19</v>
      </c>
      <c r="F1489" t="s">
        <v>141</v>
      </c>
      <c r="G1489" t="s">
        <v>357</v>
      </c>
      <c r="H1489" s="8">
        <v>1019.6</v>
      </c>
      <c r="I1489" s="8">
        <v>-89.07</v>
      </c>
      <c r="J1489" s="8">
        <v>0.21</v>
      </c>
      <c r="K1489" t="str">
        <f>IF(SalesData[[#This Row],[Profit]]&gt;0,"Profit","Loss")</f>
        <v>Loss</v>
      </c>
      <c r="L1489" s="8">
        <f>SalesData[[#This Row],[Profit]]/SalesData[[#This Row],[Sales]]</f>
        <v>-8.7357787367595127E-2</v>
      </c>
      <c r="M1489" t="str">
        <f>TEXT(SalesData[[#This Row],[Order_Date]],"mmm")</f>
        <v>Dec</v>
      </c>
      <c r="N1489">
        <f>YEAR(SalesData[[#This Row],[Order_Date]])</f>
        <v>2022</v>
      </c>
    </row>
    <row r="1490" spans="1:14" x14ac:dyDescent="0.3">
      <c r="A1490" t="s">
        <v>2668</v>
      </c>
      <c r="B1490" s="1">
        <v>44793</v>
      </c>
      <c r="C1490" t="s">
        <v>874</v>
      </c>
      <c r="D1490" t="s">
        <v>12</v>
      </c>
      <c r="E1490" t="s">
        <v>19</v>
      </c>
      <c r="F1490" t="s">
        <v>141</v>
      </c>
      <c r="G1490" t="s">
        <v>83</v>
      </c>
      <c r="H1490" s="8">
        <v>866.62</v>
      </c>
      <c r="I1490" s="8">
        <v>22.09</v>
      </c>
      <c r="J1490" s="8">
        <v>0.11</v>
      </c>
      <c r="K1490" t="str">
        <f>IF(SalesData[[#This Row],[Profit]]&gt;0,"Profit","Loss")</f>
        <v>Profit</v>
      </c>
      <c r="L1490" s="8">
        <f>SalesData[[#This Row],[Profit]]/SalesData[[#This Row],[Sales]]</f>
        <v>2.5489834067988278E-2</v>
      </c>
      <c r="M1490" t="str">
        <f>TEXT(SalesData[[#This Row],[Order_Date]],"mmm")</f>
        <v>Aug</v>
      </c>
      <c r="N1490">
        <f>YEAR(SalesData[[#This Row],[Order_Date]])</f>
        <v>2022</v>
      </c>
    </row>
    <row r="1491" spans="1:14" x14ac:dyDescent="0.3">
      <c r="A1491" t="s">
        <v>2669</v>
      </c>
      <c r="B1491" s="1">
        <v>44875</v>
      </c>
      <c r="C1491" t="s">
        <v>1821</v>
      </c>
      <c r="D1491" t="s">
        <v>28</v>
      </c>
      <c r="E1491" t="s">
        <v>56</v>
      </c>
      <c r="F1491" t="s">
        <v>95</v>
      </c>
      <c r="G1491" t="s">
        <v>700</v>
      </c>
      <c r="H1491" s="8">
        <v>1492.52</v>
      </c>
      <c r="I1491" s="8">
        <v>-319.85000000000002</v>
      </c>
      <c r="J1491" s="8">
        <v>0.27</v>
      </c>
      <c r="K1491" t="str">
        <f>IF(SalesData[[#This Row],[Profit]]&gt;0,"Profit","Loss")</f>
        <v>Loss</v>
      </c>
      <c r="L1491" s="8">
        <f>SalesData[[#This Row],[Profit]]/SalesData[[#This Row],[Sales]]</f>
        <v>-0.21430198590303648</v>
      </c>
      <c r="M1491" t="str">
        <f>TEXT(SalesData[[#This Row],[Order_Date]],"mmm")</f>
        <v>Nov</v>
      </c>
      <c r="N1491">
        <f>YEAR(SalesData[[#This Row],[Order_Date]])</f>
        <v>2022</v>
      </c>
    </row>
    <row r="1492" spans="1:14" x14ac:dyDescent="0.3">
      <c r="A1492" t="s">
        <v>2670</v>
      </c>
      <c r="B1492" s="1">
        <v>44718</v>
      </c>
      <c r="C1492" t="s">
        <v>278</v>
      </c>
      <c r="D1492" t="s">
        <v>18</v>
      </c>
      <c r="E1492" t="s">
        <v>19</v>
      </c>
      <c r="F1492" t="s">
        <v>141</v>
      </c>
      <c r="G1492" t="s">
        <v>2575</v>
      </c>
      <c r="H1492" s="8">
        <v>2750.98</v>
      </c>
      <c r="I1492" s="8">
        <v>-972.51</v>
      </c>
      <c r="J1492" s="8">
        <v>0.2</v>
      </c>
      <c r="K1492" t="str">
        <f>IF(SalesData[[#This Row],[Profit]]&gt;0,"Profit","Loss")</f>
        <v>Loss</v>
      </c>
      <c r="L1492" s="8">
        <f>SalesData[[#This Row],[Profit]]/SalesData[[#This Row],[Sales]]</f>
        <v>-0.35351402045816399</v>
      </c>
      <c r="M1492" t="str">
        <f>TEXT(SalesData[[#This Row],[Order_Date]],"mmm")</f>
        <v>Jun</v>
      </c>
      <c r="N1492">
        <f>YEAR(SalesData[[#This Row],[Order_Date]])</f>
        <v>2022</v>
      </c>
    </row>
    <row r="1493" spans="1:14" x14ac:dyDescent="0.3">
      <c r="A1493" t="s">
        <v>2671</v>
      </c>
      <c r="B1493" s="1">
        <v>45222</v>
      </c>
      <c r="C1493" t="s">
        <v>2212</v>
      </c>
      <c r="D1493" t="s">
        <v>28</v>
      </c>
      <c r="E1493" t="s">
        <v>56</v>
      </c>
      <c r="F1493" t="s">
        <v>95</v>
      </c>
      <c r="G1493" t="s">
        <v>1044</v>
      </c>
      <c r="H1493" s="8">
        <v>2861.93</v>
      </c>
      <c r="I1493" s="8">
        <v>210.04</v>
      </c>
      <c r="J1493" s="8">
        <v>0.04</v>
      </c>
      <c r="K1493" t="str">
        <f>IF(SalesData[[#This Row],[Profit]]&gt;0,"Profit","Loss")</f>
        <v>Profit</v>
      </c>
      <c r="L1493" s="8">
        <f>SalesData[[#This Row],[Profit]]/SalesData[[#This Row],[Sales]]</f>
        <v>7.3391033323666199E-2</v>
      </c>
      <c r="M1493" t="str">
        <f>TEXT(SalesData[[#This Row],[Order_Date]],"mmm")</f>
        <v>Oct</v>
      </c>
      <c r="N1493">
        <f>YEAR(SalesData[[#This Row],[Order_Date]])</f>
        <v>2023</v>
      </c>
    </row>
    <row r="1494" spans="1:14" x14ac:dyDescent="0.3">
      <c r="A1494" t="s">
        <v>2672</v>
      </c>
      <c r="B1494" s="1">
        <v>45192</v>
      </c>
      <c r="C1494" t="s">
        <v>2673</v>
      </c>
      <c r="D1494" t="s">
        <v>28</v>
      </c>
      <c r="E1494" t="s">
        <v>13</v>
      </c>
      <c r="F1494" t="s">
        <v>24</v>
      </c>
      <c r="G1494" t="s">
        <v>1857</v>
      </c>
      <c r="H1494" s="8">
        <v>3063.4</v>
      </c>
      <c r="I1494" s="8">
        <v>-145.94</v>
      </c>
      <c r="J1494" s="8">
        <v>0.28999999999999998</v>
      </c>
      <c r="K1494" t="str">
        <f>IF(SalesData[[#This Row],[Profit]]&gt;0,"Profit","Loss")</f>
        <v>Loss</v>
      </c>
      <c r="L1494" s="8">
        <f>SalesData[[#This Row],[Profit]]/SalesData[[#This Row],[Sales]]</f>
        <v>-4.7639877260560161E-2</v>
      </c>
      <c r="M1494" t="str">
        <f>TEXT(SalesData[[#This Row],[Order_Date]],"mmm")</f>
        <v>Sep</v>
      </c>
      <c r="N1494">
        <f>YEAR(SalesData[[#This Row],[Order_Date]])</f>
        <v>2023</v>
      </c>
    </row>
    <row r="1495" spans="1:14" x14ac:dyDescent="0.3">
      <c r="A1495" t="s">
        <v>2674</v>
      </c>
      <c r="B1495" s="1">
        <v>45191</v>
      </c>
      <c r="C1495" t="s">
        <v>545</v>
      </c>
      <c r="D1495" t="s">
        <v>18</v>
      </c>
      <c r="E1495" t="s">
        <v>56</v>
      </c>
      <c r="F1495" t="s">
        <v>57</v>
      </c>
      <c r="G1495" t="s">
        <v>303</v>
      </c>
      <c r="H1495" s="8">
        <v>3938.49</v>
      </c>
      <c r="I1495" s="8">
        <v>-1753.4</v>
      </c>
      <c r="J1495" s="8">
        <v>0.3</v>
      </c>
      <c r="K1495" t="str">
        <f>IF(SalesData[[#This Row],[Profit]]&gt;0,"Profit","Loss")</f>
        <v>Loss</v>
      </c>
      <c r="L1495" s="8">
        <f>SalesData[[#This Row],[Profit]]/SalesData[[#This Row],[Sales]]</f>
        <v>-0.44519600151327038</v>
      </c>
      <c r="M1495" t="str">
        <f>TEXT(SalesData[[#This Row],[Order_Date]],"mmm")</f>
        <v>Sep</v>
      </c>
      <c r="N1495">
        <f>YEAR(SalesData[[#This Row],[Order_Date]])</f>
        <v>2023</v>
      </c>
    </row>
    <row r="1496" spans="1:14" x14ac:dyDescent="0.3">
      <c r="A1496" t="s">
        <v>2675</v>
      </c>
      <c r="B1496" s="1">
        <v>45085</v>
      </c>
      <c r="C1496" t="s">
        <v>948</v>
      </c>
      <c r="D1496" t="s">
        <v>28</v>
      </c>
      <c r="E1496" t="s">
        <v>19</v>
      </c>
      <c r="F1496" t="s">
        <v>20</v>
      </c>
      <c r="G1496" t="s">
        <v>181</v>
      </c>
      <c r="H1496" s="8">
        <v>1684.36</v>
      </c>
      <c r="I1496" s="8">
        <v>-738.91</v>
      </c>
      <c r="J1496" s="8">
        <v>0.27</v>
      </c>
      <c r="K1496" t="str">
        <f>IF(SalesData[[#This Row],[Profit]]&gt;0,"Profit","Loss")</f>
        <v>Loss</v>
      </c>
      <c r="L1496" s="8">
        <f>SalesData[[#This Row],[Profit]]/SalesData[[#This Row],[Sales]]</f>
        <v>-0.43868887886200103</v>
      </c>
      <c r="M1496" t="str">
        <f>TEXT(SalesData[[#This Row],[Order_Date]],"mmm")</f>
        <v>Jun</v>
      </c>
      <c r="N1496">
        <f>YEAR(SalesData[[#This Row],[Order_Date]])</f>
        <v>2023</v>
      </c>
    </row>
    <row r="1497" spans="1:14" x14ac:dyDescent="0.3">
      <c r="A1497" t="s">
        <v>2676</v>
      </c>
      <c r="B1497" s="1">
        <v>44964</v>
      </c>
      <c r="C1497" t="s">
        <v>776</v>
      </c>
      <c r="D1497" t="s">
        <v>28</v>
      </c>
      <c r="E1497" t="s">
        <v>19</v>
      </c>
      <c r="F1497" t="s">
        <v>29</v>
      </c>
      <c r="G1497" t="s">
        <v>1550</v>
      </c>
      <c r="H1497" s="8">
        <v>1582.54</v>
      </c>
      <c r="I1497" s="8">
        <v>-451.87</v>
      </c>
      <c r="J1497" s="8">
        <v>0.23</v>
      </c>
      <c r="K1497" t="str">
        <f>IF(SalesData[[#This Row],[Profit]]&gt;0,"Profit","Loss")</f>
        <v>Loss</v>
      </c>
      <c r="L1497" s="8">
        <f>SalesData[[#This Row],[Profit]]/SalesData[[#This Row],[Sales]]</f>
        <v>-0.28553464683357138</v>
      </c>
      <c r="M1497" t="str">
        <f>TEXT(SalesData[[#This Row],[Order_Date]],"mmm")</f>
        <v>Feb</v>
      </c>
      <c r="N1497">
        <f>YEAR(SalesData[[#This Row],[Order_Date]])</f>
        <v>2023</v>
      </c>
    </row>
    <row r="1498" spans="1:14" x14ac:dyDescent="0.3">
      <c r="A1498" t="s">
        <v>2677</v>
      </c>
      <c r="B1498" s="1">
        <v>45181</v>
      </c>
      <c r="C1498" t="s">
        <v>688</v>
      </c>
      <c r="D1498" t="s">
        <v>18</v>
      </c>
      <c r="E1498" t="s">
        <v>19</v>
      </c>
      <c r="F1498" t="s">
        <v>29</v>
      </c>
      <c r="G1498" t="s">
        <v>1140</v>
      </c>
      <c r="H1498" s="8">
        <v>1627.63</v>
      </c>
      <c r="I1498" s="8">
        <v>-67.69</v>
      </c>
      <c r="J1498" s="8">
        <v>0.16</v>
      </c>
      <c r="K1498" t="str">
        <f>IF(SalesData[[#This Row],[Profit]]&gt;0,"Profit","Loss")</f>
        <v>Loss</v>
      </c>
      <c r="L1498" s="8">
        <f>SalesData[[#This Row],[Profit]]/SalesData[[#This Row],[Sales]]</f>
        <v>-4.1588075914059087E-2</v>
      </c>
      <c r="M1498" t="str">
        <f>TEXT(SalesData[[#This Row],[Order_Date]],"mmm")</f>
        <v>Sep</v>
      </c>
      <c r="N1498">
        <f>YEAR(SalesData[[#This Row],[Order_Date]])</f>
        <v>2023</v>
      </c>
    </row>
    <row r="1499" spans="1:14" x14ac:dyDescent="0.3">
      <c r="A1499" t="s">
        <v>2678</v>
      </c>
      <c r="B1499" s="1">
        <v>45063</v>
      </c>
      <c r="C1499" t="s">
        <v>2679</v>
      </c>
      <c r="D1499" t="s">
        <v>40</v>
      </c>
      <c r="E1499" t="s">
        <v>13</v>
      </c>
      <c r="F1499" t="s">
        <v>36</v>
      </c>
      <c r="G1499" t="s">
        <v>47</v>
      </c>
      <c r="H1499" s="8">
        <v>3585.6</v>
      </c>
      <c r="I1499" s="8">
        <v>-407.71</v>
      </c>
      <c r="J1499" s="8">
        <v>0.25</v>
      </c>
      <c r="K1499" t="str">
        <f>IF(SalesData[[#This Row],[Profit]]&gt;0,"Profit","Loss")</f>
        <v>Loss</v>
      </c>
      <c r="L1499" s="8">
        <f>SalesData[[#This Row],[Profit]]/SalesData[[#This Row],[Sales]]</f>
        <v>-0.11370760821062026</v>
      </c>
      <c r="M1499" t="str">
        <f>TEXT(SalesData[[#This Row],[Order_Date]],"mmm")</f>
        <v>May</v>
      </c>
      <c r="N1499">
        <f>YEAR(SalesData[[#This Row],[Order_Date]])</f>
        <v>2023</v>
      </c>
    </row>
    <row r="1500" spans="1:14" x14ac:dyDescent="0.3">
      <c r="A1500" t="s">
        <v>2680</v>
      </c>
      <c r="B1500" s="1">
        <v>44936</v>
      </c>
      <c r="C1500" t="s">
        <v>786</v>
      </c>
      <c r="D1500" t="s">
        <v>40</v>
      </c>
      <c r="E1500" t="s">
        <v>56</v>
      </c>
      <c r="F1500" t="s">
        <v>73</v>
      </c>
      <c r="G1500" t="s">
        <v>584</v>
      </c>
      <c r="H1500" s="8">
        <v>4508.83</v>
      </c>
      <c r="I1500" s="8">
        <v>-1321.96</v>
      </c>
      <c r="J1500" s="8">
        <v>0.2</v>
      </c>
      <c r="K1500" t="str">
        <f>IF(SalesData[[#This Row],[Profit]]&gt;0,"Profit","Loss")</f>
        <v>Loss</v>
      </c>
      <c r="L1500" s="8">
        <f>SalesData[[#This Row],[Profit]]/SalesData[[#This Row],[Sales]]</f>
        <v>-0.29319357793485229</v>
      </c>
      <c r="M1500" t="str">
        <f>TEXT(SalesData[[#This Row],[Order_Date]],"mmm")</f>
        <v>Jan</v>
      </c>
      <c r="N1500">
        <f>YEAR(SalesData[[#This Row],[Order_Date]])</f>
        <v>2023</v>
      </c>
    </row>
    <row r="1501" spans="1:14" x14ac:dyDescent="0.3">
      <c r="A1501" t="s">
        <v>2681</v>
      </c>
      <c r="B1501" s="1">
        <v>44757</v>
      </c>
      <c r="C1501" t="s">
        <v>2025</v>
      </c>
      <c r="D1501" t="s">
        <v>40</v>
      </c>
      <c r="E1501" t="s">
        <v>19</v>
      </c>
      <c r="F1501" t="s">
        <v>20</v>
      </c>
      <c r="G1501" t="s">
        <v>2091</v>
      </c>
      <c r="H1501" s="8">
        <v>3123.17</v>
      </c>
      <c r="I1501" s="8">
        <v>288.47000000000003</v>
      </c>
      <c r="J1501" s="8">
        <v>0.26</v>
      </c>
      <c r="K1501" t="str">
        <f>IF(SalesData[[#This Row],[Profit]]&gt;0,"Profit","Loss")</f>
        <v>Profit</v>
      </c>
      <c r="L1501" s="8">
        <f>SalesData[[#This Row],[Profit]]/SalesData[[#This Row],[Sales]]</f>
        <v>9.2364488644550255E-2</v>
      </c>
      <c r="M1501" t="str">
        <f>TEXT(SalesData[[#This Row],[Order_Date]],"mmm")</f>
        <v>Jul</v>
      </c>
      <c r="N1501">
        <f>YEAR(SalesData[[#This Row],[Order_Date]])</f>
        <v>2022</v>
      </c>
    </row>
    <row r="1502" spans="1:14" x14ac:dyDescent="0.3">
      <c r="A1502" t="s">
        <v>2682</v>
      </c>
      <c r="B1502" s="1">
        <v>45162</v>
      </c>
      <c r="C1502" t="s">
        <v>1591</v>
      </c>
      <c r="D1502" t="s">
        <v>40</v>
      </c>
      <c r="E1502" t="s">
        <v>13</v>
      </c>
      <c r="F1502" t="s">
        <v>14</v>
      </c>
      <c r="G1502" t="s">
        <v>1483</v>
      </c>
      <c r="H1502" s="8">
        <v>1059.5999999999999</v>
      </c>
      <c r="I1502" s="8">
        <v>-204.57</v>
      </c>
      <c r="J1502" s="8">
        <v>0.11</v>
      </c>
      <c r="K1502" t="str">
        <f>IF(SalesData[[#This Row],[Profit]]&gt;0,"Profit","Loss")</f>
        <v>Loss</v>
      </c>
      <c r="L1502" s="8">
        <f>SalesData[[#This Row],[Profit]]/SalesData[[#This Row],[Sales]]</f>
        <v>-0.19306342015855041</v>
      </c>
      <c r="M1502" t="str">
        <f>TEXT(SalesData[[#This Row],[Order_Date]],"mmm")</f>
        <v>Aug</v>
      </c>
      <c r="N1502">
        <f>YEAR(SalesData[[#This Row],[Order_Date]])</f>
        <v>2023</v>
      </c>
    </row>
    <row r="1503" spans="1:14" x14ac:dyDescent="0.3">
      <c r="A1503" t="s">
        <v>2683</v>
      </c>
      <c r="B1503" s="1">
        <v>45224</v>
      </c>
      <c r="C1503" t="s">
        <v>440</v>
      </c>
      <c r="D1503" t="s">
        <v>28</v>
      </c>
      <c r="E1503" t="s">
        <v>19</v>
      </c>
      <c r="F1503" t="s">
        <v>29</v>
      </c>
      <c r="G1503" t="s">
        <v>1402</v>
      </c>
      <c r="H1503" s="8">
        <v>2563.69</v>
      </c>
      <c r="I1503" s="8">
        <v>-92.76</v>
      </c>
      <c r="J1503" s="8">
        <v>0</v>
      </c>
      <c r="K1503" t="str">
        <f>IF(SalesData[[#This Row],[Profit]]&gt;0,"Profit","Loss")</f>
        <v>Loss</v>
      </c>
      <c r="L1503" s="8">
        <f>SalesData[[#This Row],[Profit]]/SalesData[[#This Row],[Sales]]</f>
        <v>-3.6182221719474668E-2</v>
      </c>
      <c r="M1503" t="str">
        <f>TEXT(SalesData[[#This Row],[Order_Date]],"mmm")</f>
        <v>Oct</v>
      </c>
      <c r="N1503">
        <f>YEAR(SalesData[[#This Row],[Order_Date]])</f>
        <v>2023</v>
      </c>
    </row>
    <row r="1504" spans="1:14" x14ac:dyDescent="0.3">
      <c r="A1504" t="s">
        <v>2684</v>
      </c>
      <c r="B1504" s="1">
        <v>45147</v>
      </c>
      <c r="C1504" t="s">
        <v>464</v>
      </c>
      <c r="D1504" t="s">
        <v>28</v>
      </c>
      <c r="E1504" t="s">
        <v>56</v>
      </c>
      <c r="F1504" t="s">
        <v>73</v>
      </c>
      <c r="G1504" t="s">
        <v>44</v>
      </c>
      <c r="H1504" s="8">
        <v>3550.9</v>
      </c>
      <c r="I1504" s="8">
        <v>-872.33</v>
      </c>
      <c r="J1504" s="8">
        <v>0.08</v>
      </c>
      <c r="K1504" t="str">
        <f>IF(SalesData[[#This Row],[Profit]]&gt;0,"Profit","Loss")</f>
        <v>Loss</v>
      </c>
      <c r="L1504" s="8">
        <f>SalesData[[#This Row],[Profit]]/SalesData[[#This Row],[Sales]]</f>
        <v>-0.24566447942775071</v>
      </c>
      <c r="M1504" t="str">
        <f>TEXT(SalesData[[#This Row],[Order_Date]],"mmm")</f>
        <v>Aug</v>
      </c>
      <c r="N1504">
        <f>YEAR(SalesData[[#This Row],[Order_Date]])</f>
        <v>2023</v>
      </c>
    </row>
    <row r="1505" spans="1:14" x14ac:dyDescent="0.3">
      <c r="A1505" t="s">
        <v>2685</v>
      </c>
      <c r="B1505" s="1">
        <v>45120</v>
      </c>
      <c r="C1505" t="s">
        <v>1256</v>
      </c>
      <c r="D1505" t="s">
        <v>12</v>
      </c>
      <c r="E1505" t="s">
        <v>13</v>
      </c>
      <c r="F1505" t="s">
        <v>36</v>
      </c>
      <c r="G1505" t="s">
        <v>1657</v>
      </c>
      <c r="H1505" s="8">
        <v>2502.4699999999998</v>
      </c>
      <c r="I1505" s="8">
        <v>462.86</v>
      </c>
      <c r="J1505" s="8">
        <v>0.14000000000000001</v>
      </c>
      <c r="K1505" t="str">
        <f>IF(SalesData[[#This Row],[Profit]]&gt;0,"Profit","Loss")</f>
        <v>Profit</v>
      </c>
      <c r="L1505" s="8">
        <f>SalesData[[#This Row],[Profit]]/SalesData[[#This Row],[Sales]]</f>
        <v>0.18496125827682253</v>
      </c>
      <c r="M1505" t="str">
        <f>TEXT(SalesData[[#This Row],[Order_Date]],"mmm")</f>
        <v>Jul</v>
      </c>
      <c r="N1505">
        <f>YEAR(SalesData[[#This Row],[Order_Date]])</f>
        <v>2023</v>
      </c>
    </row>
    <row r="1506" spans="1:14" x14ac:dyDescent="0.3">
      <c r="A1506" t="s">
        <v>2686</v>
      </c>
      <c r="B1506" s="1">
        <v>44696</v>
      </c>
      <c r="C1506" t="s">
        <v>962</v>
      </c>
      <c r="D1506" t="s">
        <v>28</v>
      </c>
      <c r="E1506" t="s">
        <v>56</v>
      </c>
      <c r="F1506" t="s">
        <v>73</v>
      </c>
      <c r="G1506" t="s">
        <v>1780</v>
      </c>
      <c r="H1506" s="8">
        <v>4481.8999999999996</v>
      </c>
      <c r="I1506" s="8">
        <v>859.26</v>
      </c>
      <c r="J1506" s="8">
        <v>0.05</v>
      </c>
      <c r="K1506" t="str">
        <f>IF(SalesData[[#This Row],[Profit]]&gt;0,"Profit","Loss")</f>
        <v>Profit</v>
      </c>
      <c r="L1506" s="8">
        <f>SalesData[[#This Row],[Profit]]/SalesData[[#This Row],[Sales]]</f>
        <v>0.19171779825520427</v>
      </c>
      <c r="M1506" t="str">
        <f>TEXT(SalesData[[#This Row],[Order_Date]],"mmm")</f>
        <v>May</v>
      </c>
      <c r="N1506">
        <f>YEAR(SalesData[[#This Row],[Order_Date]])</f>
        <v>2022</v>
      </c>
    </row>
    <row r="1507" spans="1:14" x14ac:dyDescent="0.3">
      <c r="A1507" t="s">
        <v>2687</v>
      </c>
      <c r="B1507" s="1">
        <v>45119</v>
      </c>
      <c r="C1507" t="s">
        <v>2455</v>
      </c>
      <c r="D1507" t="s">
        <v>18</v>
      </c>
      <c r="E1507" t="s">
        <v>56</v>
      </c>
      <c r="F1507" t="s">
        <v>57</v>
      </c>
      <c r="G1507" t="s">
        <v>1132</v>
      </c>
      <c r="H1507" s="8">
        <v>2272.5500000000002</v>
      </c>
      <c r="I1507" s="8">
        <v>-503.27</v>
      </c>
      <c r="J1507" s="8">
        <v>0.21</v>
      </c>
      <c r="K1507" t="str">
        <f>IF(SalesData[[#This Row],[Profit]]&gt;0,"Profit","Loss")</f>
        <v>Loss</v>
      </c>
      <c r="L1507" s="8">
        <f>SalesData[[#This Row],[Profit]]/SalesData[[#This Row],[Sales]]</f>
        <v>-0.22145607357373873</v>
      </c>
      <c r="M1507" t="str">
        <f>TEXT(SalesData[[#This Row],[Order_Date]],"mmm")</f>
        <v>Jul</v>
      </c>
      <c r="N1507">
        <f>YEAR(SalesData[[#This Row],[Order_Date]])</f>
        <v>2023</v>
      </c>
    </row>
    <row r="1508" spans="1:14" x14ac:dyDescent="0.3">
      <c r="A1508" t="s">
        <v>2688</v>
      </c>
      <c r="B1508" s="1">
        <v>44886</v>
      </c>
      <c r="C1508" t="s">
        <v>330</v>
      </c>
      <c r="D1508" t="s">
        <v>18</v>
      </c>
      <c r="E1508" t="s">
        <v>13</v>
      </c>
      <c r="F1508" t="s">
        <v>24</v>
      </c>
      <c r="G1508" t="s">
        <v>2076</v>
      </c>
      <c r="H1508" s="8">
        <v>181.7</v>
      </c>
      <c r="I1508" s="8">
        <v>10.71</v>
      </c>
      <c r="J1508" s="8">
        <v>0.25</v>
      </c>
      <c r="K1508" t="str">
        <f>IF(SalesData[[#This Row],[Profit]]&gt;0,"Profit","Loss")</f>
        <v>Profit</v>
      </c>
      <c r="L1508" s="8">
        <f>SalesData[[#This Row],[Profit]]/SalesData[[#This Row],[Sales]]</f>
        <v>5.8943313153549816E-2</v>
      </c>
      <c r="M1508" t="str">
        <f>TEXT(SalesData[[#This Row],[Order_Date]],"mmm")</f>
        <v>Nov</v>
      </c>
      <c r="N1508">
        <f>YEAR(SalesData[[#This Row],[Order_Date]])</f>
        <v>2022</v>
      </c>
    </row>
    <row r="1509" spans="1:14" x14ac:dyDescent="0.3">
      <c r="A1509" t="s">
        <v>2689</v>
      </c>
      <c r="B1509" s="1">
        <v>44974</v>
      </c>
      <c r="C1509" t="s">
        <v>1167</v>
      </c>
      <c r="D1509" t="s">
        <v>12</v>
      </c>
      <c r="E1509" t="s">
        <v>13</v>
      </c>
      <c r="F1509" t="s">
        <v>24</v>
      </c>
      <c r="G1509" t="s">
        <v>520</v>
      </c>
      <c r="H1509" s="8">
        <v>4727.07</v>
      </c>
      <c r="I1509" s="8">
        <v>1013.14</v>
      </c>
      <c r="J1509" s="8">
        <v>0.15</v>
      </c>
      <c r="K1509" t="str">
        <f>IF(SalesData[[#This Row],[Profit]]&gt;0,"Profit","Loss")</f>
        <v>Profit</v>
      </c>
      <c r="L1509" s="8">
        <f>SalesData[[#This Row],[Profit]]/SalesData[[#This Row],[Sales]]</f>
        <v>0.21432726826554294</v>
      </c>
      <c r="M1509" t="str">
        <f>TEXT(SalesData[[#This Row],[Order_Date]],"mmm")</f>
        <v>Feb</v>
      </c>
      <c r="N1509">
        <f>YEAR(SalesData[[#This Row],[Order_Date]])</f>
        <v>2023</v>
      </c>
    </row>
    <row r="1510" spans="1:14" x14ac:dyDescent="0.3">
      <c r="A1510" t="s">
        <v>2690</v>
      </c>
      <c r="B1510" s="1">
        <v>44607</v>
      </c>
      <c r="C1510" t="s">
        <v>1482</v>
      </c>
      <c r="D1510" t="s">
        <v>18</v>
      </c>
      <c r="E1510" t="s">
        <v>56</v>
      </c>
      <c r="F1510" t="s">
        <v>73</v>
      </c>
      <c r="G1510" t="s">
        <v>1442</v>
      </c>
      <c r="H1510" s="8">
        <v>822.82</v>
      </c>
      <c r="I1510" s="8">
        <v>-145.19</v>
      </c>
      <c r="J1510" s="8">
        <v>0.08</v>
      </c>
      <c r="K1510" t="str">
        <f>IF(SalesData[[#This Row],[Profit]]&gt;0,"Profit","Loss")</f>
        <v>Loss</v>
      </c>
      <c r="L1510" s="8">
        <f>SalesData[[#This Row],[Profit]]/SalesData[[#This Row],[Sales]]</f>
        <v>-0.17645414549962324</v>
      </c>
      <c r="M1510" t="str">
        <f>TEXT(SalesData[[#This Row],[Order_Date]],"mmm")</f>
        <v>Feb</v>
      </c>
      <c r="N1510">
        <f>YEAR(SalesData[[#This Row],[Order_Date]])</f>
        <v>2022</v>
      </c>
    </row>
    <row r="1511" spans="1:14" x14ac:dyDescent="0.3">
      <c r="A1511" t="s">
        <v>2691</v>
      </c>
      <c r="B1511" s="1">
        <v>44565</v>
      </c>
      <c r="C1511" t="s">
        <v>2219</v>
      </c>
      <c r="D1511" t="s">
        <v>40</v>
      </c>
      <c r="E1511" t="s">
        <v>13</v>
      </c>
      <c r="F1511" t="s">
        <v>36</v>
      </c>
      <c r="G1511" t="s">
        <v>1741</v>
      </c>
      <c r="H1511" s="8">
        <v>947.54</v>
      </c>
      <c r="I1511" s="8">
        <v>78.38</v>
      </c>
      <c r="J1511" s="8">
        <v>0.22</v>
      </c>
      <c r="K1511" t="str">
        <f>IF(SalesData[[#This Row],[Profit]]&gt;0,"Profit","Loss")</f>
        <v>Profit</v>
      </c>
      <c r="L1511" s="8">
        <f>SalesData[[#This Row],[Profit]]/SalesData[[#This Row],[Sales]]</f>
        <v>8.2719463030584459E-2</v>
      </c>
      <c r="M1511" t="str">
        <f>TEXT(SalesData[[#This Row],[Order_Date]],"mmm")</f>
        <v>Jan</v>
      </c>
      <c r="N1511">
        <f>YEAR(SalesData[[#This Row],[Order_Date]])</f>
        <v>2022</v>
      </c>
    </row>
    <row r="1512" spans="1:14" x14ac:dyDescent="0.3">
      <c r="A1512" t="s">
        <v>2692</v>
      </c>
      <c r="B1512" s="1">
        <v>45141</v>
      </c>
      <c r="C1512" t="s">
        <v>2693</v>
      </c>
      <c r="D1512" t="s">
        <v>12</v>
      </c>
      <c r="E1512" t="s">
        <v>19</v>
      </c>
      <c r="F1512" t="s">
        <v>20</v>
      </c>
      <c r="G1512" t="s">
        <v>412</v>
      </c>
      <c r="H1512" s="8">
        <v>1773.12</v>
      </c>
      <c r="I1512" s="8">
        <v>84.71</v>
      </c>
      <c r="J1512" s="8">
        <v>0.17</v>
      </c>
      <c r="K1512" t="str">
        <f>IF(SalesData[[#This Row],[Profit]]&gt;0,"Profit","Loss")</f>
        <v>Profit</v>
      </c>
      <c r="L1512" s="8">
        <f>SalesData[[#This Row],[Profit]]/SalesData[[#This Row],[Sales]]</f>
        <v>4.7774544306081933E-2</v>
      </c>
      <c r="M1512" t="str">
        <f>TEXT(SalesData[[#This Row],[Order_Date]],"mmm")</f>
        <v>Aug</v>
      </c>
      <c r="N1512">
        <f>YEAR(SalesData[[#This Row],[Order_Date]])</f>
        <v>2023</v>
      </c>
    </row>
    <row r="1513" spans="1:14" x14ac:dyDescent="0.3">
      <c r="A1513" t="s">
        <v>2694</v>
      </c>
      <c r="B1513" s="1">
        <v>44582</v>
      </c>
      <c r="C1513" t="s">
        <v>2148</v>
      </c>
      <c r="D1513" t="s">
        <v>18</v>
      </c>
      <c r="E1513" t="s">
        <v>56</v>
      </c>
      <c r="F1513" t="s">
        <v>57</v>
      </c>
      <c r="G1513" t="s">
        <v>1737</v>
      </c>
      <c r="H1513" s="8">
        <v>3674.8</v>
      </c>
      <c r="I1513" s="8">
        <v>347.96</v>
      </c>
      <c r="J1513" s="8">
        <v>0.06</v>
      </c>
      <c r="K1513" t="str">
        <f>IF(SalesData[[#This Row],[Profit]]&gt;0,"Profit","Loss")</f>
        <v>Profit</v>
      </c>
      <c r="L1513" s="8">
        <f>SalesData[[#This Row],[Profit]]/SalesData[[#This Row],[Sales]]</f>
        <v>9.4688146293675834E-2</v>
      </c>
      <c r="M1513" t="str">
        <f>TEXT(SalesData[[#This Row],[Order_Date]],"mmm")</f>
        <v>Jan</v>
      </c>
      <c r="N1513">
        <f>YEAR(SalesData[[#This Row],[Order_Date]])</f>
        <v>2022</v>
      </c>
    </row>
    <row r="1514" spans="1:14" x14ac:dyDescent="0.3">
      <c r="A1514" t="s">
        <v>2695</v>
      </c>
      <c r="B1514" s="1">
        <v>44814</v>
      </c>
      <c r="C1514" t="s">
        <v>475</v>
      </c>
      <c r="D1514" t="s">
        <v>18</v>
      </c>
      <c r="E1514" t="s">
        <v>56</v>
      </c>
      <c r="F1514" t="s">
        <v>57</v>
      </c>
      <c r="G1514" t="s">
        <v>465</v>
      </c>
      <c r="H1514" s="8">
        <v>3225.93</v>
      </c>
      <c r="I1514" s="8">
        <v>601.04999999999995</v>
      </c>
      <c r="J1514" s="8">
        <v>0.14000000000000001</v>
      </c>
      <c r="K1514" t="str">
        <f>IF(SalesData[[#This Row],[Profit]]&gt;0,"Profit","Loss")</f>
        <v>Profit</v>
      </c>
      <c r="L1514" s="8">
        <f>SalesData[[#This Row],[Profit]]/SalesData[[#This Row],[Sales]]</f>
        <v>0.18631836400665855</v>
      </c>
      <c r="M1514" t="str">
        <f>TEXT(SalesData[[#This Row],[Order_Date]],"mmm")</f>
        <v>Sep</v>
      </c>
      <c r="N1514">
        <f>YEAR(SalesData[[#This Row],[Order_Date]])</f>
        <v>2022</v>
      </c>
    </row>
    <row r="1515" spans="1:14" x14ac:dyDescent="0.3">
      <c r="A1515" t="s">
        <v>2696</v>
      </c>
      <c r="B1515" s="1">
        <v>44847</v>
      </c>
      <c r="C1515" t="s">
        <v>758</v>
      </c>
      <c r="D1515" t="s">
        <v>40</v>
      </c>
      <c r="E1515" t="s">
        <v>13</v>
      </c>
      <c r="F1515" t="s">
        <v>14</v>
      </c>
      <c r="G1515" t="s">
        <v>1220</v>
      </c>
      <c r="H1515" s="8">
        <v>1621.39</v>
      </c>
      <c r="I1515" s="8">
        <v>-223.35</v>
      </c>
      <c r="J1515" s="8">
        <v>0.11</v>
      </c>
      <c r="K1515" t="str">
        <f>IF(SalesData[[#This Row],[Profit]]&gt;0,"Profit","Loss")</f>
        <v>Loss</v>
      </c>
      <c r="L1515" s="8">
        <f>SalesData[[#This Row],[Profit]]/SalesData[[#This Row],[Sales]]</f>
        <v>-0.13775217560241521</v>
      </c>
      <c r="M1515" t="str">
        <f>TEXT(SalesData[[#This Row],[Order_Date]],"mmm")</f>
        <v>Oct</v>
      </c>
      <c r="N1515">
        <f>YEAR(SalesData[[#This Row],[Order_Date]])</f>
        <v>2022</v>
      </c>
    </row>
    <row r="1516" spans="1:14" x14ac:dyDescent="0.3">
      <c r="A1516" t="s">
        <v>2697</v>
      </c>
      <c r="B1516" s="1">
        <v>44827</v>
      </c>
      <c r="C1516" t="s">
        <v>1494</v>
      </c>
      <c r="D1516" t="s">
        <v>28</v>
      </c>
      <c r="E1516" t="s">
        <v>56</v>
      </c>
      <c r="F1516" t="s">
        <v>57</v>
      </c>
      <c r="G1516" t="s">
        <v>53</v>
      </c>
      <c r="H1516" s="8">
        <v>1436.72</v>
      </c>
      <c r="I1516" s="8">
        <v>470.62</v>
      </c>
      <c r="J1516" s="8">
        <v>0.06</v>
      </c>
      <c r="K1516" t="str">
        <f>IF(SalesData[[#This Row],[Profit]]&gt;0,"Profit","Loss")</f>
        <v>Profit</v>
      </c>
      <c r="L1516" s="8">
        <f>SalesData[[#This Row],[Profit]]/SalesData[[#This Row],[Sales]]</f>
        <v>0.32756556601147058</v>
      </c>
      <c r="M1516" t="str">
        <f>TEXT(SalesData[[#This Row],[Order_Date]],"mmm")</f>
        <v>Sep</v>
      </c>
      <c r="N1516">
        <f>YEAR(SalesData[[#This Row],[Order_Date]])</f>
        <v>2022</v>
      </c>
    </row>
    <row r="1517" spans="1:14" x14ac:dyDescent="0.3">
      <c r="A1517" t="s">
        <v>2698</v>
      </c>
      <c r="B1517" s="1">
        <v>45097</v>
      </c>
      <c r="C1517" t="s">
        <v>1945</v>
      </c>
      <c r="D1517" t="s">
        <v>18</v>
      </c>
      <c r="E1517" t="s">
        <v>56</v>
      </c>
      <c r="F1517" t="s">
        <v>95</v>
      </c>
      <c r="G1517" t="s">
        <v>572</v>
      </c>
      <c r="H1517" s="8">
        <v>1840.25</v>
      </c>
      <c r="I1517" s="8">
        <v>282.33999999999997</v>
      </c>
      <c r="J1517" s="8">
        <v>0.11</v>
      </c>
      <c r="K1517" t="str">
        <f>IF(SalesData[[#This Row],[Profit]]&gt;0,"Profit","Loss")</f>
        <v>Profit</v>
      </c>
      <c r="L1517" s="8">
        <f>SalesData[[#This Row],[Profit]]/SalesData[[#This Row],[Sales]]</f>
        <v>0.15342480641217224</v>
      </c>
      <c r="M1517" t="str">
        <f>TEXT(SalesData[[#This Row],[Order_Date]],"mmm")</f>
        <v>Jun</v>
      </c>
      <c r="N1517">
        <f>YEAR(SalesData[[#This Row],[Order_Date]])</f>
        <v>2023</v>
      </c>
    </row>
    <row r="1518" spans="1:14" x14ac:dyDescent="0.3">
      <c r="A1518" t="s">
        <v>2699</v>
      </c>
      <c r="B1518" s="1">
        <v>45006</v>
      </c>
      <c r="C1518" t="s">
        <v>247</v>
      </c>
      <c r="D1518" t="s">
        <v>40</v>
      </c>
      <c r="E1518" t="s">
        <v>13</v>
      </c>
      <c r="F1518" t="s">
        <v>36</v>
      </c>
      <c r="G1518" t="s">
        <v>2700</v>
      </c>
      <c r="H1518" s="8">
        <v>862.95</v>
      </c>
      <c r="I1518" s="8">
        <v>195.25</v>
      </c>
      <c r="J1518" s="8">
        <v>0.17</v>
      </c>
      <c r="K1518" t="str">
        <f>IF(SalesData[[#This Row],[Profit]]&gt;0,"Profit","Loss")</f>
        <v>Profit</v>
      </c>
      <c r="L1518" s="8">
        <f>SalesData[[#This Row],[Profit]]/SalesData[[#This Row],[Sales]]</f>
        <v>0.22625876354365837</v>
      </c>
      <c r="M1518" t="str">
        <f>TEXT(SalesData[[#This Row],[Order_Date]],"mmm")</f>
        <v>Mar</v>
      </c>
      <c r="N1518">
        <f>YEAR(SalesData[[#This Row],[Order_Date]])</f>
        <v>2023</v>
      </c>
    </row>
    <row r="1519" spans="1:14" x14ac:dyDescent="0.3">
      <c r="A1519" t="s">
        <v>2701</v>
      </c>
      <c r="B1519" s="1">
        <v>44837</v>
      </c>
      <c r="C1519" t="s">
        <v>509</v>
      </c>
      <c r="D1519" t="s">
        <v>18</v>
      </c>
      <c r="E1519" t="s">
        <v>19</v>
      </c>
      <c r="F1519" t="s">
        <v>141</v>
      </c>
      <c r="G1519" t="s">
        <v>2265</v>
      </c>
      <c r="H1519" s="8">
        <v>4845.6000000000004</v>
      </c>
      <c r="I1519" s="8">
        <v>367.68</v>
      </c>
      <c r="J1519" s="8">
        <v>0.17</v>
      </c>
      <c r="K1519" t="str">
        <f>IF(SalesData[[#This Row],[Profit]]&gt;0,"Profit","Loss")</f>
        <v>Profit</v>
      </c>
      <c r="L1519" s="8">
        <f>SalesData[[#This Row],[Profit]]/SalesData[[#This Row],[Sales]]</f>
        <v>7.5879148093115398E-2</v>
      </c>
      <c r="M1519" t="str">
        <f>TEXT(SalesData[[#This Row],[Order_Date]],"mmm")</f>
        <v>Oct</v>
      </c>
      <c r="N1519">
        <f>YEAR(SalesData[[#This Row],[Order_Date]])</f>
        <v>2022</v>
      </c>
    </row>
    <row r="1520" spans="1:14" x14ac:dyDescent="0.3">
      <c r="A1520" t="s">
        <v>2702</v>
      </c>
      <c r="B1520" s="1">
        <v>45208</v>
      </c>
      <c r="C1520" t="s">
        <v>2703</v>
      </c>
      <c r="D1520" t="s">
        <v>28</v>
      </c>
      <c r="E1520" t="s">
        <v>56</v>
      </c>
      <c r="F1520" t="s">
        <v>95</v>
      </c>
      <c r="G1520" t="s">
        <v>860</v>
      </c>
      <c r="H1520" s="8">
        <v>1378.14</v>
      </c>
      <c r="I1520" s="8">
        <v>-233.98</v>
      </c>
      <c r="J1520" s="8">
        <v>0.28000000000000003</v>
      </c>
      <c r="K1520" t="str">
        <f>IF(SalesData[[#This Row],[Profit]]&gt;0,"Profit","Loss")</f>
        <v>Loss</v>
      </c>
      <c r="L1520" s="8">
        <f>SalesData[[#This Row],[Profit]]/SalesData[[#This Row],[Sales]]</f>
        <v>-0.16977955795492472</v>
      </c>
      <c r="M1520" t="str">
        <f>TEXT(SalesData[[#This Row],[Order_Date]],"mmm")</f>
        <v>Oct</v>
      </c>
      <c r="N1520">
        <f>YEAR(SalesData[[#This Row],[Order_Date]])</f>
        <v>2023</v>
      </c>
    </row>
    <row r="1521" spans="1:14" x14ac:dyDescent="0.3">
      <c r="A1521" t="s">
        <v>2704</v>
      </c>
      <c r="B1521" s="1">
        <v>44596</v>
      </c>
      <c r="C1521" t="s">
        <v>1433</v>
      </c>
      <c r="D1521" t="s">
        <v>12</v>
      </c>
      <c r="E1521" t="s">
        <v>19</v>
      </c>
      <c r="F1521" t="s">
        <v>141</v>
      </c>
      <c r="G1521" t="s">
        <v>1434</v>
      </c>
      <c r="H1521" s="8">
        <v>1682.66</v>
      </c>
      <c r="I1521" s="8">
        <v>42.04</v>
      </c>
      <c r="J1521" s="8">
        <v>0.17</v>
      </c>
      <c r="K1521" t="str">
        <f>IF(SalesData[[#This Row],[Profit]]&gt;0,"Profit","Loss")</f>
        <v>Profit</v>
      </c>
      <c r="L1521" s="8">
        <f>SalesData[[#This Row],[Profit]]/SalesData[[#This Row],[Sales]]</f>
        <v>2.4984251126193048E-2</v>
      </c>
      <c r="M1521" t="str">
        <f>TEXT(SalesData[[#This Row],[Order_Date]],"mmm")</f>
        <v>Feb</v>
      </c>
      <c r="N1521">
        <f>YEAR(SalesData[[#This Row],[Order_Date]])</f>
        <v>2022</v>
      </c>
    </row>
    <row r="1522" spans="1:14" x14ac:dyDescent="0.3">
      <c r="A1522" t="s">
        <v>2705</v>
      </c>
      <c r="B1522" s="1">
        <v>44664</v>
      </c>
      <c r="C1522" t="s">
        <v>2431</v>
      </c>
      <c r="D1522" t="s">
        <v>40</v>
      </c>
      <c r="E1522" t="s">
        <v>19</v>
      </c>
      <c r="F1522" t="s">
        <v>20</v>
      </c>
      <c r="G1522" t="s">
        <v>1271</v>
      </c>
      <c r="H1522" s="8">
        <v>877.88</v>
      </c>
      <c r="I1522" s="8">
        <v>-121.14</v>
      </c>
      <c r="J1522" s="8">
        <v>0.14000000000000001</v>
      </c>
      <c r="K1522" t="str">
        <f>IF(SalesData[[#This Row],[Profit]]&gt;0,"Profit","Loss")</f>
        <v>Loss</v>
      </c>
      <c r="L1522" s="8">
        <f>SalesData[[#This Row],[Profit]]/SalesData[[#This Row],[Sales]]</f>
        <v>-0.13799152503759057</v>
      </c>
      <c r="M1522" t="str">
        <f>TEXT(SalesData[[#This Row],[Order_Date]],"mmm")</f>
        <v>Apr</v>
      </c>
      <c r="N1522">
        <f>YEAR(SalesData[[#This Row],[Order_Date]])</f>
        <v>2022</v>
      </c>
    </row>
    <row r="1523" spans="1:14" x14ac:dyDescent="0.3">
      <c r="A1523" t="s">
        <v>2706</v>
      </c>
      <c r="B1523" s="1">
        <v>45193</v>
      </c>
      <c r="C1523" t="s">
        <v>2707</v>
      </c>
      <c r="D1523" t="s">
        <v>28</v>
      </c>
      <c r="E1523" t="s">
        <v>56</v>
      </c>
      <c r="F1523" t="s">
        <v>95</v>
      </c>
      <c r="G1523" t="s">
        <v>1216</v>
      </c>
      <c r="H1523" s="8">
        <v>2779.21</v>
      </c>
      <c r="I1523" s="8">
        <v>-463</v>
      </c>
      <c r="J1523" s="8">
        <v>0.23</v>
      </c>
      <c r="K1523" t="str">
        <f>IF(SalesData[[#This Row],[Profit]]&gt;0,"Profit","Loss")</f>
        <v>Loss</v>
      </c>
      <c r="L1523" s="8">
        <f>SalesData[[#This Row],[Profit]]/SalesData[[#This Row],[Sales]]</f>
        <v>-0.16659410407993638</v>
      </c>
      <c r="M1523" t="str">
        <f>TEXT(SalesData[[#This Row],[Order_Date]],"mmm")</f>
        <v>Sep</v>
      </c>
      <c r="N1523">
        <f>YEAR(SalesData[[#This Row],[Order_Date]])</f>
        <v>2023</v>
      </c>
    </row>
    <row r="1524" spans="1:14" x14ac:dyDescent="0.3">
      <c r="A1524" t="s">
        <v>2708</v>
      </c>
      <c r="B1524" s="1">
        <v>44907</v>
      </c>
      <c r="C1524" t="s">
        <v>336</v>
      </c>
      <c r="D1524" t="s">
        <v>28</v>
      </c>
      <c r="E1524" t="s">
        <v>19</v>
      </c>
      <c r="F1524" t="s">
        <v>29</v>
      </c>
      <c r="G1524" t="s">
        <v>850</v>
      </c>
      <c r="H1524" s="8">
        <v>4187.07</v>
      </c>
      <c r="I1524" s="8">
        <v>-234.77</v>
      </c>
      <c r="J1524" s="8">
        <v>0.08</v>
      </c>
      <c r="K1524" t="str">
        <f>IF(SalesData[[#This Row],[Profit]]&gt;0,"Profit","Loss")</f>
        <v>Loss</v>
      </c>
      <c r="L1524" s="8">
        <f>SalesData[[#This Row],[Profit]]/SalesData[[#This Row],[Sales]]</f>
        <v>-5.6070235271920468E-2</v>
      </c>
      <c r="M1524" t="str">
        <f>TEXT(SalesData[[#This Row],[Order_Date]],"mmm")</f>
        <v>Dec</v>
      </c>
      <c r="N1524">
        <f>YEAR(SalesData[[#This Row],[Order_Date]])</f>
        <v>2022</v>
      </c>
    </row>
    <row r="1525" spans="1:14" x14ac:dyDescent="0.3">
      <c r="A1525" t="s">
        <v>2709</v>
      </c>
      <c r="B1525" s="1">
        <v>44993</v>
      </c>
      <c r="C1525" t="s">
        <v>1339</v>
      </c>
      <c r="D1525" t="s">
        <v>40</v>
      </c>
      <c r="E1525" t="s">
        <v>56</v>
      </c>
      <c r="F1525" t="s">
        <v>57</v>
      </c>
      <c r="G1525" t="s">
        <v>717</v>
      </c>
      <c r="H1525" s="8">
        <v>3839.55</v>
      </c>
      <c r="I1525" s="8">
        <v>-636.69000000000005</v>
      </c>
      <c r="J1525" s="8">
        <v>0.27</v>
      </c>
      <c r="K1525" t="str">
        <f>IF(SalesData[[#This Row],[Profit]]&gt;0,"Profit","Loss")</f>
        <v>Loss</v>
      </c>
      <c r="L1525" s="8">
        <f>SalesData[[#This Row],[Profit]]/SalesData[[#This Row],[Sales]]</f>
        <v>-0.16582412001406416</v>
      </c>
      <c r="M1525" t="str">
        <f>TEXT(SalesData[[#This Row],[Order_Date]],"mmm")</f>
        <v>Mar</v>
      </c>
      <c r="N1525">
        <f>YEAR(SalesData[[#This Row],[Order_Date]])</f>
        <v>2023</v>
      </c>
    </row>
    <row r="1526" spans="1:14" x14ac:dyDescent="0.3">
      <c r="A1526" t="s">
        <v>2710</v>
      </c>
      <c r="B1526" s="1">
        <v>44869</v>
      </c>
      <c r="C1526" t="s">
        <v>2711</v>
      </c>
      <c r="D1526" t="s">
        <v>18</v>
      </c>
      <c r="E1526" t="s">
        <v>13</v>
      </c>
      <c r="F1526" t="s">
        <v>36</v>
      </c>
      <c r="G1526" t="s">
        <v>2027</v>
      </c>
      <c r="H1526" s="8">
        <v>3006.07</v>
      </c>
      <c r="I1526" s="8">
        <v>-451.42</v>
      </c>
      <c r="J1526" s="8">
        <v>0.05</v>
      </c>
      <c r="K1526" t="str">
        <f>IF(SalesData[[#This Row],[Profit]]&gt;0,"Profit","Loss")</f>
        <v>Loss</v>
      </c>
      <c r="L1526" s="8">
        <f>SalesData[[#This Row],[Profit]]/SalesData[[#This Row],[Sales]]</f>
        <v>-0.15016949039776187</v>
      </c>
      <c r="M1526" t="str">
        <f>TEXT(SalesData[[#This Row],[Order_Date]],"mmm")</f>
        <v>Nov</v>
      </c>
      <c r="N1526">
        <f>YEAR(SalesData[[#This Row],[Order_Date]])</f>
        <v>2022</v>
      </c>
    </row>
    <row r="1527" spans="1:14" x14ac:dyDescent="0.3">
      <c r="A1527" t="s">
        <v>2712</v>
      </c>
      <c r="B1527" s="1">
        <v>44654</v>
      </c>
      <c r="C1527" t="s">
        <v>1405</v>
      </c>
      <c r="D1527" t="s">
        <v>18</v>
      </c>
      <c r="E1527" t="s">
        <v>13</v>
      </c>
      <c r="F1527" t="s">
        <v>14</v>
      </c>
      <c r="G1527" t="s">
        <v>1191</v>
      </c>
      <c r="H1527" s="8">
        <v>736.47</v>
      </c>
      <c r="I1527" s="8">
        <v>203.23</v>
      </c>
      <c r="J1527" s="8">
        <v>0.1</v>
      </c>
      <c r="K1527" t="str">
        <f>IF(SalesData[[#This Row],[Profit]]&gt;0,"Profit","Loss")</f>
        <v>Profit</v>
      </c>
      <c r="L1527" s="8">
        <f>SalesData[[#This Row],[Profit]]/SalesData[[#This Row],[Sales]]</f>
        <v>0.27595149836381655</v>
      </c>
      <c r="M1527" t="str">
        <f>TEXT(SalesData[[#This Row],[Order_Date]],"mmm")</f>
        <v>Apr</v>
      </c>
      <c r="N1527">
        <f>YEAR(SalesData[[#This Row],[Order_Date]])</f>
        <v>2022</v>
      </c>
    </row>
    <row r="1528" spans="1:14" x14ac:dyDescent="0.3">
      <c r="A1528" t="s">
        <v>2713</v>
      </c>
      <c r="B1528" s="1">
        <v>44767</v>
      </c>
      <c r="C1528" t="s">
        <v>2714</v>
      </c>
      <c r="D1528" t="s">
        <v>40</v>
      </c>
      <c r="E1528" t="s">
        <v>19</v>
      </c>
      <c r="F1528" t="s">
        <v>29</v>
      </c>
      <c r="G1528" t="s">
        <v>1411</v>
      </c>
      <c r="H1528" s="8">
        <v>2040.37</v>
      </c>
      <c r="I1528" s="8">
        <v>112.56</v>
      </c>
      <c r="J1528" s="8">
        <v>0.14000000000000001</v>
      </c>
      <c r="K1528" t="str">
        <f>IF(SalesData[[#This Row],[Profit]]&gt;0,"Profit","Loss")</f>
        <v>Profit</v>
      </c>
      <c r="L1528" s="8">
        <f>SalesData[[#This Row],[Profit]]/SalesData[[#This Row],[Sales]]</f>
        <v>5.5166464905874922E-2</v>
      </c>
      <c r="M1528" t="str">
        <f>TEXT(SalesData[[#This Row],[Order_Date]],"mmm")</f>
        <v>Jul</v>
      </c>
      <c r="N1528">
        <f>YEAR(SalesData[[#This Row],[Order_Date]])</f>
        <v>2022</v>
      </c>
    </row>
    <row r="1529" spans="1:14" x14ac:dyDescent="0.3">
      <c r="A1529" t="s">
        <v>2715</v>
      </c>
      <c r="B1529" s="1">
        <v>44812</v>
      </c>
      <c r="C1529" t="s">
        <v>1259</v>
      </c>
      <c r="D1529" t="s">
        <v>40</v>
      </c>
      <c r="E1529" t="s">
        <v>56</v>
      </c>
      <c r="F1529" t="s">
        <v>57</v>
      </c>
      <c r="G1529" t="s">
        <v>1150</v>
      </c>
      <c r="H1529" s="8">
        <v>1257.3</v>
      </c>
      <c r="I1529" s="8">
        <v>-258.88</v>
      </c>
      <c r="J1529" s="8">
        <v>0.06</v>
      </c>
      <c r="K1529" t="str">
        <f>IF(SalesData[[#This Row],[Profit]]&gt;0,"Profit","Loss")</f>
        <v>Loss</v>
      </c>
      <c r="L1529" s="8">
        <f>SalesData[[#This Row],[Profit]]/SalesData[[#This Row],[Sales]]</f>
        <v>-0.2059015350353933</v>
      </c>
      <c r="M1529" t="str">
        <f>TEXT(SalesData[[#This Row],[Order_Date]],"mmm")</f>
        <v>Sep</v>
      </c>
      <c r="N1529">
        <f>YEAR(SalesData[[#This Row],[Order_Date]])</f>
        <v>2022</v>
      </c>
    </row>
    <row r="1530" spans="1:14" x14ac:dyDescent="0.3">
      <c r="A1530" t="s">
        <v>2716</v>
      </c>
      <c r="B1530" s="1">
        <v>45277</v>
      </c>
      <c r="C1530" t="s">
        <v>2717</v>
      </c>
      <c r="D1530" t="s">
        <v>28</v>
      </c>
      <c r="E1530" t="s">
        <v>19</v>
      </c>
      <c r="F1530" t="s">
        <v>20</v>
      </c>
      <c r="G1530" t="s">
        <v>1300</v>
      </c>
      <c r="H1530" s="8">
        <v>1789.09</v>
      </c>
      <c r="I1530" s="8">
        <v>128.94</v>
      </c>
      <c r="J1530" s="8">
        <v>0.14000000000000001</v>
      </c>
      <c r="K1530" t="str">
        <f>IF(SalesData[[#This Row],[Profit]]&gt;0,"Profit","Loss")</f>
        <v>Profit</v>
      </c>
      <c r="L1530" s="8">
        <f>SalesData[[#This Row],[Profit]]/SalesData[[#This Row],[Sales]]</f>
        <v>7.2070158572235046E-2</v>
      </c>
      <c r="M1530" t="str">
        <f>TEXT(SalesData[[#This Row],[Order_Date]],"mmm")</f>
        <v>Dec</v>
      </c>
      <c r="N1530">
        <f>YEAR(SalesData[[#This Row],[Order_Date]])</f>
        <v>2023</v>
      </c>
    </row>
    <row r="1531" spans="1:14" x14ac:dyDescent="0.3">
      <c r="A1531" t="s">
        <v>2718</v>
      </c>
      <c r="B1531" s="1">
        <v>44693</v>
      </c>
      <c r="C1531" t="s">
        <v>2262</v>
      </c>
      <c r="D1531" t="s">
        <v>18</v>
      </c>
      <c r="E1531" t="s">
        <v>19</v>
      </c>
      <c r="F1531" t="s">
        <v>29</v>
      </c>
      <c r="G1531" t="s">
        <v>2463</v>
      </c>
      <c r="H1531" s="8">
        <v>3560.5</v>
      </c>
      <c r="I1531" s="8">
        <v>-1326.3</v>
      </c>
      <c r="J1531" s="8">
        <v>0.23</v>
      </c>
      <c r="K1531" t="str">
        <f>IF(SalesData[[#This Row],[Profit]]&gt;0,"Profit","Loss")</f>
        <v>Loss</v>
      </c>
      <c r="L1531" s="8">
        <f>SalesData[[#This Row],[Profit]]/SalesData[[#This Row],[Sales]]</f>
        <v>-0.3725038618171605</v>
      </c>
      <c r="M1531" t="str">
        <f>TEXT(SalesData[[#This Row],[Order_Date]],"mmm")</f>
        <v>May</v>
      </c>
      <c r="N1531">
        <f>YEAR(SalesData[[#This Row],[Order_Date]])</f>
        <v>2022</v>
      </c>
    </row>
    <row r="1532" spans="1:14" x14ac:dyDescent="0.3">
      <c r="A1532" t="s">
        <v>2719</v>
      </c>
      <c r="B1532" s="1">
        <v>44965</v>
      </c>
      <c r="C1532" t="s">
        <v>623</v>
      </c>
      <c r="D1532" t="s">
        <v>12</v>
      </c>
      <c r="E1532" t="s">
        <v>19</v>
      </c>
      <c r="F1532" t="s">
        <v>29</v>
      </c>
      <c r="G1532" t="s">
        <v>752</v>
      </c>
      <c r="H1532" s="8">
        <v>4116.9799999999996</v>
      </c>
      <c r="I1532" s="8">
        <v>-680.31</v>
      </c>
      <c r="J1532" s="8">
        <v>0.22</v>
      </c>
      <c r="K1532" t="str">
        <f>IF(SalesData[[#This Row],[Profit]]&gt;0,"Profit","Loss")</f>
        <v>Loss</v>
      </c>
      <c r="L1532" s="8">
        <f>SalesData[[#This Row],[Profit]]/SalesData[[#This Row],[Sales]]</f>
        <v>-0.16524491253297321</v>
      </c>
      <c r="M1532" t="str">
        <f>TEXT(SalesData[[#This Row],[Order_Date]],"mmm")</f>
        <v>Feb</v>
      </c>
      <c r="N1532">
        <f>YEAR(SalesData[[#This Row],[Order_Date]])</f>
        <v>2023</v>
      </c>
    </row>
    <row r="1533" spans="1:14" x14ac:dyDescent="0.3">
      <c r="A1533" t="s">
        <v>2720</v>
      </c>
      <c r="B1533" s="1">
        <v>45185</v>
      </c>
      <c r="C1533" t="s">
        <v>1680</v>
      </c>
      <c r="D1533" t="s">
        <v>18</v>
      </c>
      <c r="E1533" t="s">
        <v>19</v>
      </c>
      <c r="F1533" t="s">
        <v>141</v>
      </c>
      <c r="G1533" t="s">
        <v>979</v>
      </c>
      <c r="H1533" s="8">
        <v>3728.1</v>
      </c>
      <c r="I1533" s="8">
        <v>-920.78</v>
      </c>
      <c r="J1533" s="8">
        <v>0.18</v>
      </c>
      <c r="K1533" t="str">
        <f>IF(SalesData[[#This Row],[Profit]]&gt;0,"Profit","Loss")</f>
        <v>Loss</v>
      </c>
      <c r="L1533" s="8">
        <f>SalesData[[#This Row],[Profit]]/SalesData[[#This Row],[Sales]]</f>
        <v>-0.24698371824790108</v>
      </c>
      <c r="M1533" t="str">
        <f>TEXT(SalesData[[#This Row],[Order_Date]],"mmm")</f>
        <v>Sep</v>
      </c>
      <c r="N1533">
        <f>YEAR(SalesData[[#This Row],[Order_Date]])</f>
        <v>2023</v>
      </c>
    </row>
    <row r="1534" spans="1:14" x14ac:dyDescent="0.3">
      <c r="A1534" t="s">
        <v>2721</v>
      </c>
      <c r="B1534" s="1">
        <v>44969</v>
      </c>
      <c r="C1534" t="s">
        <v>1648</v>
      </c>
      <c r="D1534" t="s">
        <v>18</v>
      </c>
      <c r="E1534" t="s">
        <v>19</v>
      </c>
      <c r="F1534" t="s">
        <v>29</v>
      </c>
      <c r="G1534" t="s">
        <v>551</v>
      </c>
      <c r="H1534" s="8">
        <v>2557.13</v>
      </c>
      <c r="I1534" s="8">
        <v>407.87</v>
      </c>
      <c r="J1534" s="8">
        <v>0</v>
      </c>
      <c r="K1534" t="str">
        <f>IF(SalesData[[#This Row],[Profit]]&gt;0,"Profit","Loss")</f>
        <v>Profit</v>
      </c>
      <c r="L1534" s="8">
        <f>SalesData[[#This Row],[Profit]]/SalesData[[#This Row],[Sales]]</f>
        <v>0.15950303660744664</v>
      </c>
      <c r="M1534" t="str">
        <f>TEXT(SalesData[[#This Row],[Order_Date]],"mmm")</f>
        <v>Feb</v>
      </c>
      <c r="N1534">
        <f>YEAR(SalesData[[#This Row],[Order_Date]])</f>
        <v>2023</v>
      </c>
    </row>
    <row r="1535" spans="1:14" x14ac:dyDescent="0.3">
      <c r="A1535" t="s">
        <v>2722</v>
      </c>
      <c r="B1535" s="1">
        <v>44955</v>
      </c>
      <c r="C1535" t="s">
        <v>746</v>
      </c>
      <c r="D1535" t="s">
        <v>18</v>
      </c>
      <c r="E1535" t="s">
        <v>19</v>
      </c>
      <c r="F1535" t="s">
        <v>20</v>
      </c>
      <c r="G1535" t="s">
        <v>300</v>
      </c>
      <c r="H1535" s="8">
        <v>316.81</v>
      </c>
      <c r="I1535" s="8">
        <v>-74.23</v>
      </c>
      <c r="J1535" s="8">
        <v>0.09</v>
      </c>
      <c r="K1535" t="str">
        <f>IF(SalesData[[#This Row],[Profit]]&gt;0,"Profit","Loss")</f>
        <v>Loss</v>
      </c>
      <c r="L1535" s="8">
        <f>SalesData[[#This Row],[Profit]]/SalesData[[#This Row],[Sales]]</f>
        <v>-0.23430447271235127</v>
      </c>
      <c r="M1535" t="str">
        <f>TEXT(SalesData[[#This Row],[Order_Date]],"mmm")</f>
        <v>Jan</v>
      </c>
      <c r="N1535">
        <f>YEAR(SalesData[[#This Row],[Order_Date]])</f>
        <v>2023</v>
      </c>
    </row>
    <row r="1536" spans="1:14" x14ac:dyDescent="0.3">
      <c r="A1536" t="s">
        <v>2723</v>
      </c>
      <c r="B1536" s="1">
        <v>44829</v>
      </c>
      <c r="C1536" t="s">
        <v>1189</v>
      </c>
      <c r="D1536" t="s">
        <v>18</v>
      </c>
      <c r="E1536" t="s">
        <v>56</v>
      </c>
      <c r="F1536" t="s">
        <v>95</v>
      </c>
      <c r="G1536" t="s">
        <v>971</v>
      </c>
      <c r="H1536" s="8">
        <v>1624.35</v>
      </c>
      <c r="I1536" s="8">
        <v>-181.29</v>
      </c>
      <c r="J1536" s="8">
        <v>0.2</v>
      </c>
      <c r="K1536" t="str">
        <f>IF(SalesData[[#This Row],[Profit]]&gt;0,"Profit","Loss")</f>
        <v>Loss</v>
      </c>
      <c r="L1536" s="8">
        <f>SalesData[[#This Row],[Profit]]/SalesData[[#This Row],[Sales]]</f>
        <v>-0.11160772001108135</v>
      </c>
      <c r="M1536" t="str">
        <f>TEXT(SalesData[[#This Row],[Order_Date]],"mmm")</f>
        <v>Sep</v>
      </c>
      <c r="N1536">
        <f>YEAR(SalesData[[#This Row],[Order_Date]])</f>
        <v>2022</v>
      </c>
    </row>
    <row r="1537" spans="1:14" x14ac:dyDescent="0.3">
      <c r="A1537" t="s">
        <v>2724</v>
      </c>
      <c r="B1537" s="1">
        <v>44916</v>
      </c>
      <c r="C1537" t="s">
        <v>1444</v>
      </c>
      <c r="D1537" t="s">
        <v>12</v>
      </c>
      <c r="E1537" t="s">
        <v>19</v>
      </c>
      <c r="F1537" t="s">
        <v>141</v>
      </c>
      <c r="G1537" t="s">
        <v>1132</v>
      </c>
      <c r="H1537" s="8">
        <v>2635.01</v>
      </c>
      <c r="I1537" s="8">
        <v>668.6</v>
      </c>
      <c r="J1537" s="8">
        <v>0.03</v>
      </c>
      <c r="K1537" t="str">
        <f>IF(SalesData[[#This Row],[Profit]]&gt;0,"Profit","Loss")</f>
        <v>Profit</v>
      </c>
      <c r="L1537" s="8">
        <f>SalesData[[#This Row],[Profit]]/SalesData[[#This Row],[Sales]]</f>
        <v>0.25373717746801716</v>
      </c>
      <c r="M1537" t="str">
        <f>TEXT(SalesData[[#This Row],[Order_Date]],"mmm")</f>
        <v>Dec</v>
      </c>
      <c r="N1537">
        <f>YEAR(SalesData[[#This Row],[Order_Date]])</f>
        <v>2022</v>
      </c>
    </row>
    <row r="1538" spans="1:14" x14ac:dyDescent="0.3">
      <c r="A1538" t="s">
        <v>2725</v>
      </c>
      <c r="B1538" s="1">
        <v>45264</v>
      </c>
      <c r="C1538" t="s">
        <v>403</v>
      </c>
      <c r="D1538" t="s">
        <v>12</v>
      </c>
      <c r="E1538" t="s">
        <v>19</v>
      </c>
      <c r="F1538" t="s">
        <v>20</v>
      </c>
      <c r="G1538" t="s">
        <v>2141</v>
      </c>
      <c r="H1538" s="8">
        <v>888.33</v>
      </c>
      <c r="I1538" s="8">
        <v>57.02</v>
      </c>
      <c r="J1538" s="8">
        <v>0.04</v>
      </c>
      <c r="K1538" t="str">
        <f>IF(SalesData[[#This Row],[Profit]]&gt;0,"Profit","Loss")</f>
        <v>Profit</v>
      </c>
      <c r="L1538" s="8">
        <f>SalesData[[#This Row],[Profit]]/SalesData[[#This Row],[Sales]]</f>
        <v>6.4187858115790308E-2</v>
      </c>
      <c r="M1538" t="str">
        <f>TEXT(SalesData[[#This Row],[Order_Date]],"mmm")</f>
        <v>Dec</v>
      </c>
      <c r="N1538">
        <f>YEAR(SalesData[[#This Row],[Order_Date]])</f>
        <v>2023</v>
      </c>
    </row>
    <row r="1539" spans="1:14" x14ac:dyDescent="0.3">
      <c r="A1539" t="s">
        <v>2726</v>
      </c>
      <c r="B1539" s="1">
        <v>44826</v>
      </c>
      <c r="C1539" t="s">
        <v>2159</v>
      </c>
      <c r="D1539" t="s">
        <v>12</v>
      </c>
      <c r="E1539" t="s">
        <v>13</v>
      </c>
      <c r="F1539" t="s">
        <v>24</v>
      </c>
      <c r="G1539" t="s">
        <v>309</v>
      </c>
      <c r="H1539" s="8">
        <v>2068.35</v>
      </c>
      <c r="I1539" s="8">
        <v>-513.41999999999996</v>
      </c>
      <c r="J1539" s="8">
        <v>0.23</v>
      </c>
      <c r="K1539" t="str">
        <f>IF(SalesData[[#This Row],[Profit]]&gt;0,"Profit","Loss")</f>
        <v>Loss</v>
      </c>
      <c r="L1539" s="8">
        <f>SalesData[[#This Row],[Profit]]/SalesData[[#This Row],[Sales]]</f>
        <v>-0.24822684748712742</v>
      </c>
      <c r="M1539" t="str">
        <f>TEXT(SalesData[[#This Row],[Order_Date]],"mmm")</f>
        <v>Sep</v>
      </c>
      <c r="N1539">
        <f>YEAR(SalesData[[#This Row],[Order_Date]])</f>
        <v>2022</v>
      </c>
    </row>
    <row r="1540" spans="1:14" x14ac:dyDescent="0.3">
      <c r="A1540" t="s">
        <v>2727</v>
      </c>
      <c r="B1540" s="1">
        <v>45109</v>
      </c>
      <c r="C1540" t="s">
        <v>391</v>
      </c>
      <c r="D1540" t="s">
        <v>12</v>
      </c>
      <c r="E1540" t="s">
        <v>19</v>
      </c>
      <c r="F1540" t="s">
        <v>141</v>
      </c>
      <c r="G1540" t="s">
        <v>766</v>
      </c>
      <c r="H1540" s="8">
        <v>1926.84</v>
      </c>
      <c r="I1540" s="8">
        <v>-267.76</v>
      </c>
      <c r="J1540" s="8">
        <v>0.14000000000000001</v>
      </c>
      <c r="K1540" t="str">
        <f>IF(SalesData[[#This Row],[Profit]]&gt;0,"Profit","Loss")</f>
        <v>Loss</v>
      </c>
      <c r="L1540" s="8">
        <f>SalesData[[#This Row],[Profit]]/SalesData[[#This Row],[Sales]]</f>
        <v>-0.13896327666023126</v>
      </c>
      <c r="M1540" t="str">
        <f>TEXT(SalesData[[#This Row],[Order_Date]],"mmm")</f>
        <v>Jul</v>
      </c>
      <c r="N1540">
        <f>YEAR(SalesData[[#This Row],[Order_Date]])</f>
        <v>2023</v>
      </c>
    </row>
    <row r="1541" spans="1:14" x14ac:dyDescent="0.3">
      <c r="A1541" t="s">
        <v>2728</v>
      </c>
      <c r="B1541" s="1">
        <v>44715</v>
      </c>
      <c r="C1541" t="s">
        <v>2052</v>
      </c>
      <c r="D1541" t="s">
        <v>40</v>
      </c>
      <c r="E1541" t="s">
        <v>56</v>
      </c>
      <c r="F1541" t="s">
        <v>95</v>
      </c>
      <c r="G1541" t="s">
        <v>291</v>
      </c>
      <c r="H1541" s="8">
        <v>2705.39</v>
      </c>
      <c r="I1541" s="8">
        <v>229.5</v>
      </c>
      <c r="J1541" s="8">
        <v>0.12</v>
      </c>
      <c r="K1541" t="str">
        <f>IF(SalesData[[#This Row],[Profit]]&gt;0,"Profit","Loss")</f>
        <v>Profit</v>
      </c>
      <c r="L1541" s="8">
        <f>SalesData[[#This Row],[Profit]]/SalesData[[#This Row],[Sales]]</f>
        <v>8.4830652881839594E-2</v>
      </c>
      <c r="M1541" t="str">
        <f>TEXT(SalesData[[#This Row],[Order_Date]],"mmm")</f>
        <v>Jun</v>
      </c>
      <c r="N1541">
        <f>YEAR(SalesData[[#This Row],[Order_Date]])</f>
        <v>2022</v>
      </c>
    </row>
    <row r="1542" spans="1:14" x14ac:dyDescent="0.3">
      <c r="A1542" t="s">
        <v>2729</v>
      </c>
      <c r="B1542" s="1">
        <v>45027</v>
      </c>
      <c r="C1542" t="s">
        <v>1346</v>
      </c>
      <c r="D1542" t="s">
        <v>12</v>
      </c>
      <c r="E1542" t="s">
        <v>13</v>
      </c>
      <c r="F1542" t="s">
        <v>24</v>
      </c>
      <c r="G1542" t="s">
        <v>1007</v>
      </c>
      <c r="H1542" s="8">
        <v>1363.4</v>
      </c>
      <c r="I1542" s="8">
        <v>25.51</v>
      </c>
      <c r="J1542" s="8">
        <v>0.15</v>
      </c>
      <c r="K1542" t="str">
        <f>IF(SalesData[[#This Row],[Profit]]&gt;0,"Profit","Loss")</f>
        <v>Profit</v>
      </c>
      <c r="L1542" s="8">
        <f>SalesData[[#This Row],[Profit]]/SalesData[[#This Row],[Sales]]</f>
        <v>1.8710576499926655E-2</v>
      </c>
      <c r="M1542" t="str">
        <f>TEXT(SalesData[[#This Row],[Order_Date]],"mmm")</f>
        <v>Apr</v>
      </c>
      <c r="N1542">
        <f>YEAR(SalesData[[#This Row],[Order_Date]])</f>
        <v>2023</v>
      </c>
    </row>
    <row r="1543" spans="1:14" x14ac:dyDescent="0.3">
      <c r="A1543" t="s">
        <v>2730</v>
      </c>
      <c r="B1543" s="1">
        <v>45175</v>
      </c>
      <c r="C1543" t="s">
        <v>1444</v>
      </c>
      <c r="D1543" t="s">
        <v>40</v>
      </c>
      <c r="E1543" t="s">
        <v>19</v>
      </c>
      <c r="F1543" t="s">
        <v>20</v>
      </c>
      <c r="G1543" t="s">
        <v>1882</v>
      </c>
      <c r="H1543" s="8">
        <v>695.6</v>
      </c>
      <c r="I1543" s="8">
        <v>-90.25</v>
      </c>
      <c r="J1543" s="8">
        <v>0.15</v>
      </c>
      <c r="K1543" t="str">
        <f>IF(SalesData[[#This Row],[Profit]]&gt;0,"Profit","Loss")</f>
        <v>Loss</v>
      </c>
      <c r="L1543" s="8">
        <f>SalesData[[#This Row],[Profit]]/SalesData[[#This Row],[Sales]]</f>
        <v>-0.12974410580793558</v>
      </c>
      <c r="M1543" t="str">
        <f>TEXT(SalesData[[#This Row],[Order_Date]],"mmm")</f>
        <v>Sep</v>
      </c>
      <c r="N1543">
        <f>YEAR(SalesData[[#This Row],[Order_Date]])</f>
        <v>2023</v>
      </c>
    </row>
    <row r="1544" spans="1:14" x14ac:dyDescent="0.3">
      <c r="A1544" t="s">
        <v>2731</v>
      </c>
      <c r="B1544" s="1">
        <v>44835</v>
      </c>
      <c r="C1544" t="s">
        <v>159</v>
      </c>
      <c r="D1544" t="s">
        <v>40</v>
      </c>
      <c r="E1544" t="s">
        <v>19</v>
      </c>
      <c r="F1544" t="s">
        <v>29</v>
      </c>
      <c r="G1544" t="s">
        <v>1970</v>
      </c>
      <c r="H1544" s="8">
        <v>3407.48</v>
      </c>
      <c r="I1544" s="8">
        <v>-1417.11</v>
      </c>
      <c r="J1544" s="8">
        <v>0.23</v>
      </c>
      <c r="K1544" t="str">
        <f>IF(SalesData[[#This Row],[Profit]]&gt;0,"Profit","Loss")</f>
        <v>Loss</v>
      </c>
      <c r="L1544" s="8">
        <f>SalesData[[#This Row],[Profit]]/SalesData[[#This Row],[Sales]]</f>
        <v>-0.41588211816356951</v>
      </c>
      <c r="M1544" t="str">
        <f>TEXT(SalesData[[#This Row],[Order_Date]],"mmm")</f>
        <v>Oct</v>
      </c>
      <c r="N1544">
        <f>YEAR(SalesData[[#This Row],[Order_Date]])</f>
        <v>2022</v>
      </c>
    </row>
    <row r="1545" spans="1:14" x14ac:dyDescent="0.3">
      <c r="A1545" t="s">
        <v>2732</v>
      </c>
      <c r="B1545" s="1">
        <v>44676</v>
      </c>
      <c r="C1545" t="s">
        <v>1767</v>
      </c>
      <c r="D1545" t="s">
        <v>12</v>
      </c>
      <c r="E1545" t="s">
        <v>19</v>
      </c>
      <c r="F1545" t="s">
        <v>20</v>
      </c>
      <c r="G1545" t="s">
        <v>1470</v>
      </c>
      <c r="H1545" s="8">
        <v>2289.17</v>
      </c>
      <c r="I1545" s="8">
        <v>-614.94000000000005</v>
      </c>
      <c r="J1545" s="8">
        <v>0.09</v>
      </c>
      <c r="K1545" t="str">
        <f>IF(SalesData[[#This Row],[Profit]]&gt;0,"Profit","Loss")</f>
        <v>Loss</v>
      </c>
      <c r="L1545" s="8">
        <f>SalesData[[#This Row],[Profit]]/SalesData[[#This Row],[Sales]]</f>
        <v>-0.26863011484511856</v>
      </c>
      <c r="M1545" t="str">
        <f>TEXT(SalesData[[#This Row],[Order_Date]],"mmm")</f>
        <v>Apr</v>
      </c>
      <c r="N1545">
        <f>YEAR(SalesData[[#This Row],[Order_Date]])</f>
        <v>2022</v>
      </c>
    </row>
    <row r="1546" spans="1:14" x14ac:dyDescent="0.3">
      <c r="A1546" t="s">
        <v>2733</v>
      </c>
      <c r="B1546" s="1">
        <v>44710</v>
      </c>
      <c r="C1546" t="s">
        <v>922</v>
      </c>
      <c r="D1546" t="s">
        <v>28</v>
      </c>
      <c r="E1546" t="s">
        <v>13</v>
      </c>
      <c r="F1546" t="s">
        <v>36</v>
      </c>
      <c r="G1546" t="s">
        <v>444</v>
      </c>
      <c r="H1546" s="8">
        <v>1318.27</v>
      </c>
      <c r="I1546" s="8">
        <v>-228.4</v>
      </c>
      <c r="J1546" s="8">
        <v>0.03</v>
      </c>
      <c r="K1546" t="str">
        <f>IF(SalesData[[#This Row],[Profit]]&gt;0,"Profit","Loss")</f>
        <v>Loss</v>
      </c>
      <c r="L1546" s="8">
        <f>SalesData[[#This Row],[Profit]]/SalesData[[#This Row],[Sales]]</f>
        <v>-0.17325737519627998</v>
      </c>
      <c r="M1546" t="str">
        <f>TEXT(SalesData[[#This Row],[Order_Date]],"mmm")</f>
        <v>May</v>
      </c>
      <c r="N1546">
        <f>YEAR(SalesData[[#This Row],[Order_Date]])</f>
        <v>2022</v>
      </c>
    </row>
    <row r="1547" spans="1:14" x14ac:dyDescent="0.3">
      <c r="A1547" t="s">
        <v>2734</v>
      </c>
      <c r="B1547" s="1">
        <v>45098</v>
      </c>
      <c r="C1547" t="s">
        <v>1112</v>
      </c>
      <c r="D1547" t="s">
        <v>28</v>
      </c>
      <c r="E1547" t="s">
        <v>19</v>
      </c>
      <c r="F1547" t="s">
        <v>29</v>
      </c>
      <c r="G1547" t="s">
        <v>1176</v>
      </c>
      <c r="H1547" s="8">
        <v>4862.08</v>
      </c>
      <c r="I1547" s="8">
        <v>-1281.3499999999999</v>
      </c>
      <c r="J1547" s="8">
        <v>0.21</v>
      </c>
      <c r="K1547" t="str">
        <f>IF(SalesData[[#This Row],[Profit]]&gt;0,"Profit","Loss")</f>
        <v>Loss</v>
      </c>
      <c r="L1547" s="8">
        <f>SalesData[[#This Row],[Profit]]/SalesData[[#This Row],[Sales]]</f>
        <v>-0.26353947281821771</v>
      </c>
      <c r="M1547" t="str">
        <f>TEXT(SalesData[[#This Row],[Order_Date]],"mmm")</f>
        <v>Jun</v>
      </c>
      <c r="N1547">
        <f>YEAR(SalesData[[#This Row],[Order_Date]])</f>
        <v>2023</v>
      </c>
    </row>
    <row r="1548" spans="1:14" x14ac:dyDescent="0.3">
      <c r="A1548" t="s">
        <v>2735</v>
      </c>
      <c r="B1548" s="1">
        <v>45215</v>
      </c>
      <c r="C1548" t="s">
        <v>2283</v>
      </c>
      <c r="D1548" t="s">
        <v>28</v>
      </c>
      <c r="E1548" t="s">
        <v>56</v>
      </c>
      <c r="F1548" t="s">
        <v>95</v>
      </c>
      <c r="G1548" t="s">
        <v>1786</v>
      </c>
      <c r="H1548" s="8">
        <v>1926.7</v>
      </c>
      <c r="I1548" s="8">
        <v>666.84</v>
      </c>
      <c r="J1548" s="8">
        <v>0.04</v>
      </c>
      <c r="K1548" t="str">
        <f>IF(SalesData[[#This Row],[Profit]]&gt;0,"Profit","Loss")</f>
        <v>Profit</v>
      </c>
      <c r="L1548" s="8">
        <f>SalesData[[#This Row],[Profit]]/SalesData[[#This Row],[Sales]]</f>
        <v>0.34610473867234132</v>
      </c>
      <c r="M1548" t="str">
        <f>TEXT(SalesData[[#This Row],[Order_Date]],"mmm")</f>
        <v>Oct</v>
      </c>
      <c r="N1548">
        <f>YEAR(SalesData[[#This Row],[Order_Date]])</f>
        <v>2023</v>
      </c>
    </row>
    <row r="1549" spans="1:14" x14ac:dyDescent="0.3">
      <c r="A1549" t="s">
        <v>2736</v>
      </c>
      <c r="B1549" s="1">
        <v>44972</v>
      </c>
      <c r="C1549" t="s">
        <v>1315</v>
      </c>
      <c r="D1549" t="s">
        <v>18</v>
      </c>
      <c r="E1549" t="s">
        <v>13</v>
      </c>
      <c r="F1549" t="s">
        <v>14</v>
      </c>
      <c r="G1549" t="s">
        <v>205</v>
      </c>
      <c r="H1549" s="8">
        <v>1755.09</v>
      </c>
      <c r="I1549" s="8">
        <v>-366.48</v>
      </c>
      <c r="J1549" s="8">
        <v>0.19</v>
      </c>
      <c r="K1549" t="str">
        <f>IF(SalesData[[#This Row],[Profit]]&gt;0,"Profit","Loss")</f>
        <v>Loss</v>
      </c>
      <c r="L1549" s="8">
        <f>SalesData[[#This Row],[Profit]]/SalesData[[#This Row],[Sales]]</f>
        <v>-0.20880980462540386</v>
      </c>
      <c r="M1549" t="str">
        <f>TEXT(SalesData[[#This Row],[Order_Date]],"mmm")</f>
        <v>Feb</v>
      </c>
      <c r="N1549">
        <f>YEAR(SalesData[[#This Row],[Order_Date]])</f>
        <v>2023</v>
      </c>
    </row>
    <row r="1550" spans="1:14" x14ac:dyDescent="0.3">
      <c r="A1550" t="s">
        <v>2737</v>
      </c>
      <c r="B1550" s="1">
        <v>45005</v>
      </c>
      <c r="C1550" t="s">
        <v>1757</v>
      </c>
      <c r="D1550" t="s">
        <v>18</v>
      </c>
      <c r="E1550" t="s">
        <v>13</v>
      </c>
      <c r="F1550" t="s">
        <v>36</v>
      </c>
      <c r="G1550" t="s">
        <v>840</v>
      </c>
      <c r="H1550" s="8">
        <v>3635.81</v>
      </c>
      <c r="I1550" s="8">
        <v>-1354.08</v>
      </c>
      <c r="J1550" s="8">
        <v>0.22</v>
      </c>
      <c r="K1550" t="str">
        <f>IF(SalesData[[#This Row],[Profit]]&gt;0,"Profit","Loss")</f>
        <v>Loss</v>
      </c>
      <c r="L1550" s="8">
        <f>SalesData[[#This Row],[Profit]]/SalesData[[#This Row],[Sales]]</f>
        <v>-0.37242870226992059</v>
      </c>
      <c r="M1550" t="str">
        <f>TEXT(SalesData[[#This Row],[Order_Date]],"mmm")</f>
        <v>Mar</v>
      </c>
      <c r="N1550">
        <f>YEAR(SalesData[[#This Row],[Order_Date]])</f>
        <v>2023</v>
      </c>
    </row>
    <row r="1551" spans="1:14" x14ac:dyDescent="0.3">
      <c r="A1551" t="s">
        <v>2738</v>
      </c>
      <c r="B1551" s="1">
        <v>45272</v>
      </c>
      <c r="C1551" t="s">
        <v>470</v>
      </c>
      <c r="D1551" t="s">
        <v>40</v>
      </c>
      <c r="E1551" t="s">
        <v>19</v>
      </c>
      <c r="F1551" t="s">
        <v>29</v>
      </c>
      <c r="G1551" t="s">
        <v>279</v>
      </c>
      <c r="H1551" s="8">
        <v>3116.35</v>
      </c>
      <c r="I1551" s="8">
        <v>362.23</v>
      </c>
      <c r="J1551" s="8">
        <v>0.16</v>
      </c>
      <c r="K1551" t="str">
        <f>IF(SalesData[[#This Row],[Profit]]&gt;0,"Profit","Loss")</f>
        <v>Profit</v>
      </c>
      <c r="L1551" s="8">
        <f>SalesData[[#This Row],[Profit]]/SalesData[[#This Row],[Sales]]</f>
        <v>0.11623533941951322</v>
      </c>
      <c r="M1551" t="str">
        <f>TEXT(SalesData[[#This Row],[Order_Date]],"mmm")</f>
        <v>Dec</v>
      </c>
      <c r="N1551">
        <f>YEAR(SalesData[[#This Row],[Order_Date]])</f>
        <v>2023</v>
      </c>
    </row>
    <row r="1552" spans="1:14" x14ac:dyDescent="0.3">
      <c r="A1552" t="s">
        <v>2739</v>
      </c>
      <c r="B1552" s="1">
        <v>44752</v>
      </c>
      <c r="C1552" t="s">
        <v>1131</v>
      </c>
      <c r="D1552" t="s">
        <v>12</v>
      </c>
      <c r="E1552" t="s">
        <v>19</v>
      </c>
      <c r="F1552" t="s">
        <v>20</v>
      </c>
      <c r="G1552" t="s">
        <v>309</v>
      </c>
      <c r="H1552" s="8">
        <v>3827.52</v>
      </c>
      <c r="I1552" s="8">
        <v>452.11</v>
      </c>
      <c r="J1552" s="8">
        <v>0.13</v>
      </c>
      <c r="K1552" t="str">
        <f>IF(SalesData[[#This Row],[Profit]]&gt;0,"Profit","Loss")</f>
        <v>Profit</v>
      </c>
      <c r="L1552" s="8">
        <f>SalesData[[#This Row],[Profit]]/SalesData[[#This Row],[Sales]]</f>
        <v>0.11812087200066884</v>
      </c>
      <c r="M1552" t="str">
        <f>TEXT(SalesData[[#This Row],[Order_Date]],"mmm")</f>
        <v>Jul</v>
      </c>
      <c r="N1552">
        <f>YEAR(SalesData[[#This Row],[Order_Date]])</f>
        <v>2022</v>
      </c>
    </row>
    <row r="1553" spans="1:14" x14ac:dyDescent="0.3">
      <c r="A1553" t="s">
        <v>2740</v>
      </c>
      <c r="B1553" s="1">
        <v>44581</v>
      </c>
      <c r="C1553" t="s">
        <v>2741</v>
      </c>
      <c r="D1553" t="s">
        <v>18</v>
      </c>
      <c r="E1553" t="s">
        <v>19</v>
      </c>
      <c r="F1553" t="s">
        <v>20</v>
      </c>
      <c r="G1553" t="s">
        <v>211</v>
      </c>
      <c r="H1553" s="8">
        <v>3423.22</v>
      </c>
      <c r="I1553" s="8">
        <v>-122.18</v>
      </c>
      <c r="J1553" s="8">
        <v>0.08</v>
      </c>
      <c r="K1553" t="str">
        <f>IF(SalesData[[#This Row],[Profit]]&gt;0,"Profit","Loss")</f>
        <v>Loss</v>
      </c>
      <c r="L1553" s="8">
        <f>SalesData[[#This Row],[Profit]]/SalesData[[#This Row],[Sales]]</f>
        <v>-3.5691541881620235E-2</v>
      </c>
      <c r="M1553" t="str">
        <f>TEXT(SalesData[[#This Row],[Order_Date]],"mmm")</f>
        <v>Jan</v>
      </c>
      <c r="N1553">
        <f>YEAR(SalesData[[#This Row],[Order_Date]])</f>
        <v>2022</v>
      </c>
    </row>
    <row r="1554" spans="1:14" x14ac:dyDescent="0.3">
      <c r="A1554" t="s">
        <v>2742</v>
      </c>
      <c r="B1554" s="1">
        <v>44788</v>
      </c>
      <c r="C1554" t="s">
        <v>1063</v>
      </c>
      <c r="D1554" t="s">
        <v>12</v>
      </c>
      <c r="E1554" t="s">
        <v>19</v>
      </c>
      <c r="F1554" t="s">
        <v>29</v>
      </c>
      <c r="G1554" t="s">
        <v>606</v>
      </c>
      <c r="H1554" s="8">
        <v>3035.49</v>
      </c>
      <c r="I1554" s="8">
        <v>-907.93</v>
      </c>
      <c r="J1554" s="8">
        <v>0.28999999999999998</v>
      </c>
      <c r="K1554" t="str">
        <f>IF(SalesData[[#This Row],[Profit]]&gt;0,"Profit","Loss")</f>
        <v>Loss</v>
      </c>
      <c r="L1554" s="8">
        <f>SalesData[[#This Row],[Profit]]/SalesData[[#This Row],[Sales]]</f>
        <v>-0.29910492210483314</v>
      </c>
      <c r="M1554" t="str">
        <f>TEXT(SalesData[[#This Row],[Order_Date]],"mmm")</f>
        <v>Aug</v>
      </c>
      <c r="N1554">
        <f>YEAR(SalesData[[#This Row],[Order_Date]])</f>
        <v>2022</v>
      </c>
    </row>
    <row r="1555" spans="1:14" x14ac:dyDescent="0.3">
      <c r="A1555" t="s">
        <v>2743</v>
      </c>
      <c r="B1555" s="1">
        <v>45033</v>
      </c>
      <c r="C1555" t="s">
        <v>430</v>
      </c>
      <c r="D1555" t="s">
        <v>28</v>
      </c>
      <c r="E1555" t="s">
        <v>19</v>
      </c>
      <c r="F1555" t="s">
        <v>20</v>
      </c>
      <c r="G1555" t="s">
        <v>409</v>
      </c>
      <c r="H1555" s="8">
        <v>412.24</v>
      </c>
      <c r="I1555" s="8">
        <v>56.57</v>
      </c>
      <c r="J1555" s="8">
        <v>0.09</v>
      </c>
      <c r="K1555" t="str">
        <f>IF(SalesData[[#This Row],[Profit]]&gt;0,"Profit","Loss")</f>
        <v>Profit</v>
      </c>
      <c r="L1555" s="8">
        <f>SalesData[[#This Row],[Profit]]/SalesData[[#This Row],[Sales]]</f>
        <v>0.13722588783233067</v>
      </c>
      <c r="M1555" t="str">
        <f>TEXT(SalesData[[#This Row],[Order_Date]],"mmm")</f>
        <v>Apr</v>
      </c>
      <c r="N1555">
        <f>YEAR(SalesData[[#This Row],[Order_Date]])</f>
        <v>2023</v>
      </c>
    </row>
    <row r="1556" spans="1:14" x14ac:dyDescent="0.3">
      <c r="A1556" t="s">
        <v>2744</v>
      </c>
      <c r="B1556" s="1">
        <v>44913</v>
      </c>
      <c r="C1556" t="s">
        <v>2117</v>
      </c>
      <c r="D1556" t="s">
        <v>40</v>
      </c>
      <c r="E1556" t="s">
        <v>13</v>
      </c>
      <c r="F1556" t="s">
        <v>36</v>
      </c>
      <c r="G1556" t="s">
        <v>752</v>
      </c>
      <c r="H1556" s="8">
        <v>2753.14</v>
      </c>
      <c r="I1556" s="8">
        <v>-14.88</v>
      </c>
      <c r="J1556" s="8">
        <v>0.14000000000000001</v>
      </c>
      <c r="K1556" t="str">
        <f>IF(SalesData[[#This Row],[Profit]]&gt;0,"Profit","Loss")</f>
        <v>Loss</v>
      </c>
      <c r="L1556" s="8">
        <f>SalesData[[#This Row],[Profit]]/SalesData[[#This Row],[Sales]]</f>
        <v>-5.4047378629492153E-3</v>
      </c>
      <c r="M1556" t="str">
        <f>TEXT(SalesData[[#This Row],[Order_Date]],"mmm")</f>
        <v>Dec</v>
      </c>
      <c r="N1556">
        <f>YEAR(SalesData[[#This Row],[Order_Date]])</f>
        <v>2022</v>
      </c>
    </row>
    <row r="1557" spans="1:14" x14ac:dyDescent="0.3">
      <c r="A1557" t="s">
        <v>2745</v>
      </c>
      <c r="B1557" s="1">
        <v>45276</v>
      </c>
      <c r="C1557" t="s">
        <v>2529</v>
      </c>
      <c r="D1557" t="s">
        <v>28</v>
      </c>
      <c r="E1557" t="s">
        <v>19</v>
      </c>
      <c r="F1557" t="s">
        <v>20</v>
      </c>
      <c r="G1557" t="s">
        <v>374</v>
      </c>
      <c r="H1557" s="8">
        <v>2363.54</v>
      </c>
      <c r="I1557" s="8">
        <v>-693.98</v>
      </c>
      <c r="J1557" s="8">
        <v>0.22</v>
      </c>
      <c r="K1557" t="str">
        <f>IF(SalesData[[#This Row],[Profit]]&gt;0,"Profit","Loss")</f>
        <v>Loss</v>
      </c>
      <c r="L1557" s="8">
        <f>SalesData[[#This Row],[Profit]]/SalesData[[#This Row],[Sales]]</f>
        <v>-0.29361889369335831</v>
      </c>
      <c r="M1557" t="str">
        <f>TEXT(SalesData[[#This Row],[Order_Date]],"mmm")</f>
        <v>Dec</v>
      </c>
      <c r="N1557">
        <f>YEAR(SalesData[[#This Row],[Order_Date]])</f>
        <v>2023</v>
      </c>
    </row>
    <row r="1558" spans="1:14" x14ac:dyDescent="0.3">
      <c r="A1558" t="s">
        <v>2746</v>
      </c>
      <c r="B1558" s="1">
        <v>45060</v>
      </c>
      <c r="C1558" t="s">
        <v>17</v>
      </c>
      <c r="D1558" t="s">
        <v>40</v>
      </c>
      <c r="E1558" t="s">
        <v>19</v>
      </c>
      <c r="F1558" t="s">
        <v>20</v>
      </c>
      <c r="G1558" t="s">
        <v>228</v>
      </c>
      <c r="H1558" s="8">
        <v>3337.42</v>
      </c>
      <c r="I1558" s="8">
        <v>-1077.44</v>
      </c>
      <c r="J1558" s="8">
        <v>0.17</v>
      </c>
      <c r="K1558" t="str">
        <f>IF(SalesData[[#This Row],[Profit]]&gt;0,"Profit","Loss")</f>
        <v>Loss</v>
      </c>
      <c r="L1558" s="8">
        <f>SalesData[[#This Row],[Profit]]/SalesData[[#This Row],[Sales]]</f>
        <v>-0.32283620281534842</v>
      </c>
      <c r="M1558" t="str">
        <f>TEXT(SalesData[[#This Row],[Order_Date]],"mmm")</f>
        <v>May</v>
      </c>
      <c r="N1558">
        <f>YEAR(SalesData[[#This Row],[Order_Date]])</f>
        <v>2023</v>
      </c>
    </row>
    <row r="1559" spans="1:14" x14ac:dyDescent="0.3">
      <c r="A1559" t="s">
        <v>2747</v>
      </c>
      <c r="B1559" s="1">
        <v>44884</v>
      </c>
      <c r="C1559" t="s">
        <v>602</v>
      </c>
      <c r="D1559" t="s">
        <v>28</v>
      </c>
      <c r="E1559" t="s">
        <v>56</v>
      </c>
      <c r="F1559" t="s">
        <v>73</v>
      </c>
      <c r="G1559" t="s">
        <v>826</v>
      </c>
      <c r="H1559" s="8">
        <v>4925.8599999999997</v>
      </c>
      <c r="I1559" s="8">
        <v>-664.53</v>
      </c>
      <c r="J1559" s="8">
        <v>0.11</v>
      </c>
      <c r="K1559" t="str">
        <f>IF(SalesData[[#This Row],[Profit]]&gt;0,"Profit","Loss")</f>
        <v>Loss</v>
      </c>
      <c r="L1559" s="8">
        <f>SalesData[[#This Row],[Profit]]/SalesData[[#This Row],[Sales]]</f>
        <v>-0.13490639198028365</v>
      </c>
      <c r="M1559" t="str">
        <f>TEXT(SalesData[[#This Row],[Order_Date]],"mmm")</f>
        <v>Nov</v>
      </c>
      <c r="N1559">
        <f>YEAR(SalesData[[#This Row],[Order_Date]])</f>
        <v>2022</v>
      </c>
    </row>
    <row r="1560" spans="1:14" x14ac:dyDescent="0.3">
      <c r="A1560" t="s">
        <v>2748</v>
      </c>
      <c r="B1560" s="1">
        <v>44987</v>
      </c>
      <c r="C1560" t="s">
        <v>1266</v>
      </c>
      <c r="D1560" t="s">
        <v>12</v>
      </c>
      <c r="E1560" t="s">
        <v>56</v>
      </c>
      <c r="F1560" t="s">
        <v>73</v>
      </c>
      <c r="G1560" t="s">
        <v>2164</v>
      </c>
      <c r="H1560" s="8">
        <v>2966.19</v>
      </c>
      <c r="I1560" s="8">
        <v>-151.47</v>
      </c>
      <c r="J1560" s="8">
        <v>0.19</v>
      </c>
      <c r="K1560" t="str">
        <f>IF(SalesData[[#This Row],[Profit]]&gt;0,"Profit","Loss")</f>
        <v>Loss</v>
      </c>
      <c r="L1560" s="8">
        <f>SalesData[[#This Row],[Profit]]/SalesData[[#This Row],[Sales]]</f>
        <v>-5.1065508278296402E-2</v>
      </c>
      <c r="M1560" t="str">
        <f>TEXT(SalesData[[#This Row],[Order_Date]],"mmm")</f>
        <v>Mar</v>
      </c>
      <c r="N1560">
        <f>YEAR(SalesData[[#This Row],[Order_Date]])</f>
        <v>2023</v>
      </c>
    </row>
    <row r="1561" spans="1:14" x14ac:dyDescent="0.3">
      <c r="A1561" t="s">
        <v>2749</v>
      </c>
      <c r="B1561" s="1">
        <v>45112</v>
      </c>
      <c r="C1561" t="s">
        <v>1528</v>
      </c>
      <c r="D1561" t="s">
        <v>28</v>
      </c>
      <c r="E1561" t="s">
        <v>19</v>
      </c>
      <c r="F1561" t="s">
        <v>141</v>
      </c>
      <c r="G1561" t="s">
        <v>2205</v>
      </c>
      <c r="H1561" s="8">
        <v>3745.85</v>
      </c>
      <c r="I1561" s="8">
        <v>-1029.47</v>
      </c>
      <c r="J1561" s="8">
        <v>0.3</v>
      </c>
      <c r="K1561" t="str">
        <f>IF(SalesData[[#This Row],[Profit]]&gt;0,"Profit","Loss")</f>
        <v>Loss</v>
      </c>
      <c r="L1561" s="8">
        <f>SalesData[[#This Row],[Profit]]/SalesData[[#This Row],[Sales]]</f>
        <v>-0.2748294779556042</v>
      </c>
      <c r="M1561" t="str">
        <f>TEXT(SalesData[[#This Row],[Order_Date]],"mmm")</f>
        <v>Jul</v>
      </c>
      <c r="N1561">
        <f>YEAR(SalesData[[#This Row],[Order_Date]])</f>
        <v>2023</v>
      </c>
    </row>
    <row r="1562" spans="1:14" x14ac:dyDescent="0.3">
      <c r="A1562" t="s">
        <v>2750</v>
      </c>
      <c r="B1562" s="1">
        <v>44858</v>
      </c>
      <c r="C1562" t="s">
        <v>1680</v>
      </c>
      <c r="D1562" t="s">
        <v>18</v>
      </c>
      <c r="E1562" t="s">
        <v>56</v>
      </c>
      <c r="F1562" t="s">
        <v>57</v>
      </c>
      <c r="G1562" t="s">
        <v>1459</v>
      </c>
      <c r="H1562" s="8">
        <v>2039.17</v>
      </c>
      <c r="I1562" s="8">
        <v>-394.82</v>
      </c>
      <c r="J1562" s="8">
        <v>0.06</v>
      </c>
      <c r="K1562" t="str">
        <f>IF(SalesData[[#This Row],[Profit]]&gt;0,"Profit","Loss")</f>
        <v>Loss</v>
      </c>
      <c r="L1562" s="8">
        <f>SalesData[[#This Row],[Profit]]/SalesData[[#This Row],[Sales]]</f>
        <v>-0.19361799163385102</v>
      </c>
      <c r="M1562" t="str">
        <f>TEXT(SalesData[[#This Row],[Order_Date]],"mmm")</f>
        <v>Oct</v>
      </c>
      <c r="N1562">
        <f>YEAR(SalesData[[#This Row],[Order_Date]])</f>
        <v>2022</v>
      </c>
    </row>
    <row r="1563" spans="1:14" x14ac:dyDescent="0.3">
      <c r="A1563" t="s">
        <v>2751</v>
      </c>
      <c r="B1563" s="1">
        <v>45175</v>
      </c>
      <c r="C1563" t="s">
        <v>104</v>
      </c>
      <c r="D1563" t="s">
        <v>40</v>
      </c>
      <c r="E1563" t="s">
        <v>13</v>
      </c>
      <c r="F1563" t="s">
        <v>36</v>
      </c>
      <c r="G1563" t="s">
        <v>1974</v>
      </c>
      <c r="H1563" s="8">
        <v>2795.34</v>
      </c>
      <c r="I1563" s="8">
        <v>-501.34</v>
      </c>
      <c r="J1563" s="8">
        <v>0.11</v>
      </c>
      <c r="K1563" t="str">
        <f>IF(SalesData[[#This Row],[Profit]]&gt;0,"Profit","Loss")</f>
        <v>Loss</v>
      </c>
      <c r="L1563" s="8">
        <f>SalesData[[#This Row],[Profit]]/SalesData[[#This Row],[Sales]]</f>
        <v>-0.17934848712500087</v>
      </c>
      <c r="M1563" t="str">
        <f>TEXT(SalesData[[#This Row],[Order_Date]],"mmm")</f>
        <v>Sep</v>
      </c>
      <c r="N1563">
        <f>YEAR(SalesData[[#This Row],[Order_Date]])</f>
        <v>2023</v>
      </c>
    </row>
    <row r="1564" spans="1:14" x14ac:dyDescent="0.3">
      <c r="A1564" t="s">
        <v>2752</v>
      </c>
      <c r="B1564" s="1">
        <v>45213</v>
      </c>
      <c r="C1564" t="s">
        <v>2262</v>
      </c>
      <c r="D1564" t="s">
        <v>28</v>
      </c>
      <c r="E1564" t="s">
        <v>19</v>
      </c>
      <c r="F1564" t="s">
        <v>141</v>
      </c>
      <c r="G1564" t="s">
        <v>193</v>
      </c>
      <c r="H1564" s="8">
        <v>617.63</v>
      </c>
      <c r="I1564" s="8">
        <v>65.56</v>
      </c>
      <c r="J1564" s="8">
        <v>0.27</v>
      </c>
      <c r="K1564" t="str">
        <f>IF(SalesData[[#This Row],[Profit]]&gt;0,"Profit","Loss")</f>
        <v>Profit</v>
      </c>
      <c r="L1564" s="8">
        <f>SalesData[[#This Row],[Profit]]/SalesData[[#This Row],[Sales]]</f>
        <v>0.10614769360296618</v>
      </c>
      <c r="M1564" t="str">
        <f>TEXT(SalesData[[#This Row],[Order_Date]],"mmm")</f>
        <v>Oct</v>
      </c>
      <c r="N1564">
        <f>YEAR(SalesData[[#This Row],[Order_Date]])</f>
        <v>2023</v>
      </c>
    </row>
    <row r="1565" spans="1:14" x14ac:dyDescent="0.3">
      <c r="A1565" t="s">
        <v>2753</v>
      </c>
      <c r="B1565" s="1">
        <v>44722</v>
      </c>
      <c r="C1565" t="s">
        <v>2047</v>
      </c>
      <c r="D1565" t="s">
        <v>28</v>
      </c>
      <c r="E1565" t="s">
        <v>19</v>
      </c>
      <c r="F1565" t="s">
        <v>29</v>
      </c>
      <c r="G1565" t="s">
        <v>686</v>
      </c>
      <c r="H1565" s="8">
        <v>3808.46</v>
      </c>
      <c r="I1565" s="8">
        <v>1008.21</v>
      </c>
      <c r="J1565" s="8">
        <v>0.09</v>
      </c>
      <c r="K1565" t="str">
        <f>IF(SalesData[[#This Row],[Profit]]&gt;0,"Profit","Loss")</f>
        <v>Profit</v>
      </c>
      <c r="L1565" s="8">
        <f>SalesData[[#This Row],[Profit]]/SalesData[[#This Row],[Sales]]</f>
        <v>0.26472905058737656</v>
      </c>
      <c r="M1565" t="str">
        <f>TEXT(SalesData[[#This Row],[Order_Date]],"mmm")</f>
        <v>Jun</v>
      </c>
      <c r="N1565">
        <f>YEAR(SalesData[[#This Row],[Order_Date]])</f>
        <v>2022</v>
      </c>
    </row>
    <row r="1566" spans="1:14" x14ac:dyDescent="0.3">
      <c r="A1566" t="s">
        <v>2754</v>
      </c>
      <c r="B1566" s="1">
        <v>45261</v>
      </c>
      <c r="C1566" t="s">
        <v>1278</v>
      </c>
      <c r="D1566" t="s">
        <v>28</v>
      </c>
      <c r="E1566" t="s">
        <v>56</v>
      </c>
      <c r="F1566" t="s">
        <v>73</v>
      </c>
      <c r="G1566" t="s">
        <v>1644</v>
      </c>
      <c r="H1566" s="8">
        <v>4166.34</v>
      </c>
      <c r="I1566" s="8">
        <v>-151.18</v>
      </c>
      <c r="J1566" s="8">
        <v>0.23</v>
      </c>
      <c r="K1566" t="str">
        <f>IF(SalesData[[#This Row],[Profit]]&gt;0,"Profit","Loss")</f>
        <v>Loss</v>
      </c>
      <c r="L1566" s="8">
        <f>SalesData[[#This Row],[Profit]]/SalesData[[#This Row],[Sales]]</f>
        <v>-3.6286044825914354E-2</v>
      </c>
      <c r="M1566" t="str">
        <f>TEXT(SalesData[[#This Row],[Order_Date]],"mmm")</f>
        <v>Dec</v>
      </c>
      <c r="N1566">
        <f>YEAR(SalesData[[#This Row],[Order_Date]])</f>
        <v>2023</v>
      </c>
    </row>
    <row r="1567" spans="1:14" x14ac:dyDescent="0.3">
      <c r="A1567" t="s">
        <v>2755</v>
      </c>
      <c r="B1567" s="1">
        <v>45195</v>
      </c>
      <c r="C1567" t="s">
        <v>2756</v>
      </c>
      <c r="D1567" t="s">
        <v>18</v>
      </c>
      <c r="E1567" t="s">
        <v>13</v>
      </c>
      <c r="F1567" t="s">
        <v>36</v>
      </c>
      <c r="G1567" t="s">
        <v>680</v>
      </c>
      <c r="H1567" s="8">
        <v>4873.8100000000004</v>
      </c>
      <c r="I1567" s="8">
        <v>301.45</v>
      </c>
      <c r="J1567" s="8">
        <v>0.12</v>
      </c>
      <c r="K1567" t="str">
        <f>IF(SalesData[[#This Row],[Profit]]&gt;0,"Profit","Loss")</f>
        <v>Profit</v>
      </c>
      <c r="L1567" s="8">
        <f>SalesData[[#This Row],[Profit]]/SalesData[[#This Row],[Sales]]</f>
        <v>6.1850995422472348E-2</v>
      </c>
      <c r="M1567" t="str">
        <f>TEXT(SalesData[[#This Row],[Order_Date]],"mmm")</f>
        <v>Sep</v>
      </c>
      <c r="N1567">
        <f>YEAR(SalesData[[#This Row],[Order_Date]])</f>
        <v>2023</v>
      </c>
    </row>
    <row r="1568" spans="1:14" x14ac:dyDescent="0.3">
      <c r="A1568" t="s">
        <v>2757</v>
      </c>
      <c r="B1568" s="1">
        <v>44585</v>
      </c>
      <c r="C1568" t="s">
        <v>1391</v>
      </c>
      <c r="D1568" t="s">
        <v>18</v>
      </c>
      <c r="E1568" t="s">
        <v>13</v>
      </c>
      <c r="F1568" t="s">
        <v>24</v>
      </c>
      <c r="G1568" t="s">
        <v>1317</v>
      </c>
      <c r="H1568" s="8">
        <v>4994.66</v>
      </c>
      <c r="I1568" s="8">
        <v>296.13</v>
      </c>
      <c r="J1568" s="8">
        <v>0.18</v>
      </c>
      <c r="K1568" t="str">
        <f>IF(SalesData[[#This Row],[Profit]]&gt;0,"Profit","Loss")</f>
        <v>Profit</v>
      </c>
      <c r="L1568" s="8">
        <f>SalesData[[#This Row],[Profit]]/SalesData[[#This Row],[Sales]]</f>
        <v>5.9289320994822474E-2</v>
      </c>
      <c r="M1568" t="str">
        <f>TEXT(SalesData[[#This Row],[Order_Date]],"mmm")</f>
        <v>Jan</v>
      </c>
      <c r="N1568">
        <f>YEAR(SalesData[[#This Row],[Order_Date]])</f>
        <v>2022</v>
      </c>
    </row>
    <row r="1569" spans="1:14" x14ac:dyDescent="0.3">
      <c r="A1569" t="s">
        <v>2758</v>
      </c>
      <c r="B1569" s="1">
        <v>45177</v>
      </c>
      <c r="C1569" t="s">
        <v>746</v>
      </c>
      <c r="D1569" t="s">
        <v>28</v>
      </c>
      <c r="E1569" t="s">
        <v>13</v>
      </c>
      <c r="F1569" t="s">
        <v>24</v>
      </c>
      <c r="G1569" t="s">
        <v>2321</v>
      </c>
      <c r="H1569" s="8">
        <v>2412.38</v>
      </c>
      <c r="I1569" s="8">
        <v>-18.87</v>
      </c>
      <c r="J1569" s="8">
        <v>0.03</v>
      </c>
      <c r="K1569" t="str">
        <f>IF(SalesData[[#This Row],[Profit]]&gt;0,"Profit","Loss")</f>
        <v>Loss</v>
      </c>
      <c r="L1569" s="8">
        <f>SalesData[[#This Row],[Profit]]/SalesData[[#This Row],[Sales]]</f>
        <v>-7.8221507391041216E-3</v>
      </c>
      <c r="M1569" t="str">
        <f>TEXT(SalesData[[#This Row],[Order_Date]],"mmm")</f>
        <v>Sep</v>
      </c>
      <c r="N1569">
        <f>YEAR(SalesData[[#This Row],[Order_Date]])</f>
        <v>2023</v>
      </c>
    </row>
    <row r="1570" spans="1:14" x14ac:dyDescent="0.3">
      <c r="A1570" t="s">
        <v>2759</v>
      </c>
      <c r="B1570" s="1">
        <v>44807</v>
      </c>
      <c r="C1570" t="s">
        <v>1740</v>
      </c>
      <c r="D1570" t="s">
        <v>28</v>
      </c>
      <c r="E1570" t="s">
        <v>13</v>
      </c>
      <c r="F1570" t="s">
        <v>14</v>
      </c>
      <c r="G1570" t="s">
        <v>1886</v>
      </c>
      <c r="H1570" s="8">
        <v>4266.51</v>
      </c>
      <c r="I1570" s="8">
        <v>-121.86</v>
      </c>
      <c r="J1570" s="8">
        <v>0.05</v>
      </c>
      <c r="K1570" t="str">
        <f>IF(SalesData[[#This Row],[Profit]]&gt;0,"Profit","Loss")</f>
        <v>Loss</v>
      </c>
      <c r="L1570" s="8">
        <f>SalesData[[#This Row],[Profit]]/SalesData[[#This Row],[Sales]]</f>
        <v>-2.8561986260432999E-2</v>
      </c>
      <c r="M1570" t="str">
        <f>TEXT(SalesData[[#This Row],[Order_Date]],"mmm")</f>
        <v>Sep</v>
      </c>
      <c r="N1570">
        <f>YEAR(SalesData[[#This Row],[Order_Date]])</f>
        <v>2022</v>
      </c>
    </row>
    <row r="1571" spans="1:14" x14ac:dyDescent="0.3">
      <c r="A1571" t="s">
        <v>2760</v>
      </c>
      <c r="B1571" s="1">
        <v>44773</v>
      </c>
      <c r="C1571" t="s">
        <v>929</v>
      </c>
      <c r="D1571" t="s">
        <v>28</v>
      </c>
      <c r="E1571" t="s">
        <v>13</v>
      </c>
      <c r="F1571" t="s">
        <v>14</v>
      </c>
      <c r="G1571" t="s">
        <v>485</v>
      </c>
      <c r="H1571" s="8">
        <v>1681.35</v>
      </c>
      <c r="I1571" s="8">
        <v>414.73</v>
      </c>
      <c r="J1571" s="8">
        <v>0.09</v>
      </c>
      <c r="K1571" t="str">
        <f>IF(SalesData[[#This Row],[Profit]]&gt;0,"Profit","Loss")</f>
        <v>Profit</v>
      </c>
      <c r="L1571" s="8">
        <f>SalesData[[#This Row],[Profit]]/SalesData[[#This Row],[Sales]]</f>
        <v>0.24666488238617779</v>
      </c>
      <c r="M1571" t="str">
        <f>TEXT(SalesData[[#This Row],[Order_Date]],"mmm")</f>
        <v>Jul</v>
      </c>
      <c r="N1571">
        <f>YEAR(SalesData[[#This Row],[Order_Date]])</f>
        <v>2022</v>
      </c>
    </row>
    <row r="1572" spans="1:14" x14ac:dyDescent="0.3">
      <c r="A1572" t="s">
        <v>2761</v>
      </c>
      <c r="B1572" s="1">
        <v>45034</v>
      </c>
      <c r="C1572" t="s">
        <v>69</v>
      </c>
      <c r="D1572" t="s">
        <v>12</v>
      </c>
      <c r="E1572" t="s">
        <v>56</v>
      </c>
      <c r="F1572" t="s">
        <v>73</v>
      </c>
      <c r="G1572" t="s">
        <v>398</v>
      </c>
      <c r="H1572" s="8">
        <v>3055.92</v>
      </c>
      <c r="I1572" s="8">
        <v>-67.069999999999993</v>
      </c>
      <c r="J1572" s="8">
        <v>0.3</v>
      </c>
      <c r="K1572" t="str">
        <f>IF(SalesData[[#This Row],[Profit]]&gt;0,"Profit","Loss")</f>
        <v>Loss</v>
      </c>
      <c r="L1572" s="8">
        <f>SalesData[[#This Row],[Profit]]/SalesData[[#This Row],[Sales]]</f>
        <v>-2.1947564072357914E-2</v>
      </c>
      <c r="M1572" t="str">
        <f>TEXT(SalesData[[#This Row],[Order_Date]],"mmm")</f>
        <v>Apr</v>
      </c>
      <c r="N1572">
        <f>YEAR(SalesData[[#This Row],[Order_Date]])</f>
        <v>2023</v>
      </c>
    </row>
    <row r="1573" spans="1:14" x14ac:dyDescent="0.3">
      <c r="A1573" t="s">
        <v>2762</v>
      </c>
      <c r="B1573" s="1">
        <v>44633</v>
      </c>
      <c r="C1573" t="s">
        <v>2052</v>
      </c>
      <c r="D1573" t="s">
        <v>12</v>
      </c>
      <c r="E1573" t="s">
        <v>13</v>
      </c>
      <c r="F1573" t="s">
        <v>36</v>
      </c>
      <c r="G1573" t="s">
        <v>1251</v>
      </c>
      <c r="H1573" s="8">
        <v>4373.22</v>
      </c>
      <c r="I1573" s="8">
        <v>-1412.91</v>
      </c>
      <c r="J1573" s="8">
        <v>0.27</v>
      </c>
      <c r="K1573" t="str">
        <f>IF(SalesData[[#This Row],[Profit]]&gt;0,"Profit","Loss")</f>
        <v>Loss</v>
      </c>
      <c r="L1573" s="8">
        <f>SalesData[[#This Row],[Profit]]/SalesData[[#This Row],[Sales]]</f>
        <v>-0.32308230548657513</v>
      </c>
      <c r="M1573" t="str">
        <f>TEXT(SalesData[[#This Row],[Order_Date]],"mmm")</f>
        <v>Mar</v>
      </c>
      <c r="N1573">
        <f>YEAR(SalesData[[#This Row],[Order_Date]])</f>
        <v>2022</v>
      </c>
    </row>
    <row r="1574" spans="1:14" x14ac:dyDescent="0.3">
      <c r="A1574" t="s">
        <v>2763</v>
      </c>
      <c r="B1574" s="1">
        <v>44634</v>
      </c>
      <c r="C1574" t="s">
        <v>699</v>
      </c>
      <c r="D1574" t="s">
        <v>40</v>
      </c>
      <c r="E1574" t="s">
        <v>13</v>
      </c>
      <c r="F1574" t="s">
        <v>36</v>
      </c>
      <c r="G1574" t="s">
        <v>2041</v>
      </c>
      <c r="H1574" s="8">
        <v>4348.6099999999997</v>
      </c>
      <c r="I1574" s="8">
        <v>75.239999999999995</v>
      </c>
      <c r="J1574" s="8">
        <v>0.3</v>
      </c>
      <c r="K1574" t="str">
        <f>IF(SalesData[[#This Row],[Profit]]&gt;0,"Profit","Loss")</f>
        <v>Profit</v>
      </c>
      <c r="L1574" s="8">
        <f>SalesData[[#This Row],[Profit]]/SalesData[[#This Row],[Sales]]</f>
        <v>1.7302080434897588E-2</v>
      </c>
      <c r="M1574" t="str">
        <f>TEXT(SalesData[[#This Row],[Order_Date]],"mmm")</f>
        <v>Mar</v>
      </c>
      <c r="N1574">
        <f>YEAR(SalesData[[#This Row],[Order_Date]])</f>
        <v>2022</v>
      </c>
    </row>
    <row r="1575" spans="1:14" x14ac:dyDescent="0.3">
      <c r="A1575" t="s">
        <v>2764</v>
      </c>
      <c r="B1575" s="1">
        <v>45108</v>
      </c>
      <c r="C1575" t="s">
        <v>514</v>
      </c>
      <c r="D1575" t="s">
        <v>12</v>
      </c>
      <c r="E1575" t="s">
        <v>13</v>
      </c>
      <c r="F1575" t="s">
        <v>24</v>
      </c>
      <c r="G1575" t="s">
        <v>86</v>
      </c>
      <c r="H1575" s="8">
        <v>692.81</v>
      </c>
      <c r="I1575" s="8">
        <v>-28.92</v>
      </c>
      <c r="J1575" s="8">
        <v>0.23</v>
      </c>
      <c r="K1575" t="str">
        <f>IF(SalesData[[#This Row],[Profit]]&gt;0,"Profit","Loss")</f>
        <v>Loss</v>
      </c>
      <c r="L1575" s="8">
        <f>SalesData[[#This Row],[Profit]]/SalesData[[#This Row],[Sales]]</f>
        <v>-4.1743046434087272E-2</v>
      </c>
      <c r="M1575" t="str">
        <f>TEXT(SalesData[[#This Row],[Order_Date]],"mmm")</f>
        <v>Jul</v>
      </c>
      <c r="N1575">
        <f>YEAR(SalesData[[#This Row],[Order_Date]])</f>
        <v>2023</v>
      </c>
    </row>
    <row r="1576" spans="1:14" x14ac:dyDescent="0.3">
      <c r="A1576" t="s">
        <v>2765</v>
      </c>
      <c r="B1576" s="1">
        <v>44602</v>
      </c>
      <c r="C1576" t="s">
        <v>1457</v>
      </c>
      <c r="D1576" t="s">
        <v>28</v>
      </c>
      <c r="E1576" t="s">
        <v>19</v>
      </c>
      <c r="F1576" t="s">
        <v>141</v>
      </c>
      <c r="G1576" t="s">
        <v>21</v>
      </c>
      <c r="H1576" s="8">
        <v>392.95</v>
      </c>
      <c r="I1576" s="8">
        <v>22.39</v>
      </c>
      <c r="J1576" s="8">
        <v>0.24</v>
      </c>
      <c r="K1576" t="str">
        <f>IF(SalesData[[#This Row],[Profit]]&gt;0,"Profit","Loss")</f>
        <v>Profit</v>
      </c>
      <c r="L1576" s="8">
        <f>SalesData[[#This Row],[Profit]]/SalesData[[#This Row],[Sales]]</f>
        <v>5.6979259447766897E-2</v>
      </c>
      <c r="M1576" t="str">
        <f>TEXT(SalesData[[#This Row],[Order_Date]],"mmm")</f>
        <v>Feb</v>
      </c>
      <c r="N1576">
        <f>YEAR(SalesData[[#This Row],[Order_Date]])</f>
        <v>2022</v>
      </c>
    </row>
    <row r="1577" spans="1:14" x14ac:dyDescent="0.3">
      <c r="A1577" t="s">
        <v>2766</v>
      </c>
      <c r="B1577" s="1">
        <v>44711</v>
      </c>
      <c r="C1577" t="s">
        <v>2767</v>
      </c>
      <c r="D1577" t="s">
        <v>12</v>
      </c>
      <c r="E1577" t="s">
        <v>13</v>
      </c>
      <c r="F1577" t="s">
        <v>24</v>
      </c>
      <c r="G1577" t="s">
        <v>534</v>
      </c>
      <c r="H1577" s="8">
        <v>3283.19</v>
      </c>
      <c r="I1577" s="8">
        <v>-839.07</v>
      </c>
      <c r="J1577" s="8">
        <v>0.13</v>
      </c>
      <c r="K1577" t="str">
        <f>IF(SalesData[[#This Row],[Profit]]&gt;0,"Profit","Loss")</f>
        <v>Loss</v>
      </c>
      <c r="L1577" s="8">
        <f>SalesData[[#This Row],[Profit]]/SalesData[[#This Row],[Sales]]</f>
        <v>-0.25556547138606051</v>
      </c>
      <c r="M1577" t="str">
        <f>TEXT(SalesData[[#This Row],[Order_Date]],"mmm")</f>
        <v>May</v>
      </c>
      <c r="N1577">
        <f>YEAR(SalesData[[#This Row],[Order_Date]])</f>
        <v>2022</v>
      </c>
    </row>
    <row r="1578" spans="1:14" x14ac:dyDescent="0.3">
      <c r="A1578" t="s">
        <v>2768</v>
      </c>
      <c r="B1578" s="1">
        <v>45056</v>
      </c>
      <c r="C1578" t="s">
        <v>153</v>
      </c>
      <c r="D1578" t="s">
        <v>40</v>
      </c>
      <c r="E1578" t="s">
        <v>56</v>
      </c>
      <c r="F1578" t="s">
        <v>95</v>
      </c>
      <c r="G1578" t="s">
        <v>30</v>
      </c>
      <c r="H1578" s="8">
        <v>2123.1799999999998</v>
      </c>
      <c r="I1578" s="8">
        <v>526.09</v>
      </c>
      <c r="J1578" s="8">
        <v>0.1</v>
      </c>
      <c r="K1578" t="str">
        <f>IF(SalesData[[#This Row],[Profit]]&gt;0,"Profit","Loss")</f>
        <v>Profit</v>
      </c>
      <c r="L1578" s="8">
        <f>SalesData[[#This Row],[Profit]]/SalesData[[#This Row],[Sales]]</f>
        <v>0.24778398440075738</v>
      </c>
      <c r="M1578" t="str">
        <f>TEXT(SalesData[[#This Row],[Order_Date]],"mmm")</f>
        <v>May</v>
      </c>
      <c r="N1578">
        <f>YEAR(SalesData[[#This Row],[Order_Date]])</f>
        <v>2023</v>
      </c>
    </row>
    <row r="1579" spans="1:14" x14ac:dyDescent="0.3">
      <c r="A1579" t="s">
        <v>2769</v>
      </c>
      <c r="B1579" s="1">
        <v>44812</v>
      </c>
      <c r="C1579" t="s">
        <v>727</v>
      </c>
      <c r="D1579" t="s">
        <v>40</v>
      </c>
      <c r="E1579" t="s">
        <v>19</v>
      </c>
      <c r="F1579" t="s">
        <v>141</v>
      </c>
      <c r="G1579" t="s">
        <v>878</v>
      </c>
      <c r="H1579" s="8">
        <v>3499.21</v>
      </c>
      <c r="I1579" s="8">
        <v>299.01</v>
      </c>
      <c r="J1579" s="8">
        <v>0.14000000000000001</v>
      </c>
      <c r="K1579" t="str">
        <f>IF(SalesData[[#This Row],[Profit]]&gt;0,"Profit","Loss")</f>
        <v>Profit</v>
      </c>
      <c r="L1579" s="8">
        <f>SalesData[[#This Row],[Profit]]/SalesData[[#This Row],[Sales]]</f>
        <v>8.5450716018758519E-2</v>
      </c>
      <c r="M1579" t="str">
        <f>TEXT(SalesData[[#This Row],[Order_Date]],"mmm")</f>
        <v>Sep</v>
      </c>
      <c r="N1579">
        <f>YEAR(SalesData[[#This Row],[Order_Date]])</f>
        <v>2022</v>
      </c>
    </row>
    <row r="1580" spans="1:14" x14ac:dyDescent="0.3">
      <c r="A1580" t="s">
        <v>2770</v>
      </c>
      <c r="B1580" s="1">
        <v>45143</v>
      </c>
      <c r="C1580" t="s">
        <v>440</v>
      </c>
      <c r="D1580" t="s">
        <v>12</v>
      </c>
      <c r="E1580" t="s">
        <v>19</v>
      </c>
      <c r="F1580" t="s">
        <v>141</v>
      </c>
      <c r="G1580" t="s">
        <v>500</v>
      </c>
      <c r="H1580" s="8">
        <v>2278.89</v>
      </c>
      <c r="I1580" s="8">
        <v>-46.18</v>
      </c>
      <c r="J1580" s="8">
        <v>0.24</v>
      </c>
      <c r="K1580" t="str">
        <f>IF(SalesData[[#This Row],[Profit]]&gt;0,"Profit","Loss")</f>
        <v>Loss</v>
      </c>
      <c r="L1580" s="8">
        <f>SalesData[[#This Row],[Profit]]/SalesData[[#This Row],[Sales]]</f>
        <v>-2.0264251455752582E-2</v>
      </c>
      <c r="M1580" t="str">
        <f>TEXT(SalesData[[#This Row],[Order_Date]],"mmm")</f>
        <v>Aug</v>
      </c>
      <c r="N1580">
        <f>YEAR(SalesData[[#This Row],[Order_Date]])</f>
        <v>2023</v>
      </c>
    </row>
    <row r="1581" spans="1:14" x14ac:dyDescent="0.3">
      <c r="A1581" t="s">
        <v>2771</v>
      </c>
      <c r="B1581" s="1">
        <v>45139</v>
      </c>
      <c r="C1581" t="s">
        <v>419</v>
      </c>
      <c r="D1581" t="s">
        <v>40</v>
      </c>
      <c r="E1581" t="s">
        <v>56</v>
      </c>
      <c r="F1581" t="s">
        <v>57</v>
      </c>
      <c r="G1581" t="s">
        <v>1411</v>
      </c>
      <c r="H1581" s="8">
        <v>2656.72</v>
      </c>
      <c r="I1581" s="8">
        <v>845.11</v>
      </c>
      <c r="J1581" s="8">
        <v>0.01</v>
      </c>
      <c r="K1581" t="str">
        <f>IF(SalesData[[#This Row],[Profit]]&gt;0,"Profit","Loss")</f>
        <v>Profit</v>
      </c>
      <c r="L1581" s="8">
        <f>SalesData[[#This Row],[Profit]]/SalesData[[#This Row],[Sales]]</f>
        <v>0.31810277334457532</v>
      </c>
      <c r="M1581" t="str">
        <f>TEXT(SalesData[[#This Row],[Order_Date]],"mmm")</f>
        <v>Aug</v>
      </c>
      <c r="N1581">
        <f>YEAR(SalesData[[#This Row],[Order_Date]])</f>
        <v>2023</v>
      </c>
    </row>
    <row r="1582" spans="1:14" x14ac:dyDescent="0.3">
      <c r="A1582" t="s">
        <v>2772</v>
      </c>
      <c r="B1582" s="1">
        <v>45251</v>
      </c>
      <c r="C1582" t="s">
        <v>1237</v>
      </c>
      <c r="D1582" t="s">
        <v>18</v>
      </c>
      <c r="E1582" t="s">
        <v>13</v>
      </c>
      <c r="F1582" t="s">
        <v>14</v>
      </c>
      <c r="G1582" t="s">
        <v>208</v>
      </c>
      <c r="H1582" s="8">
        <v>2881.44</v>
      </c>
      <c r="I1582" s="8">
        <v>397.2</v>
      </c>
      <c r="J1582" s="8">
        <v>0.09</v>
      </c>
      <c r="K1582" t="str">
        <f>IF(SalesData[[#This Row],[Profit]]&gt;0,"Profit","Loss")</f>
        <v>Profit</v>
      </c>
      <c r="L1582" s="8">
        <f>SalesData[[#This Row],[Profit]]/SalesData[[#This Row],[Sales]]</f>
        <v>0.13784774279526901</v>
      </c>
      <c r="M1582" t="str">
        <f>TEXT(SalesData[[#This Row],[Order_Date]],"mmm")</f>
        <v>Nov</v>
      </c>
      <c r="N1582">
        <f>YEAR(SalesData[[#This Row],[Order_Date]])</f>
        <v>2023</v>
      </c>
    </row>
    <row r="1583" spans="1:14" x14ac:dyDescent="0.3">
      <c r="A1583" t="s">
        <v>2773</v>
      </c>
      <c r="B1583" s="1">
        <v>45214</v>
      </c>
      <c r="C1583" t="s">
        <v>165</v>
      </c>
      <c r="D1583" t="s">
        <v>12</v>
      </c>
      <c r="E1583" t="s">
        <v>13</v>
      </c>
      <c r="F1583" t="s">
        <v>14</v>
      </c>
      <c r="G1583" t="s">
        <v>119</v>
      </c>
      <c r="H1583" s="8">
        <v>817.98</v>
      </c>
      <c r="I1583" s="8">
        <v>-48.64</v>
      </c>
      <c r="J1583" s="8">
        <v>0.09</v>
      </c>
      <c r="K1583" t="str">
        <f>IF(SalesData[[#This Row],[Profit]]&gt;0,"Profit","Loss")</f>
        <v>Loss</v>
      </c>
      <c r="L1583" s="8">
        <f>SalesData[[#This Row],[Profit]]/SalesData[[#This Row],[Sales]]</f>
        <v>-5.9463556566175212E-2</v>
      </c>
      <c r="M1583" t="str">
        <f>TEXT(SalesData[[#This Row],[Order_Date]],"mmm")</f>
        <v>Oct</v>
      </c>
      <c r="N1583">
        <f>YEAR(SalesData[[#This Row],[Order_Date]])</f>
        <v>2023</v>
      </c>
    </row>
    <row r="1584" spans="1:14" x14ac:dyDescent="0.3">
      <c r="A1584" t="s">
        <v>2774</v>
      </c>
      <c r="B1584" s="1">
        <v>45082</v>
      </c>
      <c r="C1584" t="s">
        <v>493</v>
      </c>
      <c r="D1584" t="s">
        <v>28</v>
      </c>
      <c r="E1584" t="s">
        <v>56</v>
      </c>
      <c r="F1584" t="s">
        <v>73</v>
      </c>
      <c r="G1584" t="s">
        <v>219</v>
      </c>
      <c r="H1584" s="8">
        <v>1584.49</v>
      </c>
      <c r="I1584" s="8">
        <v>-355.48</v>
      </c>
      <c r="J1584" s="8">
        <v>0.18</v>
      </c>
      <c r="K1584" t="str">
        <f>IF(SalesData[[#This Row],[Profit]]&gt;0,"Profit","Loss")</f>
        <v>Loss</v>
      </c>
      <c r="L1584" s="8">
        <f>SalesData[[#This Row],[Profit]]/SalesData[[#This Row],[Sales]]</f>
        <v>-0.22434979078441644</v>
      </c>
      <c r="M1584" t="str">
        <f>TEXT(SalesData[[#This Row],[Order_Date]],"mmm")</f>
        <v>Jun</v>
      </c>
      <c r="N1584">
        <f>YEAR(SalesData[[#This Row],[Order_Date]])</f>
        <v>2023</v>
      </c>
    </row>
    <row r="1585" spans="1:14" x14ac:dyDescent="0.3">
      <c r="A1585" t="s">
        <v>2775</v>
      </c>
      <c r="B1585" s="1">
        <v>45075</v>
      </c>
      <c r="C1585" t="s">
        <v>1194</v>
      </c>
      <c r="D1585" t="s">
        <v>40</v>
      </c>
      <c r="E1585" t="s">
        <v>13</v>
      </c>
      <c r="F1585" t="s">
        <v>14</v>
      </c>
      <c r="G1585" t="s">
        <v>1553</v>
      </c>
      <c r="H1585" s="8">
        <v>4864.78</v>
      </c>
      <c r="I1585" s="8">
        <v>-183.49</v>
      </c>
      <c r="J1585" s="8">
        <v>0.19</v>
      </c>
      <c r="K1585" t="str">
        <f>IF(SalesData[[#This Row],[Profit]]&gt;0,"Profit","Loss")</f>
        <v>Loss</v>
      </c>
      <c r="L1585" s="8">
        <f>SalesData[[#This Row],[Profit]]/SalesData[[#This Row],[Sales]]</f>
        <v>-3.7718046859261882E-2</v>
      </c>
      <c r="M1585" t="str">
        <f>TEXT(SalesData[[#This Row],[Order_Date]],"mmm")</f>
        <v>May</v>
      </c>
      <c r="N1585">
        <f>YEAR(SalesData[[#This Row],[Order_Date]])</f>
        <v>2023</v>
      </c>
    </row>
    <row r="1586" spans="1:14" x14ac:dyDescent="0.3">
      <c r="A1586" t="s">
        <v>2776</v>
      </c>
      <c r="B1586" s="1">
        <v>44950</v>
      </c>
      <c r="C1586" t="s">
        <v>1901</v>
      </c>
      <c r="D1586" t="s">
        <v>12</v>
      </c>
      <c r="E1586" t="s">
        <v>19</v>
      </c>
      <c r="F1586" t="s">
        <v>141</v>
      </c>
      <c r="G1586" t="s">
        <v>878</v>
      </c>
      <c r="H1586" s="8">
        <v>928.69</v>
      </c>
      <c r="I1586" s="8">
        <v>-236.6</v>
      </c>
      <c r="J1586" s="8">
        <v>0.16</v>
      </c>
      <c r="K1586" t="str">
        <f>IF(SalesData[[#This Row],[Profit]]&gt;0,"Profit","Loss")</f>
        <v>Loss</v>
      </c>
      <c r="L1586" s="8">
        <f>SalesData[[#This Row],[Profit]]/SalesData[[#This Row],[Sales]]</f>
        <v>-0.25476746815406648</v>
      </c>
      <c r="M1586" t="str">
        <f>TEXT(SalesData[[#This Row],[Order_Date]],"mmm")</f>
        <v>Jan</v>
      </c>
      <c r="N1586">
        <f>YEAR(SalesData[[#This Row],[Order_Date]])</f>
        <v>2023</v>
      </c>
    </row>
    <row r="1587" spans="1:14" x14ac:dyDescent="0.3">
      <c r="A1587" t="s">
        <v>2777</v>
      </c>
      <c r="B1587" s="1">
        <v>44684</v>
      </c>
      <c r="C1587" t="s">
        <v>85</v>
      </c>
      <c r="D1587" t="s">
        <v>18</v>
      </c>
      <c r="E1587" t="s">
        <v>56</v>
      </c>
      <c r="F1587" t="s">
        <v>95</v>
      </c>
      <c r="G1587" t="s">
        <v>1970</v>
      </c>
      <c r="H1587" s="8">
        <v>1111.5</v>
      </c>
      <c r="I1587" s="8">
        <v>128.03</v>
      </c>
      <c r="J1587" s="8">
        <v>0.05</v>
      </c>
      <c r="K1587" t="str">
        <f>IF(SalesData[[#This Row],[Profit]]&gt;0,"Profit","Loss")</f>
        <v>Profit</v>
      </c>
      <c r="L1587" s="8">
        <f>SalesData[[#This Row],[Profit]]/SalesData[[#This Row],[Sales]]</f>
        <v>0.11518668466036887</v>
      </c>
      <c r="M1587" t="str">
        <f>TEXT(SalesData[[#This Row],[Order_Date]],"mmm")</f>
        <v>May</v>
      </c>
      <c r="N1587">
        <f>YEAR(SalesData[[#This Row],[Order_Date]])</f>
        <v>2022</v>
      </c>
    </row>
    <row r="1588" spans="1:14" x14ac:dyDescent="0.3">
      <c r="A1588" t="s">
        <v>2778</v>
      </c>
      <c r="B1588" s="1">
        <v>45098</v>
      </c>
      <c r="C1588" t="s">
        <v>165</v>
      </c>
      <c r="D1588" t="s">
        <v>18</v>
      </c>
      <c r="E1588" t="s">
        <v>19</v>
      </c>
      <c r="F1588" t="s">
        <v>29</v>
      </c>
      <c r="G1588" t="s">
        <v>178</v>
      </c>
      <c r="H1588" s="8">
        <v>2890.1</v>
      </c>
      <c r="I1588" s="8">
        <v>-1105.98</v>
      </c>
      <c r="J1588" s="8">
        <v>0.19</v>
      </c>
      <c r="K1588" t="str">
        <f>IF(SalesData[[#This Row],[Profit]]&gt;0,"Profit","Loss")</f>
        <v>Loss</v>
      </c>
      <c r="L1588" s="8">
        <f>SalesData[[#This Row],[Profit]]/SalesData[[#This Row],[Sales]]</f>
        <v>-0.38267880004152105</v>
      </c>
      <c r="M1588" t="str">
        <f>TEXT(SalesData[[#This Row],[Order_Date]],"mmm")</f>
        <v>Jun</v>
      </c>
      <c r="N1588">
        <f>YEAR(SalesData[[#This Row],[Order_Date]])</f>
        <v>2023</v>
      </c>
    </row>
    <row r="1589" spans="1:14" x14ac:dyDescent="0.3">
      <c r="A1589" t="s">
        <v>2779</v>
      </c>
      <c r="B1589" s="1">
        <v>44630</v>
      </c>
      <c r="C1589" t="s">
        <v>1794</v>
      </c>
      <c r="D1589" t="s">
        <v>12</v>
      </c>
      <c r="E1589" t="s">
        <v>13</v>
      </c>
      <c r="F1589" t="s">
        <v>14</v>
      </c>
      <c r="G1589" t="s">
        <v>108</v>
      </c>
      <c r="H1589" s="8">
        <v>2052.61</v>
      </c>
      <c r="I1589" s="8">
        <v>-66.28</v>
      </c>
      <c r="J1589" s="8">
        <v>0.03</v>
      </c>
      <c r="K1589" t="str">
        <f>IF(SalesData[[#This Row],[Profit]]&gt;0,"Profit","Loss")</f>
        <v>Loss</v>
      </c>
      <c r="L1589" s="8">
        <f>SalesData[[#This Row],[Profit]]/SalesData[[#This Row],[Sales]]</f>
        <v>-3.2290595875495098E-2</v>
      </c>
      <c r="M1589" t="str">
        <f>TEXT(SalesData[[#This Row],[Order_Date]],"mmm")</f>
        <v>Mar</v>
      </c>
      <c r="N1589">
        <f>YEAR(SalesData[[#This Row],[Order_Date]])</f>
        <v>2022</v>
      </c>
    </row>
    <row r="1590" spans="1:14" x14ac:dyDescent="0.3">
      <c r="A1590" t="s">
        <v>2780</v>
      </c>
      <c r="B1590" s="1">
        <v>44749</v>
      </c>
      <c r="C1590" t="s">
        <v>588</v>
      </c>
      <c r="D1590" t="s">
        <v>18</v>
      </c>
      <c r="E1590" t="s">
        <v>56</v>
      </c>
      <c r="F1590" t="s">
        <v>95</v>
      </c>
      <c r="G1590" t="s">
        <v>362</v>
      </c>
      <c r="H1590" s="8">
        <v>2876.84</v>
      </c>
      <c r="I1590" s="8">
        <v>-334.74</v>
      </c>
      <c r="J1590" s="8">
        <v>7.0000000000000007E-2</v>
      </c>
      <c r="K1590" t="str">
        <f>IF(SalesData[[#This Row],[Profit]]&gt;0,"Profit","Loss")</f>
        <v>Loss</v>
      </c>
      <c r="L1590" s="8">
        <f>SalesData[[#This Row],[Profit]]/SalesData[[#This Row],[Sales]]</f>
        <v>-0.1163568359728035</v>
      </c>
      <c r="M1590" t="str">
        <f>TEXT(SalesData[[#This Row],[Order_Date]],"mmm")</f>
        <v>Jul</v>
      </c>
      <c r="N1590">
        <f>YEAR(SalesData[[#This Row],[Order_Date]])</f>
        <v>2022</v>
      </c>
    </row>
    <row r="1591" spans="1:14" x14ac:dyDescent="0.3">
      <c r="A1591" t="s">
        <v>2781</v>
      </c>
      <c r="B1591" s="1">
        <v>45127</v>
      </c>
      <c r="C1591" t="s">
        <v>2455</v>
      </c>
      <c r="D1591" t="s">
        <v>12</v>
      </c>
      <c r="E1591" t="s">
        <v>13</v>
      </c>
      <c r="F1591" t="s">
        <v>24</v>
      </c>
      <c r="G1591" t="s">
        <v>208</v>
      </c>
      <c r="H1591" s="8">
        <v>2334.7199999999998</v>
      </c>
      <c r="I1591" s="8">
        <v>363.01</v>
      </c>
      <c r="J1591" s="8">
        <v>0.01</v>
      </c>
      <c r="K1591" t="str">
        <f>IF(SalesData[[#This Row],[Profit]]&gt;0,"Profit","Loss")</f>
        <v>Profit</v>
      </c>
      <c r="L1591" s="8">
        <f>SalesData[[#This Row],[Profit]]/SalesData[[#This Row],[Sales]]</f>
        <v>0.15548331277412281</v>
      </c>
      <c r="M1591" t="str">
        <f>TEXT(SalesData[[#This Row],[Order_Date]],"mmm")</f>
        <v>Jul</v>
      </c>
      <c r="N1591">
        <f>YEAR(SalesData[[#This Row],[Order_Date]])</f>
        <v>2023</v>
      </c>
    </row>
    <row r="1592" spans="1:14" x14ac:dyDescent="0.3">
      <c r="A1592" t="s">
        <v>2782</v>
      </c>
      <c r="B1592" s="1">
        <v>45097</v>
      </c>
      <c r="C1592" t="s">
        <v>2783</v>
      </c>
      <c r="D1592" t="s">
        <v>12</v>
      </c>
      <c r="E1592" t="s">
        <v>56</v>
      </c>
      <c r="F1592" t="s">
        <v>73</v>
      </c>
      <c r="G1592" t="s">
        <v>2700</v>
      </c>
      <c r="H1592" s="8">
        <v>4170.3900000000003</v>
      </c>
      <c r="I1592" s="8">
        <v>1342.37</v>
      </c>
      <c r="J1592" s="8">
        <v>0.02</v>
      </c>
      <c r="K1592" t="str">
        <f>IF(SalesData[[#This Row],[Profit]]&gt;0,"Profit","Loss")</f>
        <v>Profit</v>
      </c>
      <c r="L1592" s="8">
        <f>SalesData[[#This Row],[Profit]]/SalesData[[#This Row],[Sales]]</f>
        <v>0.3218811669891784</v>
      </c>
      <c r="M1592" t="str">
        <f>TEXT(SalesData[[#This Row],[Order_Date]],"mmm")</f>
        <v>Jun</v>
      </c>
      <c r="N1592">
        <f>YEAR(SalesData[[#This Row],[Order_Date]])</f>
        <v>2023</v>
      </c>
    </row>
    <row r="1593" spans="1:14" x14ac:dyDescent="0.3">
      <c r="A1593" t="s">
        <v>2784</v>
      </c>
      <c r="B1593" s="1">
        <v>45111</v>
      </c>
      <c r="C1593" t="s">
        <v>2785</v>
      </c>
      <c r="D1593" t="s">
        <v>40</v>
      </c>
      <c r="E1593" t="s">
        <v>56</v>
      </c>
      <c r="F1593" t="s">
        <v>57</v>
      </c>
      <c r="G1593" t="s">
        <v>864</v>
      </c>
      <c r="H1593" s="8">
        <v>2969.82</v>
      </c>
      <c r="I1593" s="8">
        <v>-271.55</v>
      </c>
      <c r="J1593" s="8">
        <v>0.17</v>
      </c>
      <c r="K1593" t="str">
        <f>IF(SalesData[[#This Row],[Profit]]&gt;0,"Profit","Loss")</f>
        <v>Loss</v>
      </c>
      <c r="L1593" s="8">
        <f>SalesData[[#This Row],[Profit]]/SalesData[[#This Row],[Sales]]</f>
        <v>-9.1436518038130257E-2</v>
      </c>
      <c r="M1593" t="str">
        <f>TEXT(SalesData[[#This Row],[Order_Date]],"mmm")</f>
        <v>Jul</v>
      </c>
      <c r="N1593">
        <f>YEAR(SalesData[[#This Row],[Order_Date]])</f>
        <v>2023</v>
      </c>
    </row>
    <row r="1594" spans="1:14" x14ac:dyDescent="0.3">
      <c r="A1594" t="s">
        <v>2786</v>
      </c>
      <c r="B1594" s="1">
        <v>44764</v>
      </c>
      <c r="C1594" t="s">
        <v>353</v>
      </c>
      <c r="D1594" t="s">
        <v>18</v>
      </c>
      <c r="E1594" t="s">
        <v>13</v>
      </c>
      <c r="F1594" t="s">
        <v>14</v>
      </c>
      <c r="G1594" t="s">
        <v>862</v>
      </c>
      <c r="H1594" s="8">
        <v>1062.49</v>
      </c>
      <c r="I1594" s="8">
        <v>-191.21</v>
      </c>
      <c r="J1594" s="8">
        <v>0.03</v>
      </c>
      <c r="K1594" t="str">
        <f>IF(SalesData[[#This Row],[Profit]]&gt;0,"Profit","Loss")</f>
        <v>Loss</v>
      </c>
      <c r="L1594" s="8">
        <f>SalesData[[#This Row],[Profit]]/SalesData[[#This Row],[Sales]]</f>
        <v>-0.17996404672043972</v>
      </c>
      <c r="M1594" t="str">
        <f>TEXT(SalesData[[#This Row],[Order_Date]],"mmm")</f>
        <v>Jul</v>
      </c>
      <c r="N1594">
        <f>YEAR(SalesData[[#This Row],[Order_Date]])</f>
        <v>2022</v>
      </c>
    </row>
    <row r="1595" spans="1:14" x14ac:dyDescent="0.3">
      <c r="A1595" t="s">
        <v>2787</v>
      </c>
      <c r="B1595" s="1">
        <v>44676</v>
      </c>
      <c r="C1595" t="s">
        <v>626</v>
      </c>
      <c r="D1595" t="s">
        <v>28</v>
      </c>
      <c r="E1595" t="s">
        <v>19</v>
      </c>
      <c r="F1595" t="s">
        <v>29</v>
      </c>
      <c r="G1595" t="s">
        <v>241</v>
      </c>
      <c r="H1595" s="8">
        <v>2889.71</v>
      </c>
      <c r="I1595" s="8">
        <v>423.87</v>
      </c>
      <c r="J1595" s="8">
        <v>0.17</v>
      </c>
      <c r="K1595" t="str">
        <f>IF(SalesData[[#This Row],[Profit]]&gt;0,"Profit","Loss")</f>
        <v>Profit</v>
      </c>
      <c r="L1595" s="8">
        <f>SalesData[[#This Row],[Profit]]/SalesData[[#This Row],[Sales]]</f>
        <v>0.14668253907831583</v>
      </c>
      <c r="M1595" t="str">
        <f>TEXT(SalesData[[#This Row],[Order_Date]],"mmm")</f>
        <v>Apr</v>
      </c>
      <c r="N1595">
        <f>YEAR(SalesData[[#This Row],[Order_Date]])</f>
        <v>2022</v>
      </c>
    </row>
    <row r="1596" spans="1:14" x14ac:dyDescent="0.3">
      <c r="A1596" t="s">
        <v>2788</v>
      </c>
      <c r="B1596" s="1">
        <v>44562</v>
      </c>
      <c r="C1596" t="s">
        <v>845</v>
      </c>
      <c r="D1596" t="s">
        <v>28</v>
      </c>
      <c r="E1596" t="s">
        <v>13</v>
      </c>
      <c r="F1596" t="s">
        <v>14</v>
      </c>
      <c r="G1596" t="s">
        <v>1321</v>
      </c>
      <c r="H1596" s="8">
        <v>2985.79</v>
      </c>
      <c r="I1596" s="8">
        <v>189.08</v>
      </c>
      <c r="J1596" s="8">
        <v>0.19</v>
      </c>
      <c r="K1596" t="str">
        <f>IF(SalesData[[#This Row],[Profit]]&gt;0,"Profit","Loss")</f>
        <v>Profit</v>
      </c>
      <c r="L1596" s="8">
        <f>SalesData[[#This Row],[Profit]]/SalesData[[#This Row],[Sales]]</f>
        <v>6.3326623774612414E-2</v>
      </c>
      <c r="M1596" t="str">
        <f>TEXT(SalesData[[#This Row],[Order_Date]],"mmm")</f>
        <v>Jan</v>
      </c>
      <c r="N1596">
        <f>YEAR(SalesData[[#This Row],[Order_Date]])</f>
        <v>2022</v>
      </c>
    </row>
    <row r="1597" spans="1:14" x14ac:dyDescent="0.3">
      <c r="A1597" t="s">
        <v>2789</v>
      </c>
      <c r="B1597" s="1">
        <v>44852</v>
      </c>
      <c r="C1597" t="s">
        <v>2107</v>
      </c>
      <c r="D1597" t="s">
        <v>40</v>
      </c>
      <c r="E1597" t="s">
        <v>19</v>
      </c>
      <c r="F1597" t="s">
        <v>29</v>
      </c>
      <c r="G1597" t="s">
        <v>53</v>
      </c>
      <c r="H1597" s="8">
        <v>3192.53</v>
      </c>
      <c r="I1597" s="8">
        <v>-32.03</v>
      </c>
      <c r="J1597" s="8">
        <v>0.1</v>
      </c>
      <c r="K1597" t="str">
        <f>IF(SalesData[[#This Row],[Profit]]&gt;0,"Profit","Loss")</f>
        <v>Loss</v>
      </c>
      <c r="L1597" s="8">
        <f>SalesData[[#This Row],[Profit]]/SalesData[[#This Row],[Sales]]</f>
        <v>-1.0032795306543713E-2</v>
      </c>
      <c r="M1597" t="str">
        <f>TEXT(SalesData[[#This Row],[Order_Date]],"mmm")</f>
        <v>Oct</v>
      </c>
      <c r="N1597">
        <f>YEAR(SalesData[[#This Row],[Order_Date]])</f>
        <v>2022</v>
      </c>
    </row>
    <row r="1598" spans="1:14" x14ac:dyDescent="0.3">
      <c r="A1598" t="s">
        <v>2790</v>
      </c>
      <c r="B1598" s="1">
        <v>45202</v>
      </c>
      <c r="C1598" t="s">
        <v>948</v>
      </c>
      <c r="D1598" t="s">
        <v>12</v>
      </c>
      <c r="E1598" t="s">
        <v>13</v>
      </c>
      <c r="F1598" t="s">
        <v>14</v>
      </c>
      <c r="G1598" t="s">
        <v>1295</v>
      </c>
      <c r="H1598" s="8">
        <v>1771.6</v>
      </c>
      <c r="I1598" s="8">
        <v>-173.9</v>
      </c>
      <c r="J1598" s="8">
        <v>0.2</v>
      </c>
      <c r="K1598" t="str">
        <f>IF(SalesData[[#This Row],[Profit]]&gt;0,"Profit","Loss")</f>
        <v>Loss</v>
      </c>
      <c r="L1598" s="8">
        <f>SalesData[[#This Row],[Profit]]/SalesData[[#This Row],[Sales]]</f>
        <v>-9.8159855497855053E-2</v>
      </c>
      <c r="M1598" t="str">
        <f>TEXT(SalesData[[#This Row],[Order_Date]],"mmm")</f>
        <v>Oct</v>
      </c>
      <c r="N1598">
        <f>YEAR(SalesData[[#This Row],[Order_Date]])</f>
        <v>2023</v>
      </c>
    </row>
    <row r="1599" spans="1:14" x14ac:dyDescent="0.3">
      <c r="A1599" t="s">
        <v>2791</v>
      </c>
      <c r="B1599" s="1">
        <v>45069</v>
      </c>
      <c r="C1599" t="s">
        <v>2341</v>
      </c>
      <c r="D1599" t="s">
        <v>18</v>
      </c>
      <c r="E1599" t="s">
        <v>56</v>
      </c>
      <c r="F1599" t="s">
        <v>95</v>
      </c>
      <c r="G1599" t="s">
        <v>520</v>
      </c>
      <c r="H1599" s="8">
        <v>131.93</v>
      </c>
      <c r="I1599" s="8">
        <v>-21.67</v>
      </c>
      <c r="J1599" s="8">
        <v>0.27</v>
      </c>
      <c r="K1599" t="str">
        <f>IF(SalesData[[#This Row],[Profit]]&gt;0,"Profit","Loss")</f>
        <v>Loss</v>
      </c>
      <c r="L1599" s="8">
        <f>SalesData[[#This Row],[Profit]]/SalesData[[#This Row],[Sales]]</f>
        <v>-0.1642537709391344</v>
      </c>
      <c r="M1599" t="str">
        <f>TEXT(SalesData[[#This Row],[Order_Date]],"mmm")</f>
        <v>May</v>
      </c>
      <c r="N1599">
        <f>YEAR(SalesData[[#This Row],[Order_Date]])</f>
        <v>2023</v>
      </c>
    </row>
    <row r="1600" spans="1:14" x14ac:dyDescent="0.3">
      <c r="A1600" t="s">
        <v>2792</v>
      </c>
      <c r="B1600" s="1">
        <v>45215</v>
      </c>
      <c r="C1600" t="s">
        <v>177</v>
      </c>
      <c r="D1600" t="s">
        <v>18</v>
      </c>
      <c r="E1600" t="s">
        <v>19</v>
      </c>
      <c r="F1600" t="s">
        <v>141</v>
      </c>
      <c r="G1600" t="s">
        <v>1574</v>
      </c>
      <c r="H1600" s="8">
        <v>1592.74</v>
      </c>
      <c r="I1600" s="8">
        <v>-340.98</v>
      </c>
      <c r="J1600" s="8">
        <v>0.28000000000000003</v>
      </c>
      <c r="K1600" t="str">
        <f>IF(SalesData[[#This Row],[Profit]]&gt;0,"Profit","Loss")</f>
        <v>Loss</v>
      </c>
      <c r="L1600" s="8">
        <f>SalesData[[#This Row],[Profit]]/SalesData[[#This Row],[Sales]]</f>
        <v>-0.21408390572221456</v>
      </c>
      <c r="M1600" t="str">
        <f>TEXT(SalesData[[#This Row],[Order_Date]],"mmm")</f>
        <v>Oct</v>
      </c>
      <c r="N1600">
        <f>YEAR(SalesData[[#This Row],[Order_Date]])</f>
        <v>2023</v>
      </c>
    </row>
    <row r="1601" spans="1:14" x14ac:dyDescent="0.3">
      <c r="A1601" t="s">
        <v>2793</v>
      </c>
      <c r="B1601" s="1">
        <v>45105</v>
      </c>
      <c r="C1601" t="s">
        <v>2494</v>
      </c>
      <c r="D1601" t="s">
        <v>12</v>
      </c>
      <c r="E1601" t="s">
        <v>56</v>
      </c>
      <c r="F1601" t="s">
        <v>57</v>
      </c>
      <c r="G1601" t="s">
        <v>47</v>
      </c>
      <c r="H1601" s="8">
        <v>1144.76</v>
      </c>
      <c r="I1601" s="8">
        <v>-180.86</v>
      </c>
      <c r="J1601" s="8">
        <v>0.15</v>
      </c>
      <c r="K1601" t="str">
        <f>IF(SalesData[[#This Row],[Profit]]&gt;0,"Profit","Loss")</f>
        <v>Loss</v>
      </c>
      <c r="L1601" s="8">
        <f>SalesData[[#This Row],[Profit]]/SalesData[[#This Row],[Sales]]</f>
        <v>-0.1579894475697963</v>
      </c>
      <c r="M1601" t="str">
        <f>TEXT(SalesData[[#This Row],[Order_Date]],"mmm")</f>
        <v>Jun</v>
      </c>
      <c r="N1601">
        <f>YEAR(SalesData[[#This Row],[Order_Date]])</f>
        <v>2023</v>
      </c>
    </row>
    <row r="1602" spans="1:14" x14ac:dyDescent="0.3">
      <c r="A1602" t="s">
        <v>2794</v>
      </c>
      <c r="B1602" s="1">
        <v>44758</v>
      </c>
      <c r="C1602" t="s">
        <v>2212</v>
      </c>
      <c r="D1602" t="s">
        <v>28</v>
      </c>
      <c r="E1602" t="s">
        <v>19</v>
      </c>
      <c r="F1602" t="s">
        <v>141</v>
      </c>
      <c r="G1602" t="s">
        <v>766</v>
      </c>
      <c r="H1602" s="8">
        <v>1130.43</v>
      </c>
      <c r="I1602" s="8">
        <v>-232.58</v>
      </c>
      <c r="J1602" s="8">
        <v>0.2</v>
      </c>
      <c r="K1602" t="str">
        <f>IF(SalesData[[#This Row],[Profit]]&gt;0,"Profit","Loss")</f>
        <v>Loss</v>
      </c>
      <c r="L1602" s="8">
        <f>SalesData[[#This Row],[Profit]]/SalesData[[#This Row],[Sales]]</f>
        <v>-0.2057447166122626</v>
      </c>
      <c r="M1602" t="str">
        <f>TEXT(SalesData[[#This Row],[Order_Date]],"mmm")</f>
        <v>Jul</v>
      </c>
      <c r="N1602">
        <f>YEAR(SalesData[[#This Row],[Order_Date]])</f>
        <v>2022</v>
      </c>
    </row>
    <row r="1603" spans="1:14" x14ac:dyDescent="0.3">
      <c r="A1603" t="s">
        <v>2795</v>
      </c>
      <c r="B1603" s="1">
        <v>45047</v>
      </c>
      <c r="C1603" t="s">
        <v>746</v>
      </c>
      <c r="D1603" t="s">
        <v>28</v>
      </c>
      <c r="E1603" t="s">
        <v>56</v>
      </c>
      <c r="F1603" t="s">
        <v>57</v>
      </c>
      <c r="G1603" t="s">
        <v>1352</v>
      </c>
      <c r="H1603" s="8">
        <v>3089.6</v>
      </c>
      <c r="I1603" s="8">
        <v>1001.11</v>
      </c>
      <c r="J1603" s="8">
        <v>0.05</v>
      </c>
      <c r="K1603" t="str">
        <f>IF(SalesData[[#This Row],[Profit]]&gt;0,"Profit","Loss")</f>
        <v>Profit</v>
      </c>
      <c r="L1603" s="8">
        <f>SalesData[[#This Row],[Profit]]/SalesData[[#This Row],[Sales]]</f>
        <v>0.32402576385292597</v>
      </c>
      <c r="M1603" t="str">
        <f>TEXT(SalesData[[#This Row],[Order_Date]],"mmm")</f>
        <v>May</v>
      </c>
      <c r="N1603">
        <f>YEAR(SalesData[[#This Row],[Order_Date]])</f>
        <v>2023</v>
      </c>
    </row>
    <row r="1604" spans="1:14" x14ac:dyDescent="0.3">
      <c r="A1604" t="s">
        <v>2796</v>
      </c>
      <c r="B1604" s="1">
        <v>44872</v>
      </c>
      <c r="C1604" t="s">
        <v>2410</v>
      </c>
      <c r="D1604" t="s">
        <v>18</v>
      </c>
      <c r="E1604" t="s">
        <v>13</v>
      </c>
      <c r="F1604" t="s">
        <v>36</v>
      </c>
      <c r="G1604" t="s">
        <v>1271</v>
      </c>
      <c r="H1604" s="8">
        <v>1220.75</v>
      </c>
      <c r="I1604" s="8">
        <v>342.54</v>
      </c>
      <c r="J1604" s="8">
        <v>0.08</v>
      </c>
      <c r="K1604" t="str">
        <f>IF(SalesData[[#This Row],[Profit]]&gt;0,"Profit","Loss")</f>
        <v>Profit</v>
      </c>
      <c r="L1604" s="8">
        <f>SalesData[[#This Row],[Profit]]/SalesData[[#This Row],[Sales]]</f>
        <v>0.28059799303706739</v>
      </c>
      <c r="M1604" t="str">
        <f>TEXT(SalesData[[#This Row],[Order_Date]],"mmm")</f>
        <v>Nov</v>
      </c>
      <c r="N1604">
        <f>YEAR(SalesData[[#This Row],[Order_Date]])</f>
        <v>2022</v>
      </c>
    </row>
    <row r="1605" spans="1:14" x14ac:dyDescent="0.3">
      <c r="A1605" t="s">
        <v>2797</v>
      </c>
      <c r="B1605" s="1">
        <v>44997</v>
      </c>
      <c r="C1605" t="s">
        <v>1934</v>
      </c>
      <c r="D1605" t="s">
        <v>28</v>
      </c>
      <c r="E1605" t="s">
        <v>19</v>
      </c>
      <c r="F1605" t="s">
        <v>141</v>
      </c>
      <c r="G1605" t="s">
        <v>728</v>
      </c>
      <c r="H1605" s="8">
        <v>1834.27</v>
      </c>
      <c r="I1605" s="8">
        <v>-275.45999999999998</v>
      </c>
      <c r="J1605" s="8">
        <v>0.22</v>
      </c>
      <c r="K1605" t="str">
        <f>IF(SalesData[[#This Row],[Profit]]&gt;0,"Profit","Loss")</f>
        <v>Loss</v>
      </c>
      <c r="L1605" s="8">
        <f>SalesData[[#This Row],[Profit]]/SalesData[[#This Row],[Sales]]</f>
        <v>-0.1501741837352189</v>
      </c>
      <c r="M1605" t="str">
        <f>TEXT(SalesData[[#This Row],[Order_Date]],"mmm")</f>
        <v>Mar</v>
      </c>
      <c r="N1605">
        <f>YEAR(SalesData[[#This Row],[Order_Date]])</f>
        <v>2023</v>
      </c>
    </row>
    <row r="1606" spans="1:14" x14ac:dyDescent="0.3">
      <c r="A1606" t="s">
        <v>2798</v>
      </c>
      <c r="B1606" s="1">
        <v>44924</v>
      </c>
      <c r="C1606" t="s">
        <v>1108</v>
      </c>
      <c r="D1606" t="s">
        <v>18</v>
      </c>
      <c r="E1606" t="s">
        <v>19</v>
      </c>
      <c r="F1606" t="s">
        <v>20</v>
      </c>
      <c r="G1606" t="s">
        <v>1825</v>
      </c>
      <c r="H1606" s="8">
        <v>3834.89</v>
      </c>
      <c r="I1606" s="8">
        <v>1001.7</v>
      </c>
      <c r="J1606" s="8">
        <v>0.12</v>
      </c>
      <c r="K1606" t="str">
        <f>IF(SalesData[[#This Row],[Profit]]&gt;0,"Profit","Loss")</f>
        <v>Profit</v>
      </c>
      <c r="L1606" s="8">
        <f>SalesData[[#This Row],[Profit]]/SalesData[[#This Row],[Sales]]</f>
        <v>0.26120697073449306</v>
      </c>
      <c r="M1606" t="str">
        <f>TEXT(SalesData[[#This Row],[Order_Date]],"mmm")</f>
        <v>Dec</v>
      </c>
      <c r="N1606">
        <f>YEAR(SalesData[[#This Row],[Order_Date]])</f>
        <v>2022</v>
      </c>
    </row>
    <row r="1607" spans="1:14" x14ac:dyDescent="0.3">
      <c r="A1607" t="s">
        <v>2799</v>
      </c>
      <c r="B1607" s="1">
        <v>44824</v>
      </c>
      <c r="C1607" t="s">
        <v>1237</v>
      </c>
      <c r="D1607" t="s">
        <v>40</v>
      </c>
      <c r="E1607" t="s">
        <v>19</v>
      </c>
      <c r="F1607" t="s">
        <v>29</v>
      </c>
      <c r="G1607" t="s">
        <v>166</v>
      </c>
      <c r="H1607" s="8">
        <v>195.45</v>
      </c>
      <c r="I1607" s="8">
        <v>-55.67</v>
      </c>
      <c r="J1607" s="8">
        <v>0.21</v>
      </c>
      <c r="K1607" t="str">
        <f>IF(SalesData[[#This Row],[Profit]]&gt;0,"Profit","Loss")</f>
        <v>Loss</v>
      </c>
      <c r="L1607" s="8">
        <f>SalesData[[#This Row],[Profit]]/SalesData[[#This Row],[Sales]]</f>
        <v>-0.28482987976464569</v>
      </c>
      <c r="M1607" t="str">
        <f>TEXT(SalesData[[#This Row],[Order_Date]],"mmm")</f>
        <v>Sep</v>
      </c>
      <c r="N1607">
        <f>YEAR(SalesData[[#This Row],[Order_Date]])</f>
        <v>2022</v>
      </c>
    </row>
    <row r="1608" spans="1:14" x14ac:dyDescent="0.3">
      <c r="A1608" t="s">
        <v>2800</v>
      </c>
      <c r="B1608" s="1">
        <v>44766</v>
      </c>
      <c r="C1608" t="s">
        <v>645</v>
      </c>
      <c r="D1608" t="s">
        <v>28</v>
      </c>
      <c r="E1608" t="s">
        <v>19</v>
      </c>
      <c r="F1608" t="s">
        <v>29</v>
      </c>
      <c r="G1608" t="s">
        <v>1121</v>
      </c>
      <c r="H1608" s="8">
        <v>3975.51</v>
      </c>
      <c r="I1608" s="8">
        <v>143.05000000000001</v>
      </c>
      <c r="J1608" s="8">
        <v>0.1</v>
      </c>
      <c r="K1608" t="str">
        <f>IF(SalesData[[#This Row],[Profit]]&gt;0,"Profit","Loss")</f>
        <v>Profit</v>
      </c>
      <c r="L1608" s="8">
        <f>SalesData[[#This Row],[Profit]]/SalesData[[#This Row],[Sales]]</f>
        <v>3.5982804721909893E-2</v>
      </c>
      <c r="M1608" t="str">
        <f>TEXT(SalesData[[#This Row],[Order_Date]],"mmm")</f>
        <v>Jul</v>
      </c>
      <c r="N1608">
        <f>YEAR(SalesData[[#This Row],[Order_Date]])</f>
        <v>2022</v>
      </c>
    </row>
    <row r="1609" spans="1:14" x14ac:dyDescent="0.3">
      <c r="A1609" t="s">
        <v>2801</v>
      </c>
      <c r="B1609" s="1">
        <v>45169</v>
      </c>
      <c r="C1609" t="s">
        <v>316</v>
      </c>
      <c r="D1609" t="s">
        <v>12</v>
      </c>
      <c r="E1609" t="s">
        <v>19</v>
      </c>
      <c r="F1609" t="s">
        <v>20</v>
      </c>
      <c r="G1609" t="s">
        <v>1352</v>
      </c>
      <c r="H1609" s="8">
        <v>464.69</v>
      </c>
      <c r="I1609" s="8">
        <v>85.37</v>
      </c>
      <c r="J1609" s="8">
        <v>0.05</v>
      </c>
      <c r="K1609" t="str">
        <f>IF(SalesData[[#This Row],[Profit]]&gt;0,"Profit","Loss")</f>
        <v>Profit</v>
      </c>
      <c r="L1609" s="8">
        <f>SalesData[[#This Row],[Profit]]/SalesData[[#This Row],[Sales]]</f>
        <v>0.1837138737653059</v>
      </c>
      <c r="M1609" t="str">
        <f>TEXT(SalesData[[#This Row],[Order_Date]],"mmm")</f>
        <v>Aug</v>
      </c>
      <c r="N1609">
        <f>YEAR(SalesData[[#This Row],[Order_Date]])</f>
        <v>2023</v>
      </c>
    </row>
    <row r="1610" spans="1:14" x14ac:dyDescent="0.3">
      <c r="A1610" t="s">
        <v>2802</v>
      </c>
      <c r="B1610" s="1">
        <v>44848</v>
      </c>
      <c r="C1610" t="s">
        <v>2803</v>
      </c>
      <c r="D1610" t="s">
        <v>28</v>
      </c>
      <c r="E1610" t="s">
        <v>13</v>
      </c>
      <c r="F1610" t="s">
        <v>36</v>
      </c>
      <c r="G1610" t="s">
        <v>1386</v>
      </c>
      <c r="H1610" s="8">
        <v>3470.22</v>
      </c>
      <c r="I1610" s="8">
        <v>-616.91999999999996</v>
      </c>
      <c r="J1610" s="8">
        <v>0.27</v>
      </c>
      <c r="K1610" t="str">
        <f>IF(SalesData[[#This Row],[Profit]]&gt;0,"Profit","Loss")</f>
        <v>Loss</v>
      </c>
      <c r="L1610" s="8">
        <f>SalesData[[#This Row],[Profit]]/SalesData[[#This Row],[Sales]]</f>
        <v>-0.17777547244843267</v>
      </c>
      <c r="M1610" t="str">
        <f>TEXT(SalesData[[#This Row],[Order_Date]],"mmm")</f>
        <v>Oct</v>
      </c>
      <c r="N1610">
        <f>YEAR(SalesData[[#This Row],[Order_Date]])</f>
        <v>2022</v>
      </c>
    </row>
    <row r="1611" spans="1:14" x14ac:dyDescent="0.3">
      <c r="A1611" t="s">
        <v>2804</v>
      </c>
      <c r="B1611" s="1">
        <v>44853</v>
      </c>
      <c r="C1611" t="s">
        <v>2468</v>
      </c>
      <c r="D1611" t="s">
        <v>28</v>
      </c>
      <c r="E1611" t="s">
        <v>56</v>
      </c>
      <c r="F1611" t="s">
        <v>57</v>
      </c>
      <c r="G1611" t="s">
        <v>1637</v>
      </c>
      <c r="H1611" s="8">
        <v>3234.18</v>
      </c>
      <c r="I1611" s="8">
        <v>-188.65</v>
      </c>
      <c r="J1611" s="8">
        <v>0.08</v>
      </c>
      <c r="K1611" t="str">
        <f>IF(SalesData[[#This Row],[Profit]]&gt;0,"Profit","Loss")</f>
        <v>Loss</v>
      </c>
      <c r="L1611" s="8">
        <f>SalesData[[#This Row],[Profit]]/SalesData[[#This Row],[Sales]]</f>
        <v>-5.8330086760786354E-2</v>
      </c>
      <c r="M1611" t="str">
        <f>TEXT(SalesData[[#This Row],[Order_Date]],"mmm")</f>
        <v>Oct</v>
      </c>
      <c r="N1611">
        <f>YEAR(SalesData[[#This Row],[Order_Date]])</f>
        <v>2022</v>
      </c>
    </row>
    <row r="1612" spans="1:14" x14ac:dyDescent="0.3">
      <c r="A1612" t="s">
        <v>2805</v>
      </c>
      <c r="B1612" s="1">
        <v>44717</v>
      </c>
      <c r="C1612" t="s">
        <v>1987</v>
      </c>
      <c r="D1612" t="s">
        <v>40</v>
      </c>
      <c r="E1612" t="s">
        <v>13</v>
      </c>
      <c r="F1612" t="s">
        <v>14</v>
      </c>
      <c r="G1612" t="s">
        <v>279</v>
      </c>
      <c r="H1612" s="8">
        <v>1690.27</v>
      </c>
      <c r="I1612" s="8">
        <v>-307.18</v>
      </c>
      <c r="J1612" s="8">
        <v>0.23</v>
      </c>
      <c r="K1612" t="str">
        <f>IF(SalesData[[#This Row],[Profit]]&gt;0,"Profit","Loss")</f>
        <v>Loss</v>
      </c>
      <c r="L1612" s="8">
        <f>SalesData[[#This Row],[Profit]]/SalesData[[#This Row],[Sales]]</f>
        <v>-0.1817342791388358</v>
      </c>
      <c r="M1612" t="str">
        <f>TEXT(SalesData[[#This Row],[Order_Date]],"mmm")</f>
        <v>Jun</v>
      </c>
      <c r="N1612">
        <f>YEAR(SalesData[[#This Row],[Order_Date]])</f>
        <v>2022</v>
      </c>
    </row>
    <row r="1613" spans="1:14" x14ac:dyDescent="0.3">
      <c r="A1613" t="s">
        <v>2806</v>
      </c>
      <c r="B1613" s="1">
        <v>45238</v>
      </c>
      <c r="C1613" t="s">
        <v>1291</v>
      </c>
      <c r="D1613" t="s">
        <v>40</v>
      </c>
      <c r="E1613" t="s">
        <v>56</v>
      </c>
      <c r="F1613" t="s">
        <v>73</v>
      </c>
      <c r="G1613" t="s">
        <v>265</v>
      </c>
      <c r="H1613" s="8">
        <v>531.23</v>
      </c>
      <c r="I1613" s="8">
        <v>39.119999999999997</v>
      </c>
      <c r="J1613" s="8">
        <v>7.0000000000000007E-2</v>
      </c>
      <c r="K1613" t="str">
        <f>IF(SalesData[[#This Row],[Profit]]&gt;0,"Profit","Loss")</f>
        <v>Profit</v>
      </c>
      <c r="L1613" s="8">
        <f>SalesData[[#This Row],[Profit]]/SalesData[[#This Row],[Sales]]</f>
        <v>7.3640419404024618E-2</v>
      </c>
      <c r="M1613" t="str">
        <f>TEXT(SalesData[[#This Row],[Order_Date]],"mmm")</f>
        <v>Nov</v>
      </c>
      <c r="N1613">
        <f>YEAR(SalesData[[#This Row],[Order_Date]])</f>
        <v>2023</v>
      </c>
    </row>
    <row r="1614" spans="1:14" x14ac:dyDescent="0.3">
      <c r="A1614" t="s">
        <v>2807</v>
      </c>
      <c r="B1614" s="1">
        <v>45290</v>
      </c>
      <c r="C1614" t="s">
        <v>1953</v>
      </c>
      <c r="D1614" t="s">
        <v>40</v>
      </c>
      <c r="E1614" t="s">
        <v>56</v>
      </c>
      <c r="F1614" t="s">
        <v>57</v>
      </c>
      <c r="G1614" t="s">
        <v>2374</v>
      </c>
      <c r="H1614" s="8">
        <v>3883.29</v>
      </c>
      <c r="I1614" s="8">
        <v>976.8</v>
      </c>
      <c r="J1614" s="8">
        <v>0.02</v>
      </c>
      <c r="K1614" t="str">
        <f>IF(SalesData[[#This Row],[Profit]]&gt;0,"Profit","Loss")</f>
        <v>Profit</v>
      </c>
      <c r="L1614" s="8">
        <f>SalesData[[#This Row],[Profit]]/SalesData[[#This Row],[Sales]]</f>
        <v>0.25153928756286548</v>
      </c>
      <c r="M1614" t="str">
        <f>TEXT(SalesData[[#This Row],[Order_Date]],"mmm")</f>
        <v>Dec</v>
      </c>
      <c r="N1614">
        <f>YEAR(SalesData[[#This Row],[Order_Date]])</f>
        <v>2023</v>
      </c>
    </row>
    <row r="1615" spans="1:14" x14ac:dyDescent="0.3">
      <c r="A1615" t="s">
        <v>2808</v>
      </c>
      <c r="B1615" s="1">
        <v>44795</v>
      </c>
      <c r="C1615" t="s">
        <v>2358</v>
      </c>
      <c r="D1615" t="s">
        <v>40</v>
      </c>
      <c r="E1615" t="s">
        <v>19</v>
      </c>
      <c r="F1615" t="s">
        <v>29</v>
      </c>
      <c r="G1615" t="s">
        <v>345</v>
      </c>
      <c r="H1615" s="8">
        <v>3761.64</v>
      </c>
      <c r="I1615" s="8">
        <v>-252.93</v>
      </c>
      <c r="J1615" s="8">
        <v>0.06</v>
      </c>
      <c r="K1615" t="str">
        <f>IF(SalesData[[#This Row],[Profit]]&gt;0,"Profit","Loss")</f>
        <v>Loss</v>
      </c>
      <c r="L1615" s="8">
        <f>SalesData[[#This Row],[Profit]]/SalesData[[#This Row],[Sales]]</f>
        <v>-6.7239289246179862E-2</v>
      </c>
      <c r="M1615" t="str">
        <f>TEXT(SalesData[[#This Row],[Order_Date]],"mmm")</f>
        <v>Aug</v>
      </c>
      <c r="N1615">
        <f>YEAR(SalesData[[#This Row],[Order_Date]])</f>
        <v>2022</v>
      </c>
    </row>
    <row r="1616" spans="1:14" x14ac:dyDescent="0.3">
      <c r="A1616" t="s">
        <v>2809</v>
      </c>
      <c r="B1616" s="1">
        <v>44585</v>
      </c>
      <c r="C1616" t="s">
        <v>758</v>
      </c>
      <c r="D1616" t="s">
        <v>12</v>
      </c>
      <c r="E1616" t="s">
        <v>56</v>
      </c>
      <c r="F1616" t="s">
        <v>73</v>
      </c>
      <c r="G1616" t="s">
        <v>632</v>
      </c>
      <c r="H1616" s="8">
        <v>4860.05</v>
      </c>
      <c r="I1616" s="8">
        <v>399.35</v>
      </c>
      <c r="J1616" s="8">
        <v>0.08</v>
      </c>
      <c r="K1616" t="str">
        <f>IF(SalesData[[#This Row],[Profit]]&gt;0,"Profit","Loss")</f>
        <v>Profit</v>
      </c>
      <c r="L1616" s="8">
        <f>SalesData[[#This Row],[Profit]]/SalesData[[#This Row],[Sales]]</f>
        <v>8.2169936523286802E-2</v>
      </c>
      <c r="M1616" t="str">
        <f>TEXT(SalesData[[#This Row],[Order_Date]],"mmm")</f>
        <v>Jan</v>
      </c>
      <c r="N1616">
        <f>YEAR(SalesData[[#This Row],[Order_Date]])</f>
        <v>2022</v>
      </c>
    </row>
    <row r="1617" spans="1:14" x14ac:dyDescent="0.3">
      <c r="A1617" t="s">
        <v>2810</v>
      </c>
      <c r="B1617" s="1">
        <v>45103</v>
      </c>
      <c r="C1617" t="s">
        <v>290</v>
      </c>
      <c r="D1617" t="s">
        <v>40</v>
      </c>
      <c r="E1617" t="s">
        <v>19</v>
      </c>
      <c r="F1617" t="s">
        <v>29</v>
      </c>
      <c r="G1617" t="s">
        <v>431</v>
      </c>
      <c r="H1617" s="8">
        <v>2041.91</v>
      </c>
      <c r="I1617" s="8">
        <v>-655.82</v>
      </c>
      <c r="J1617" s="8">
        <v>0.15</v>
      </c>
      <c r="K1617" t="str">
        <f>IF(SalesData[[#This Row],[Profit]]&gt;0,"Profit","Loss")</f>
        <v>Loss</v>
      </c>
      <c r="L1617" s="8">
        <f>SalesData[[#This Row],[Profit]]/SalesData[[#This Row],[Sales]]</f>
        <v>-0.32117967980959006</v>
      </c>
      <c r="M1617" t="str">
        <f>TEXT(SalesData[[#This Row],[Order_Date]],"mmm")</f>
        <v>Jun</v>
      </c>
      <c r="N1617">
        <f>YEAR(SalesData[[#This Row],[Order_Date]])</f>
        <v>2023</v>
      </c>
    </row>
    <row r="1618" spans="1:14" x14ac:dyDescent="0.3">
      <c r="A1618" t="s">
        <v>2811</v>
      </c>
      <c r="B1618" s="1">
        <v>44896</v>
      </c>
      <c r="C1618" t="s">
        <v>221</v>
      </c>
      <c r="D1618" t="s">
        <v>28</v>
      </c>
      <c r="E1618" t="s">
        <v>13</v>
      </c>
      <c r="F1618" t="s">
        <v>36</v>
      </c>
      <c r="G1618" t="s">
        <v>1967</v>
      </c>
      <c r="H1618" s="8">
        <v>4978.71</v>
      </c>
      <c r="I1618" s="8">
        <v>168.52</v>
      </c>
      <c r="J1618" s="8">
        <v>0.28999999999999998</v>
      </c>
      <c r="K1618" t="str">
        <f>IF(SalesData[[#This Row],[Profit]]&gt;0,"Profit","Loss")</f>
        <v>Profit</v>
      </c>
      <c r="L1618" s="8">
        <f>SalesData[[#This Row],[Profit]]/SalesData[[#This Row],[Sales]]</f>
        <v>3.3848125317602354E-2</v>
      </c>
      <c r="M1618" t="str">
        <f>TEXT(SalesData[[#This Row],[Order_Date]],"mmm")</f>
        <v>Dec</v>
      </c>
      <c r="N1618">
        <f>YEAR(SalesData[[#This Row],[Order_Date]])</f>
        <v>2022</v>
      </c>
    </row>
    <row r="1619" spans="1:14" x14ac:dyDescent="0.3">
      <c r="A1619" t="s">
        <v>2812</v>
      </c>
      <c r="B1619" s="1">
        <v>45133</v>
      </c>
      <c r="C1619" t="s">
        <v>577</v>
      </c>
      <c r="D1619" t="s">
        <v>12</v>
      </c>
      <c r="E1619" t="s">
        <v>13</v>
      </c>
      <c r="F1619" t="s">
        <v>36</v>
      </c>
      <c r="G1619" t="s">
        <v>1470</v>
      </c>
      <c r="H1619" s="8">
        <v>3208.43</v>
      </c>
      <c r="I1619" s="8">
        <v>-259.29000000000002</v>
      </c>
      <c r="J1619" s="8">
        <v>0.22</v>
      </c>
      <c r="K1619" t="str">
        <f>IF(SalesData[[#This Row],[Profit]]&gt;0,"Profit","Loss")</f>
        <v>Loss</v>
      </c>
      <c r="L1619" s="8">
        <f>SalesData[[#This Row],[Profit]]/SalesData[[#This Row],[Sales]]</f>
        <v>-8.0815227385356708E-2</v>
      </c>
      <c r="M1619" t="str">
        <f>TEXT(SalesData[[#This Row],[Order_Date]],"mmm")</f>
        <v>Jul</v>
      </c>
      <c r="N1619">
        <f>YEAR(SalesData[[#This Row],[Order_Date]])</f>
        <v>2023</v>
      </c>
    </row>
    <row r="1620" spans="1:14" x14ac:dyDescent="0.3">
      <c r="A1620" t="s">
        <v>2813</v>
      </c>
      <c r="B1620" s="1">
        <v>45186</v>
      </c>
      <c r="C1620" t="s">
        <v>85</v>
      </c>
      <c r="D1620" t="s">
        <v>18</v>
      </c>
      <c r="E1620" t="s">
        <v>56</v>
      </c>
      <c r="F1620" t="s">
        <v>73</v>
      </c>
      <c r="G1620" t="s">
        <v>2164</v>
      </c>
      <c r="H1620" s="8">
        <v>4246.87</v>
      </c>
      <c r="I1620" s="8">
        <v>1373.85</v>
      </c>
      <c r="J1620" s="8">
        <v>0.03</v>
      </c>
      <c r="K1620" t="str">
        <f>IF(SalesData[[#This Row],[Profit]]&gt;0,"Profit","Loss")</f>
        <v>Profit</v>
      </c>
      <c r="L1620" s="8">
        <f>SalesData[[#This Row],[Profit]]/SalesData[[#This Row],[Sales]]</f>
        <v>0.32349706960655727</v>
      </c>
      <c r="M1620" t="str">
        <f>TEXT(SalesData[[#This Row],[Order_Date]],"mmm")</f>
        <v>Sep</v>
      </c>
      <c r="N1620">
        <f>YEAR(SalesData[[#This Row],[Order_Date]])</f>
        <v>2023</v>
      </c>
    </row>
    <row r="1621" spans="1:14" x14ac:dyDescent="0.3">
      <c r="A1621" t="s">
        <v>2814</v>
      </c>
      <c r="B1621" s="1">
        <v>44717</v>
      </c>
      <c r="C1621" t="s">
        <v>2074</v>
      </c>
      <c r="D1621" t="s">
        <v>40</v>
      </c>
      <c r="E1621" t="s">
        <v>56</v>
      </c>
      <c r="F1621" t="s">
        <v>73</v>
      </c>
      <c r="G1621" t="s">
        <v>2559</v>
      </c>
      <c r="H1621" s="8">
        <v>2211.64</v>
      </c>
      <c r="I1621" s="8">
        <v>-20.41</v>
      </c>
      <c r="J1621" s="8">
        <v>0.08</v>
      </c>
      <c r="K1621" t="str">
        <f>IF(SalesData[[#This Row],[Profit]]&gt;0,"Profit","Loss")</f>
        <v>Loss</v>
      </c>
      <c r="L1621" s="8">
        <f>SalesData[[#This Row],[Profit]]/SalesData[[#This Row],[Sales]]</f>
        <v>-9.2284458591814222E-3</v>
      </c>
      <c r="M1621" t="str">
        <f>TEXT(SalesData[[#This Row],[Order_Date]],"mmm")</f>
        <v>Jun</v>
      </c>
      <c r="N1621">
        <f>YEAR(SalesData[[#This Row],[Order_Date]])</f>
        <v>2022</v>
      </c>
    </row>
    <row r="1622" spans="1:14" x14ac:dyDescent="0.3">
      <c r="A1622" t="s">
        <v>2815</v>
      </c>
      <c r="B1622" s="1">
        <v>45004</v>
      </c>
      <c r="C1622" t="s">
        <v>1750</v>
      </c>
      <c r="D1622" t="s">
        <v>28</v>
      </c>
      <c r="E1622" t="s">
        <v>56</v>
      </c>
      <c r="F1622" t="s">
        <v>73</v>
      </c>
      <c r="G1622" t="s">
        <v>895</v>
      </c>
      <c r="H1622" s="8">
        <v>2918.6</v>
      </c>
      <c r="I1622" s="8">
        <v>375.53</v>
      </c>
      <c r="J1622" s="8">
        <v>0.14000000000000001</v>
      </c>
      <c r="K1622" t="str">
        <f>IF(SalesData[[#This Row],[Profit]]&gt;0,"Profit","Loss")</f>
        <v>Profit</v>
      </c>
      <c r="L1622" s="8">
        <f>SalesData[[#This Row],[Profit]]/SalesData[[#This Row],[Sales]]</f>
        <v>0.12866785445076406</v>
      </c>
      <c r="M1622" t="str">
        <f>TEXT(SalesData[[#This Row],[Order_Date]],"mmm")</f>
        <v>Mar</v>
      </c>
      <c r="N1622">
        <f>YEAR(SalesData[[#This Row],[Order_Date]])</f>
        <v>2023</v>
      </c>
    </row>
    <row r="1623" spans="1:14" x14ac:dyDescent="0.3">
      <c r="A1623" t="s">
        <v>2816</v>
      </c>
      <c r="B1623" s="1">
        <v>44892</v>
      </c>
      <c r="C1623" t="s">
        <v>1537</v>
      </c>
      <c r="D1623" t="s">
        <v>18</v>
      </c>
      <c r="E1623" t="s">
        <v>19</v>
      </c>
      <c r="F1623" t="s">
        <v>20</v>
      </c>
      <c r="G1623" t="s">
        <v>2265</v>
      </c>
      <c r="H1623" s="8">
        <v>3156.08</v>
      </c>
      <c r="I1623" s="8">
        <v>-993.78</v>
      </c>
      <c r="J1623" s="8">
        <v>0.12</v>
      </c>
      <c r="K1623" t="str">
        <f>IF(SalesData[[#This Row],[Profit]]&gt;0,"Profit","Loss")</f>
        <v>Loss</v>
      </c>
      <c r="L1623" s="8">
        <f>SalesData[[#This Row],[Profit]]/SalesData[[#This Row],[Sales]]</f>
        <v>-0.31487794986185397</v>
      </c>
      <c r="M1623" t="str">
        <f>TEXT(SalesData[[#This Row],[Order_Date]],"mmm")</f>
        <v>Nov</v>
      </c>
      <c r="N1623">
        <f>YEAR(SalesData[[#This Row],[Order_Date]])</f>
        <v>2022</v>
      </c>
    </row>
    <row r="1624" spans="1:14" x14ac:dyDescent="0.3">
      <c r="A1624" t="s">
        <v>2817</v>
      </c>
      <c r="B1624" s="1">
        <v>45243</v>
      </c>
      <c r="C1624" t="s">
        <v>2818</v>
      </c>
      <c r="D1624" t="s">
        <v>40</v>
      </c>
      <c r="E1624" t="s">
        <v>56</v>
      </c>
      <c r="F1624" t="s">
        <v>73</v>
      </c>
      <c r="G1624" t="s">
        <v>199</v>
      </c>
      <c r="H1624" s="8">
        <v>3405.24</v>
      </c>
      <c r="I1624" s="8">
        <v>-86.32</v>
      </c>
      <c r="J1624" s="8">
        <v>0.1</v>
      </c>
      <c r="K1624" t="str">
        <f>IF(SalesData[[#This Row],[Profit]]&gt;0,"Profit","Loss")</f>
        <v>Loss</v>
      </c>
      <c r="L1624" s="8">
        <f>SalesData[[#This Row],[Profit]]/SalesData[[#This Row],[Sales]]</f>
        <v>-2.5349167753227379E-2</v>
      </c>
      <c r="M1624" t="str">
        <f>TEXT(SalesData[[#This Row],[Order_Date]],"mmm")</f>
        <v>Nov</v>
      </c>
      <c r="N1624">
        <f>YEAR(SalesData[[#This Row],[Order_Date]])</f>
        <v>2023</v>
      </c>
    </row>
    <row r="1625" spans="1:14" x14ac:dyDescent="0.3">
      <c r="A1625" t="s">
        <v>2819</v>
      </c>
      <c r="B1625" s="1">
        <v>44747</v>
      </c>
      <c r="C1625" t="s">
        <v>2283</v>
      </c>
      <c r="D1625" t="s">
        <v>12</v>
      </c>
      <c r="E1625" t="s">
        <v>13</v>
      </c>
      <c r="F1625" t="s">
        <v>24</v>
      </c>
      <c r="G1625" t="s">
        <v>1035</v>
      </c>
      <c r="H1625" s="8">
        <v>847.76</v>
      </c>
      <c r="I1625" s="8">
        <v>-259.68</v>
      </c>
      <c r="J1625" s="8">
        <v>0.23</v>
      </c>
      <c r="K1625" t="str">
        <f>IF(SalesData[[#This Row],[Profit]]&gt;0,"Profit","Loss")</f>
        <v>Loss</v>
      </c>
      <c r="L1625" s="8">
        <f>SalesData[[#This Row],[Profit]]/SalesData[[#This Row],[Sales]]</f>
        <v>-0.30631310748324997</v>
      </c>
      <c r="M1625" t="str">
        <f>TEXT(SalesData[[#This Row],[Order_Date]],"mmm")</f>
        <v>Jul</v>
      </c>
      <c r="N1625">
        <f>YEAR(SalesData[[#This Row],[Order_Date]])</f>
        <v>2022</v>
      </c>
    </row>
    <row r="1626" spans="1:14" x14ac:dyDescent="0.3">
      <c r="A1626" t="s">
        <v>2820</v>
      </c>
      <c r="B1626" s="1">
        <v>44897</v>
      </c>
      <c r="C1626" t="s">
        <v>953</v>
      </c>
      <c r="D1626" t="s">
        <v>18</v>
      </c>
      <c r="E1626" t="s">
        <v>13</v>
      </c>
      <c r="F1626" t="s">
        <v>14</v>
      </c>
      <c r="G1626" t="s">
        <v>867</v>
      </c>
      <c r="H1626" s="8">
        <v>3919.37</v>
      </c>
      <c r="I1626" s="8">
        <v>834.03</v>
      </c>
      <c r="J1626" s="8">
        <v>0.16</v>
      </c>
      <c r="K1626" t="str">
        <f>IF(SalesData[[#This Row],[Profit]]&gt;0,"Profit","Loss")</f>
        <v>Profit</v>
      </c>
      <c r="L1626" s="8">
        <f>SalesData[[#This Row],[Profit]]/SalesData[[#This Row],[Sales]]</f>
        <v>0.21279695461260356</v>
      </c>
      <c r="M1626" t="str">
        <f>TEXT(SalesData[[#This Row],[Order_Date]],"mmm")</f>
        <v>Dec</v>
      </c>
      <c r="N1626">
        <f>YEAR(SalesData[[#This Row],[Order_Date]])</f>
        <v>2022</v>
      </c>
    </row>
    <row r="1627" spans="1:14" x14ac:dyDescent="0.3">
      <c r="A1627" t="s">
        <v>2821</v>
      </c>
      <c r="B1627" s="1">
        <v>44784</v>
      </c>
      <c r="C1627" t="s">
        <v>2822</v>
      </c>
      <c r="D1627" t="s">
        <v>40</v>
      </c>
      <c r="E1627" t="s">
        <v>56</v>
      </c>
      <c r="F1627" t="s">
        <v>57</v>
      </c>
      <c r="G1627" t="s">
        <v>1529</v>
      </c>
      <c r="H1627" s="8">
        <v>1584.35</v>
      </c>
      <c r="I1627" s="8">
        <v>-265.14999999999998</v>
      </c>
      <c r="J1627" s="8">
        <v>0.13</v>
      </c>
      <c r="K1627" t="str">
        <f>IF(SalesData[[#This Row],[Profit]]&gt;0,"Profit","Loss")</f>
        <v>Loss</v>
      </c>
      <c r="L1627" s="8">
        <f>SalesData[[#This Row],[Profit]]/SalesData[[#This Row],[Sales]]</f>
        <v>-0.16735569792028276</v>
      </c>
      <c r="M1627" t="str">
        <f>TEXT(SalesData[[#This Row],[Order_Date]],"mmm")</f>
        <v>Aug</v>
      </c>
      <c r="N1627">
        <f>YEAR(SalesData[[#This Row],[Order_Date]])</f>
        <v>2022</v>
      </c>
    </row>
    <row r="1628" spans="1:14" x14ac:dyDescent="0.3">
      <c r="A1628" t="s">
        <v>2823</v>
      </c>
      <c r="B1628" s="1">
        <v>44775</v>
      </c>
      <c r="C1628" t="s">
        <v>39</v>
      </c>
      <c r="D1628" t="s">
        <v>12</v>
      </c>
      <c r="E1628" t="s">
        <v>56</v>
      </c>
      <c r="F1628" t="s">
        <v>95</v>
      </c>
      <c r="G1628" t="s">
        <v>872</v>
      </c>
      <c r="H1628" s="8">
        <v>703.24</v>
      </c>
      <c r="I1628" s="8">
        <v>-326.83</v>
      </c>
      <c r="J1628" s="8">
        <v>0.28000000000000003</v>
      </c>
      <c r="K1628" t="str">
        <f>IF(SalesData[[#This Row],[Profit]]&gt;0,"Profit","Loss")</f>
        <v>Loss</v>
      </c>
      <c r="L1628" s="8">
        <f>SalesData[[#This Row],[Profit]]/SalesData[[#This Row],[Sales]]</f>
        <v>-0.4647488766281781</v>
      </c>
      <c r="M1628" t="str">
        <f>TEXT(SalesData[[#This Row],[Order_Date]],"mmm")</f>
        <v>Aug</v>
      </c>
      <c r="N1628">
        <f>YEAR(SalesData[[#This Row],[Order_Date]])</f>
        <v>2022</v>
      </c>
    </row>
    <row r="1629" spans="1:14" x14ac:dyDescent="0.3">
      <c r="A1629" t="s">
        <v>2824</v>
      </c>
      <c r="B1629" s="1">
        <v>44689</v>
      </c>
      <c r="C1629" t="s">
        <v>2378</v>
      </c>
      <c r="D1629" t="s">
        <v>18</v>
      </c>
      <c r="E1629" t="s">
        <v>19</v>
      </c>
      <c r="F1629" t="s">
        <v>29</v>
      </c>
      <c r="G1629" t="s">
        <v>70</v>
      </c>
      <c r="H1629" s="8">
        <v>1073.32</v>
      </c>
      <c r="I1629" s="8">
        <v>-81.430000000000007</v>
      </c>
      <c r="J1629" s="8">
        <v>0.23</v>
      </c>
      <c r="K1629" t="str">
        <f>IF(SalesData[[#This Row],[Profit]]&gt;0,"Profit","Loss")</f>
        <v>Loss</v>
      </c>
      <c r="L1629" s="8">
        <f>SalesData[[#This Row],[Profit]]/SalesData[[#This Row],[Sales]]</f>
        <v>-7.5867402079528953E-2</v>
      </c>
      <c r="M1629" t="str">
        <f>TEXT(SalesData[[#This Row],[Order_Date]],"mmm")</f>
        <v>May</v>
      </c>
      <c r="N1629">
        <f>YEAR(SalesData[[#This Row],[Order_Date]])</f>
        <v>2022</v>
      </c>
    </row>
    <row r="1630" spans="1:14" x14ac:dyDescent="0.3">
      <c r="A1630" t="s">
        <v>2825</v>
      </c>
      <c r="B1630" s="1">
        <v>45062</v>
      </c>
      <c r="C1630" t="s">
        <v>691</v>
      </c>
      <c r="D1630" t="s">
        <v>40</v>
      </c>
      <c r="E1630" t="s">
        <v>13</v>
      </c>
      <c r="F1630" t="s">
        <v>24</v>
      </c>
      <c r="G1630" t="s">
        <v>974</v>
      </c>
      <c r="H1630" s="8">
        <v>2630.83</v>
      </c>
      <c r="I1630" s="8">
        <v>-326.79000000000002</v>
      </c>
      <c r="J1630" s="8">
        <v>0.05</v>
      </c>
      <c r="K1630" t="str">
        <f>IF(SalesData[[#This Row],[Profit]]&gt;0,"Profit","Loss")</f>
        <v>Loss</v>
      </c>
      <c r="L1630" s="8">
        <f>SalesData[[#This Row],[Profit]]/SalesData[[#This Row],[Sales]]</f>
        <v>-0.12421555174602693</v>
      </c>
      <c r="M1630" t="str">
        <f>TEXT(SalesData[[#This Row],[Order_Date]],"mmm")</f>
        <v>May</v>
      </c>
      <c r="N1630">
        <f>YEAR(SalesData[[#This Row],[Order_Date]])</f>
        <v>2023</v>
      </c>
    </row>
    <row r="1631" spans="1:14" x14ac:dyDescent="0.3">
      <c r="A1631" t="s">
        <v>2826</v>
      </c>
      <c r="B1631" s="1">
        <v>44930</v>
      </c>
      <c r="C1631" t="s">
        <v>281</v>
      </c>
      <c r="D1631" t="s">
        <v>40</v>
      </c>
      <c r="E1631" t="s">
        <v>19</v>
      </c>
      <c r="F1631" t="s">
        <v>29</v>
      </c>
      <c r="G1631" t="s">
        <v>1615</v>
      </c>
      <c r="H1631" s="8">
        <v>1035.81</v>
      </c>
      <c r="I1631" s="8">
        <v>-20.85</v>
      </c>
      <c r="J1631" s="8">
        <v>0.3</v>
      </c>
      <c r="K1631" t="str">
        <f>IF(SalesData[[#This Row],[Profit]]&gt;0,"Profit","Loss")</f>
        <v>Loss</v>
      </c>
      <c r="L1631" s="8">
        <f>SalesData[[#This Row],[Profit]]/SalesData[[#This Row],[Sales]]</f>
        <v>-2.0129174269412346E-2</v>
      </c>
      <c r="M1631" t="str">
        <f>TEXT(SalesData[[#This Row],[Order_Date]],"mmm")</f>
        <v>Jan</v>
      </c>
      <c r="N1631">
        <f>YEAR(SalesData[[#This Row],[Order_Date]])</f>
        <v>2023</v>
      </c>
    </row>
    <row r="1632" spans="1:14" x14ac:dyDescent="0.3">
      <c r="A1632" t="s">
        <v>2827</v>
      </c>
      <c r="B1632" s="1">
        <v>44664</v>
      </c>
      <c r="C1632" t="s">
        <v>1037</v>
      </c>
      <c r="D1632" t="s">
        <v>40</v>
      </c>
      <c r="E1632" t="s">
        <v>56</v>
      </c>
      <c r="F1632" t="s">
        <v>95</v>
      </c>
      <c r="G1632" t="s">
        <v>1140</v>
      </c>
      <c r="H1632" s="8">
        <v>179.11</v>
      </c>
      <c r="I1632" s="8">
        <v>-10.39</v>
      </c>
      <c r="J1632" s="8">
        <v>0.11</v>
      </c>
      <c r="K1632" t="str">
        <f>IF(SalesData[[#This Row],[Profit]]&gt;0,"Profit","Loss")</f>
        <v>Loss</v>
      </c>
      <c r="L1632" s="8">
        <f>SalesData[[#This Row],[Profit]]/SalesData[[#This Row],[Sales]]</f>
        <v>-5.8009044721121096E-2</v>
      </c>
      <c r="M1632" t="str">
        <f>TEXT(SalesData[[#This Row],[Order_Date]],"mmm")</f>
        <v>Apr</v>
      </c>
      <c r="N1632">
        <f>YEAR(SalesData[[#This Row],[Order_Date]])</f>
        <v>2022</v>
      </c>
    </row>
    <row r="1633" spans="1:14" x14ac:dyDescent="0.3">
      <c r="A1633" t="s">
        <v>2828</v>
      </c>
      <c r="B1633" s="1">
        <v>45280</v>
      </c>
      <c r="C1633" t="s">
        <v>1985</v>
      </c>
      <c r="D1633" t="s">
        <v>28</v>
      </c>
      <c r="E1633" t="s">
        <v>19</v>
      </c>
      <c r="F1633" t="s">
        <v>20</v>
      </c>
      <c r="G1633" t="s">
        <v>761</v>
      </c>
      <c r="H1633" s="8">
        <v>2227.33</v>
      </c>
      <c r="I1633" s="8">
        <v>-600.45000000000005</v>
      </c>
      <c r="J1633" s="8">
        <v>0.25</v>
      </c>
      <c r="K1633" t="str">
        <f>IF(SalesData[[#This Row],[Profit]]&gt;0,"Profit","Loss")</f>
        <v>Loss</v>
      </c>
      <c r="L1633" s="8">
        <f>SalesData[[#This Row],[Profit]]/SalesData[[#This Row],[Sales]]</f>
        <v>-0.26958286378758428</v>
      </c>
      <c r="M1633" t="str">
        <f>TEXT(SalesData[[#This Row],[Order_Date]],"mmm")</f>
        <v>Dec</v>
      </c>
      <c r="N1633">
        <f>YEAR(SalesData[[#This Row],[Order_Date]])</f>
        <v>2023</v>
      </c>
    </row>
    <row r="1634" spans="1:14" x14ac:dyDescent="0.3">
      <c r="A1634" t="s">
        <v>2829</v>
      </c>
      <c r="B1634" s="1">
        <v>44893</v>
      </c>
      <c r="C1634" t="s">
        <v>739</v>
      </c>
      <c r="D1634" t="s">
        <v>18</v>
      </c>
      <c r="E1634" t="s">
        <v>19</v>
      </c>
      <c r="F1634" t="s">
        <v>20</v>
      </c>
      <c r="G1634" t="s">
        <v>649</v>
      </c>
      <c r="H1634" s="8">
        <v>4761.41</v>
      </c>
      <c r="I1634" s="8">
        <v>516.21</v>
      </c>
      <c r="J1634" s="8">
        <v>0.08</v>
      </c>
      <c r="K1634" t="str">
        <f>IF(SalesData[[#This Row],[Profit]]&gt;0,"Profit","Loss")</f>
        <v>Profit</v>
      </c>
      <c r="L1634" s="8">
        <f>SalesData[[#This Row],[Profit]]/SalesData[[#This Row],[Sales]]</f>
        <v>0.10841536435635664</v>
      </c>
      <c r="M1634" t="str">
        <f>TEXT(SalesData[[#This Row],[Order_Date]],"mmm")</f>
        <v>Nov</v>
      </c>
      <c r="N1634">
        <f>YEAR(SalesData[[#This Row],[Order_Date]])</f>
        <v>2022</v>
      </c>
    </row>
    <row r="1635" spans="1:14" x14ac:dyDescent="0.3">
      <c r="A1635" t="s">
        <v>2830</v>
      </c>
      <c r="B1635" s="1">
        <v>45273</v>
      </c>
      <c r="C1635" t="s">
        <v>316</v>
      </c>
      <c r="D1635" t="s">
        <v>12</v>
      </c>
      <c r="E1635" t="s">
        <v>56</v>
      </c>
      <c r="F1635" t="s">
        <v>57</v>
      </c>
      <c r="G1635" t="s">
        <v>720</v>
      </c>
      <c r="H1635" s="8">
        <v>2866.44</v>
      </c>
      <c r="I1635" s="8">
        <v>-420.06</v>
      </c>
      <c r="J1635" s="8">
        <v>0.04</v>
      </c>
      <c r="K1635" t="str">
        <f>IF(SalesData[[#This Row],[Profit]]&gt;0,"Profit","Loss")</f>
        <v>Loss</v>
      </c>
      <c r="L1635" s="8">
        <f>SalesData[[#This Row],[Profit]]/SalesData[[#This Row],[Sales]]</f>
        <v>-0.14654414535102775</v>
      </c>
      <c r="M1635" t="str">
        <f>TEXT(SalesData[[#This Row],[Order_Date]],"mmm")</f>
        <v>Dec</v>
      </c>
      <c r="N1635">
        <f>YEAR(SalesData[[#This Row],[Order_Date]])</f>
        <v>2023</v>
      </c>
    </row>
    <row r="1636" spans="1:14" x14ac:dyDescent="0.3">
      <c r="A1636" t="s">
        <v>2831</v>
      </c>
      <c r="B1636" s="1">
        <v>44986</v>
      </c>
      <c r="C1636" t="s">
        <v>376</v>
      </c>
      <c r="D1636" t="s">
        <v>28</v>
      </c>
      <c r="E1636" t="s">
        <v>13</v>
      </c>
      <c r="F1636" t="s">
        <v>14</v>
      </c>
      <c r="G1636" t="s">
        <v>1113</v>
      </c>
      <c r="H1636" s="8">
        <v>4345.09</v>
      </c>
      <c r="I1636" s="8">
        <v>-768.98</v>
      </c>
      <c r="J1636" s="8">
        <v>0.2</v>
      </c>
      <c r="K1636" t="str">
        <f>IF(SalesData[[#This Row],[Profit]]&gt;0,"Profit","Loss")</f>
        <v>Loss</v>
      </c>
      <c r="L1636" s="8">
        <f>SalesData[[#This Row],[Profit]]/SalesData[[#This Row],[Sales]]</f>
        <v>-0.17697677148229379</v>
      </c>
      <c r="M1636" t="str">
        <f>TEXT(SalesData[[#This Row],[Order_Date]],"mmm")</f>
        <v>Mar</v>
      </c>
      <c r="N1636">
        <f>YEAR(SalesData[[#This Row],[Order_Date]])</f>
        <v>2023</v>
      </c>
    </row>
    <row r="1637" spans="1:14" x14ac:dyDescent="0.3">
      <c r="A1637" t="s">
        <v>2832</v>
      </c>
      <c r="B1637" s="1">
        <v>44747</v>
      </c>
      <c r="C1637" t="s">
        <v>391</v>
      </c>
      <c r="D1637" t="s">
        <v>12</v>
      </c>
      <c r="E1637" t="s">
        <v>56</v>
      </c>
      <c r="F1637" t="s">
        <v>73</v>
      </c>
      <c r="G1637" t="s">
        <v>766</v>
      </c>
      <c r="H1637" s="8">
        <v>4829.97</v>
      </c>
      <c r="I1637" s="8">
        <v>319.7</v>
      </c>
      <c r="J1637" s="8">
        <v>0.22</v>
      </c>
      <c r="K1637" t="str">
        <f>IF(SalesData[[#This Row],[Profit]]&gt;0,"Profit","Loss")</f>
        <v>Profit</v>
      </c>
      <c r="L1637" s="8">
        <f>SalesData[[#This Row],[Profit]]/SalesData[[#This Row],[Sales]]</f>
        <v>6.6190887313999872E-2</v>
      </c>
      <c r="M1637" t="str">
        <f>TEXT(SalesData[[#This Row],[Order_Date]],"mmm")</f>
        <v>Jul</v>
      </c>
      <c r="N1637">
        <f>YEAR(SalesData[[#This Row],[Order_Date]])</f>
        <v>2022</v>
      </c>
    </row>
    <row r="1638" spans="1:14" x14ac:dyDescent="0.3">
      <c r="A1638" t="s">
        <v>2833</v>
      </c>
      <c r="B1638" s="1">
        <v>44833</v>
      </c>
      <c r="C1638" t="s">
        <v>1966</v>
      </c>
      <c r="D1638" t="s">
        <v>40</v>
      </c>
      <c r="E1638" t="s">
        <v>56</v>
      </c>
      <c r="F1638" t="s">
        <v>57</v>
      </c>
      <c r="G1638" t="s">
        <v>1806</v>
      </c>
      <c r="H1638" s="8">
        <v>2538.02</v>
      </c>
      <c r="I1638" s="8">
        <v>216.21</v>
      </c>
      <c r="J1638" s="8">
        <v>0.09</v>
      </c>
      <c r="K1638" t="str">
        <f>IF(SalesData[[#This Row],[Profit]]&gt;0,"Profit","Loss")</f>
        <v>Profit</v>
      </c>
      <c r="L1638" s="8">
        <f>SalesData[[#This Row],[Profit]]/SalesData[[#This Row],[Sales]]</f>
        <v>8.5188453991694321E-2</v>
      </c>
      <c r="M1638" t="str">
        <f>TEXT(SalesData[[#This Row],[Order_Date]],"mmm")</f>
        <v>Sep</v>
      </c>
      <c r="N1638">
        <f>YEAR(SalesData[[#This Row],[Order_Date]])</f>
        <v>2022</v>
      </c>
    </row>
    <row r="1639" spans="1:14" x14ac:dyDescent="0.3">
      <c r="A1639" t="s">
        <v>2834</v>
      </c>
      <c r="B1639" s="1">
        <v>44709</v>
      </c>
      <c r="C1639" t="s">
        <v>2301</v>
      </c>
      <c r="D1639" t="s">
        <v>12</v>
      </c>
      <c r="E1639" t="s">
        <v>56</v>
      </c>
      <c r="F1639" t="s">
        <v>95</v>
      </c>
      <c r="G1639" t="s">
        <v>74</v>
      </c>
      <c r="H1639" s="8">
        <v>239.63</v>
      </c>
      <c r="I1639" s="8">
        <v>24.2</v>
      </c>
      <c r="J1639" s="8">
        <v>0.14000000000000001</v>
      </c>
      <c r="K1639" t="str">
        <f>IF(SalesData[[#This Row],[Profit]]&gt;0,"Profit","Loss")</f>
        <v>Profit</v>
      </c>
      <c r="L1639" s="8">
        <f>SalesData[[#This Row],[Profit]]/SalesData[[#This Row],[Sales]]</f>
        <v>0.10098902474648416</v>
      </c>
      <c r="M1639" t="str">
        <f>TEXT(SalesData[[#This Row],[Order_Date]],"mmm")</f>
        <v>May</v>
      </c>
      <c r="N1639">
        <f>YEAR(SalesData[[#This Row],[Order_Date]])</f>
        <v>2022</v>
      </c>
    </row>
    <row r="1640" spans="1:14" x14ac:dyDescent="0.3">
      <c r="A1640" t="s">
        <v>2835</v>
      </c>
      <c r="B1640" s="1">
        <v>44919</v>
      </c>
      <c r="C1640" t="s">
        <v>2836</v>
      </c>
      <c r="D1640" t="s">
        <v>12</v>
      </c>
      <c r="E1640" t="s">
        <v>19</v>
      </c>
      <c r="F1640" t="s">
        <v>141</v>
      </c>
      <c r="G1640" t="s">
        <v>1904</v>
      </c>
      <c r="H1640" s="8">
        <v>3640.36</v>
      </c>
      <c r="I1640" s="8">
        <v>-691.42</v>
      </c>
      <c r="J1640" s="8">
        <v>0.05</v>
      </c>
      <c r="K1640" t="str">
        <f>IF(SalesData[[#This Row],[Profit]]&gt;0,"Profit","Loss")</f>
        <v>Loss</v>
      </c>
      <c r="L1640" s="8">
        <f>SalesData[[#This Row],[Profit]]/SalesData[[#This Row],[Sales]]</f>
        <v>-0.18993176499027567</v>
      </c>
      <c r="M1640" t="str">
        <f>TEXT(SalesData[[#This Row],[Order_Date]],"mmm")</f>
        <v>Dec</v>
      </c>
      <c r="N1640">
        <f>YEAR(SalesData[[#This Row],[Order_Date]])</f>
        <v>2022</v>
      </c>
    </row>
    <row r="1641" spans="1:14" x14ac:dyDescent="0.3">
      <c r="A1641" t="s">
        <v>2837</v>
      </c>
      <c r="B1641" s="1">
        <v>45111</v>
      </c>
      <c r="C1641" t="s">
        <v>948</v>
      </c>
      <c r="D1641" t="s">
        <v>18</v>
      </c>
      <c r="E1641" t="s">
        <v>56</v>
      </c>
      <c r="F1641" t="s">
        <v>57</v>
      </c>
      <c r="G1641" t="s">
        <v>1121</v>
      </c>
      <c r="H1641" s="8">
        <v>4846.78</v>
      </c>
      <c r="I1641" s="8">
        <v>-440.83</v>
      </c>
      <c r="J1641" s="8">
        <v>0.14000000000000001</v>
      </c>
      <c r="K1641" t="str">
        <f>IF(SalesData[[#This Row],[Profit]]&gt;0,"Profit","Loss")</f>
        <v>Loss</v>
      </c>
      <c r="L1641" s="8">
        <f>SalesData[[#This Row],[Profit]]/SalesData[[#This Row],[Sales]]</f>
        <v>-9.0953168908017287E-2</v>
      </c>
      <c r="M1641" t="str">
        <f>TEXT(SalesData[[#This Row],[Order_Date]],"mmm")</f>
        <v>Jul</v>
      </c>
      <c r="N1641">
        <f>YEAR(SalesData[[#This Row],[Order_Date]])</f>
        <v>2023</v>
      </c>
    </row>
    <row r="1642" spans="1:14" x14ac:dyDescent="0.3">
      <c r="A1642" t="s">
        <v>2838</v>
      </c>
      <c r="B1642" s="1">
        <v>44825</v>
      </c>
      <c r="C1642" t="s">
        <v>2055</v>
      </c>
      <c r="D1642" t="s">
        <v>40</v>
      </c>
      <c r="E1642" t="s">
        <v>13</v>
      </c>
      <c r="F1642" t="s">
        <v>24</v>
      </c>
      <c r="G1642" t="s">
        <v>867</v>
      </c>
      <c r="H1642" s="8">
        <v>103.54</v>
      </c>
      <c r="I1642" s="8">
        <v>20.68</v>
      </c>
      <c r="J1642" s="8">
        <v>0.14000000000000001</v>
      </c>
      <c r="K1642" t="str">
        <f>IF(SalesData[[#This Row],[Profit]]&gt;0,"Profit","Loss")</f>
        <v>Profit</v>
      </c>
      <c r="L1642" s="8">
        <f>SalesData[[#This Row],[Profit]]/SalesData[[#This Row],[Sales]]</f>
        <v>0.19972957311184081</v>
      </c>
      <c r="M1642" t="str">
        <f>TEXT(SalesData[[#This Row],[Order_Date]],"mmm")</f>
        <v>Sep</v>
      </c>
      <c r="N1642">
        <f>YEAR(SalesData[[#This Row],[Order_Date]])</f>
        <v>2022</v>
      </c>
    </row>
    <row r="1643" spans="1:14" x14ac:dyDescent="0.3">
      <c r="A1643" t="s">
        <v>2839</v>
      </c>
      <c r="B1643" s="1">
        <v>45066</v>
      </c>
      <c r="C1643" t="s">
        <v>2840</v>
      </c>
      <c r="D1643" t="s">
        <v>18</v>
      </c>
      <c r="E1643" t="s">
        <v>13</v>
      </c>
      <c r="F1643" t="s">
        <v>36</v>
      </c>
      <c r="G1643" t="s">
        <v>1400</v>
      </c>
      <c r="H1643" s="8">
        <v>4788.84</v>
      </c>
      <c r="I1643" s="8">
        <v>-1638.55</v>
      </c>
      <c r="J1643" s="8">
        <v>0.2</v>
      </c>
      <c r="K1643" t="str">
        <f>IF(SalesData[[#This Row],[Profit]]&gt;0,"Profit","Loss")</f>
        <v>Loss</v>
      </c>
      <c r="L1643" s="8">
        <f>SalesData[[#This Row],[Profit]]/SalesData[[#This Row],[Sales]]</f>
        <v>-0.34216010557880405</v>
      </c>
      <c r="M1643" t="str">
        <f>TEXT(SalesData[[#This Row],[Order_Date]],"mmm")</f>
        <v>May</v>
      </c>
      <c r="N1643">
        <f>YEAR(SalesData[[#This Row],[Order_Date]])</f>
        <v>2023</v>
      </c>
    </row>
    <row r="1644" spans="1:14" x14ac:dyDescent="0.3">
      <c r="A1644" t="s">
        <v>2841</v>
      </c>
      <c r="B1644" s="1">
        <v>44646</v>
      </c>
      <c r="C1644" t="s">
        <v>580</v>
      </c>
      <c r="D1644" t="s">
        <v>12</v>
      </c>
      <c r="E1644" t="s">
        <v>56</v>
      </c>
      <c r="F1644" t="s">
        <v>73</v>
      </c>
      <c r="G1644" t="s">
        <v>694</v>
      </c>
      <c r="H1644" s="8">
        <v>736.06</v>
      </c>
      <c r="I1644" s="8">
        <v>-253.7</v>
      </c>
      <c r="J1644" s="8">
        <v>0.28000000000000003</v>
      </c>
      <c r="K1644" t="str">
        <f>IF(SalesData[[#This Row],[Profit]]&gt;0,"Profit","Loss")</f>
        <v>Loss</v>
      </c>
      <c r="L1644" s="8">
        <f>SalesData[[#This Row],[Profit]]/SalesData[[#This Row],[Sales]]</f>
        <v>-0.34467298861505857</v>
      </c>
      <c r="M1644" t="str">
        <f>TEXT(SalesData[[#This Row],[Order_Date]],"mmm")</f>
        <v>Mar</v>
      </c>
      <c r="N1644">
        <f>YEAR(SalesData[[#This Row],[Order_Date]])</f>
        <v>2022</v>
      </c>
    </row>
    <row r="1645" spans="1:14" x14ac:dyDescent="0.3">
      <c r="A1645" t="s">
        <v>2842</v>
      </c>
      <c r="B1645" s="1">
        <v>44751</v>
      </c>
      <c r="C1645" t="s">
        <v>2843</v>
      </c>
      <c r="D1645" t="s">
        <v>40</v>
      </c>
      <c r="E1645" t="s">
        <v>19</v>
      </c>
      <c r="F1645" t="s">
        <v>29</v>
      </c>
      <c r="G1645" t="s">
        <v>426</v>
      </c>
      <c r="H1645" s="8">
        <v>4445.8999999999996</v>
      </c>
      <c r="I1645" s="8">
        <v>-419.1</v>
      </c>
      <c r="J1645" s="8">
        <v>0.03</v>
      </c>
      <c r="K1645" t="str">
        <f>IF(SalesData[[#This Row],[Profit]]&gt;0,"Profit","Loss")</f>
        <v>Loss</v>
      </c>
      <c r="L1645" s="8">
        <f>SalesData[[#This Row],[Profit]]/SalesData[[#This Row],[Sales]]</f>
        <v>-9.4266627679435E-2</v>
      </c>
      <c r="M1645" t="str">
        <f>TEXT(SalesData[[#This Row],[Order_Date]],"mmm")</f>
        <v>Jul</v>
      </c>
      <c r="N1645">
        <f>YEAR(SalesData[[#This Row],[Order_Date]])</f>
        <v>2022</v>
      </c>
    </row>
    <row r="1646" spans="1:14" x14ac:dyDescent="0.3">
      <c r="A1646" t="s">
        <v>2844</v>
      </c>
      <c r="B1646" s="1">
        <v>44835</v>
      </c>
      <c r="C1646" t="s">
        <v>79</v>
      </c>
      <c r="D1646" t="s">
        <v>18</v>
      </c>
      <c r="E1646" t="s">
        <v>13</v>
      </c>
      <c r="F1646" t="s">
        <v>36</v>
      </c>
      <c r="G1646" t="s">
        <v>660</v>
      </c>
      <c r="H1646" s="8">
        <v>3374.95</v>
      </c>
      <c r="I1646" s="8">
        <v>-46.24</v>
      </c>
      <c r="J1646" s="8">
        <v>0.16</v>
      </c>
      <c r="K1646" t="str">
        <f>IF(SalesData[[#This Row],[Profit]]&gt;0,"Profit","Loss")</f>
        <v>Loss</v>
      </c>
      <c r="L1646" s="8">
        <f>SalesData[[#This Row],[Profit]]/SalesData[[#This Row],[Sales]]</f>
        <v>-1.3700943717684707E-2</v>
      </c>
      <c r="M1646" t="str">
        <f>TEXT(SalesData[[#This Row],[Order_Date]],"mmm")</f>
        <v>Oct</v>
      </c>
      <c r="N1646">
        <f>YEAR(SalesData[[#This Row],[Order_Date]])</f>
        <v>2022</v>
      </c>
    </row>
    <row r="1647" spans="1:14" x14ac:dyDescent="0.3">
      <c r="A1647" t="s">
        <v>2845</v>
      </c>
      <c r="B1647" s="1">
        <v>44597</v>
      </c>
      <c r="C1647" t="s">
        <v>116</v>
      </c>
      <c r="D1647" t="s">
        <v>28</v>
      </c>
      <c r="E1647" t="s">
        <v>19</v>
      </c>
      <c r="F1647" t="s">
        <v>29</v>
      </c>
      <c r="G1647" t="s">
        <v>1988</v>
      </c>
      <c r="H1647" s="8">
        <v>3339.89</v>
      </c>
      <c r="I1647" s="8">
        <v>637.16999999999996</v>
      </c>
      <c r="J1647" s="8">
        <v>0.17</v>
      </c>
      <c r="K1647" t="str">
        <f>IF(SalesData[[#This Row],[Profit]]&gt;0,"Profit","Loss")</f>
        <v>Profit</v>
      </c>
      <c r="L1647" s="8">
        <f>SalesData[[#This Row],[Profit]]/SalesData[[#This Row],[Sales]]</f>
        <v>0.190775744111333</v>
      </c>
      <c r="M1647" t="str">
        <f>TEXT(SalesData[[#This Row],[Order_Date]],"mmm")</f>
        <v>Feb</v>
      </c>
      <c r="N1647">
        <f>YEAR(SalesData[[#This Row],[Order_Date]])</f>
        <v>2022</v>
      </c>
    </row>
    <row r="1648" spans="1:14" x14ac:dyDescent="0.3">
      <c r="A1648" t="s">
        <v>2846</v>
      </c>
      <c r="B1648" s="1">
        <v>44805</v>
      </c>
      <c r="C1648" t="s">
        <v>1677</v>
      </c>
      <c r="D1648" t="s">
        <v>28</v>
      </c>
      <c r="E1648" t="s">
        <v>56</v>
      </c>
      <c r="F1648" t="s">
        <v>57</v>
      </c>
      <c r="G1648" t="s">
        <v>2847</v>
      </c>
      <c r="H1648" s="8">
        <v>4899.7</v>
      </c>
      <c r="I1648" s="8">
        <v>885.76</v>
      </c>
      <c r="J1648" s="8">
        <v>0</v>
      </c>
      <c r="K1648" t="str">
        <f>IF(SalesData[[#This Row],[Profit]]&gt;0,"Profit","Loss")</f>
        <v>Profit</v>
      </c>
      <c r="L1648" s="8">
        <f>SalesData[[#This Row],[Profit]]/SalesData[[#This Row],[Sales]]</f>
        <v>0.1807784150050003</v>
      </c>
      <c r="M1648" t="str">
        <f>TEXT(SalesData[[#This Row],[Order_Date]],"mmm")</f>
        <v>Sep</v>
      </c>
      <c r="N1648">
        <f>YEAR(SalesData[[#This Row],[Order_Date]])</f>
        <v>2022</v>
      </c>
    </row>
    <row r="1649" spans="1:14" x14ac:dyDescent="0.3">
      <c r="A1649" t="s">
        <v>2848</v>
      </c>
      <c r="B1649" s="1">
        <v>45153</v>
      </c>
      <c r="C1649" t="s">
        <v>2849</v>
      </c>
      <c r="D1649" t="s">
        <v>28</v>
      </c>
      <c r="E1649" t="s">
        <v>56</v>
      </c>
      <c r="F1649" t="s">
        <v>73</v>
      </c>
      <c r="G1649" t="s">
        <v>2850</v>
      </c>
      <c r="H1649" s="8">
        <v>2455.8000000000002</v>
      </c>
      <c r="I1649" s="8">
        <v>-853.02</v>
      </c>
      <c r="J1649" s="8">
        <v>0.26</v>
      </c>
      <c r="K1649" t="str">
        <f>IF(SalesData[[#This Row],[Profit]]&gt;0,"Profit","Loss")</f>
        <v>Loss</v>
      </c>
      <c r="L1649" s="8">
        <f>SalesData[[#This Row],[Profit]]/SalesData[[#This Row],[Sales]]</f>
        <v>-0.34734913266552647</v>
      </c>
      <c r="M1649" t="str">
        <f>TEXT(SalesData[[#This Row],[Order_Date]],"mmm")</f>
        <v>Aug</v>
      </c>
      <c r="N1649">
        <f>YEAR(SalesData[[#This Row],[Order_Date]])</f>
        <v>2023</v>
      </c>
    </row>
    <row r="1650" spans="1:14" x14ac:dyDescent="0.3">
      <c r="A1650" t="s">
        <v>2851</v>
      </c>
      <c r="B1650" s="1">
        <v>45233</v>
      </c>
      <c r="C1650" t="s">
        <v>2852</v>
      </c>
      <c r="D1650" t="s">
        <v>40</v>
      </c>
      <c r="E1650" t="s">
        <v>19</v>
      </c>
      <c r="F1650" t="s">
        <v>141</v>
      </c>
      <c r="G1650" t="s">
        <v>2853</v>
      </c>
      <c r="H1650" s="8">
        <v>1387.74</v>
      </c>
      <c r="I1650" s="8">
        <v>162.33000000000001</v>
      </c>
      <c r="J1650" s="8">
        <v>0.13</v>
      </c>
      <c r="K1650" t="str">
        <f>IF(SalesData[[#This Row],[Profit]]&gt;0,"Profit","Loss")</f>
        <v>Profit</v>
      </c>
      <c r="L1650" s="8">
        <f>SalesData[[#This Row],[Profit]]/SalesData[[#This Row],[Sales]]</f>
        <v>0.11697436119157768</v>
      </c>
      <c r="M1650" t="str">
        <f>TEXT(SalesData[[#This Row],[Order_Date]],"mmm")</f>
        <v>Nov</v>
      </c>
      <c r="N1650">
        <f>YEAR(SalesData[[#This Row],[Order_Date]])</f>
        <v>2023</v>
      </c>
    </row>
    <row r="1651" spans="1:14" x14ac:dyDescent="0.3">
      <c r="A1651" t="s">
        <v>2854</v>
      </c>
      <c r="B1651" s="1">
        <v>45029</v>
      </c>
      <c r="C1651" t="s">
        <v>1186</v>
      </c>
      <c r="D1651" t="s">
        <v>12</v>
      </c>
      <c r="E1651" t="s">
        <v>56</v>
      </c>
      <c r="F1651" t="s">
        <v>95</v>
      </c>
      <c r="G1651" t="s">
        <v>1300</v>
      </c>
      <c r="H1651" s="8">
        <v>1770.82</v>
      </c>
      <c r="I1651" s="8">
        <v>5.67</v>
      </c>
      <c r="J1651" s="8">
        <v>0.26</v>
      </c>
      <c r="K1651" t="str">
        <f>IF(SalesData[[#This Row],[Profit]]&gt;0,"Profit","Loss")</f>
        <v>Profit</v>
      </c>
      <c r="L1651" s="8">
        <f>SalesData[[#This Row],[Profit]]/SalesData[[#This Row],[Sales]]</f>
        <v>3.2019064614133568E-3</v>
      </c>
      <c r="M1651" t="str">
        <f>TEXT(SalesData[[#This Row],[Order_Date]],"mmm")</f>
        <v>Apr</v>
      </c>
      <c r="N1651">
        <f>YEAR(SalesData[[#This Row],[Order_Date]])</f>
        <v>2023</v>
      </c>
    </row>
    <row r="1652" spans="1:14" x14ac:dyDescent="0.3">
      <c r="A1652" t="s">
        <v>2855</v>
      </c>
      <c r="B1652" s="1">
        <v>44588</v>
      </c>
      <c r="C1652" t="s">
        <v>705</v>
      </c>
      <c r="D1652" t="s">
        <v>18</v>
      </c>
      <c r="E1652" t="s">
        <v>19</v>
      </c>
      <c r="F1652" t="s">
        <v>141</v>
      </c>
      <c r="G1652" t="s">
        <v>1483</v>
      </c>
      <c r="H1652" s="8">
        <v>1388.03</v>
      </c>
      <c r="I1652" s="8">
        <v>-241.64</v>
      </c>
      <c r="J1652" s="8">
        <v>0.23</v>
      </c>
      <c r="K1652" t="str">
        <f>IF(SalesData[[#This Row],[Profit]]&gt;0,"Profit","Loss")</f>
        <v>Loss</v>
      </c>
      <c r="L1652" s="8">
        <f>SalesData[[#This Row],[Profit]]/SalesData[[#This Row],[Sales]]</f>
        <v>-0.17408845630137676</v>
      </c>
      <c r="M1652" t="str">
        <f>TEXT(SalesData[[#This Row],[Order_Date]],"mmm")</f>
        <v>Jan</v>
      </c>
      <c r="N1652">
        <f>YEAR(SalesData[[#This Row],[Order_Date]])</f>
        <v>2022</v>
      </c>
    </row>
    <row r="1653" spans="1:14" x14ac:dyDescent="0.3">
      <c r="A1653" t="s">
        <v>2856</v>
      </c>
      <c r="B1653" s="1">
        <v>44691</v>
      </c>
      <c r="C1653" t="s">
        <v>247</v>
      </c>
      <c r="D1653" t="s">
        <v>40</v>
      </c>
      <c r="E1653" t="s">
        <v>56</v>
      </c>
      <c r="F1653" t="s">
        <v>95</v>
      </c>
      <c r="G1653" t="s">
        <v>1064</v>
      </c>
      <c r="H1653" s="8">
        <v>4167.38</v>
      </c>
      <c r="I1653" s="8">
        <v>781.87</v>
      </c>
      <c r="J1653" s="8">
        <v>0.04</v>
      </c>
      <c r="K1653" t="str">
        <f>IF(SalesData[[#This Row],[Profit]]&gt;0,"Profit","Loss")</f>
        <v>Profit</v>
      </c>
      <c r="L1653" s="8">
        <f>SalesData[[#This Row],[Profit]]/SalesData[[#This Row],[Sales]]</f>
        <v>0.18761668002437981</v>
      </c>
      <c r="M1653" t="str">
        <f>TEXT(SalesData[[#This Row],[Order_Date]],"mmm")</f>
        <v>May</v>
      </c>
      <c r="N1653">
        <f>YEAR(SalesData[[#This Row],[Order_Date]])</f>
        <v>2022</v>
      </c>
    </row>
    <row r="1654" spans="1:14" x14ac:dyDescent="0.3">
      <c r="A1654" t="s">
        <v>2857</v>
      </c>
      <c r="B1654" s="1">
        <v>45078</v>
      </c>
      <c r="C1654" t="s">
        <v>1420</v>
      </c>
      <c r="D1654" t="s">
        <v>28</v>
      </c>
      <c r="E1654" t="s">
        <v>19</v>
      </c>
      <c r="F1654" t="s">
        <v>141</v>
      </c>
      <c r="G1654" t="s">
        <v>2173</v>
      </c>
      <c r="H1654" s="8">
        <v>4923.13</v>
      </c>
      <c r="I1654" s="8">
        <v>1477.83</v>
      </c>
      <c r="J1654" s="8">
        <v>0.02</v>
      </c>
      <c r="K1654" t="str">
        <f>IF(SalesData[[#This Row],[Profit]]&gt;0,"Profit","Loss")</f>
        <v>Profit</v>
      </c>
      <c r="L1654" s="8">
        <f>SalesData[[#This Row],[Profit]]/SalesData[[#This Row],[Sales]]</f>
        <v>0.30018098242378322</v>
      </c>
      <c r="M1654" t="str">
        <f>TEXT(SalesData[[#This Row],[Order_Date]],"mmm")</f>
        <v>Jun</v>
      </c>
      <c r="N1654">
        <f>YEAR(SalesData[[#This Row],[Order_Date]])</f>
        <v>2023</v>
      </c>
    </row>
    <row r="1655" spans="1:14" x14ac:dyDescent="0.3">
      <c r="A1655" t="s">
        <v>2858</v>
      </c>
      <c r="B1655" s="1">
        <v>44765</v>
      </c>
      <c r="C1655" t="s">
        <v>253</v>
      </c>
      <c r="D1655" t="s">
        <v>40</v>
      </c>
      <c r="E1655" t="s">
        <v>13</v>
      </c>
      <c r="F1655" t="s">
        <v>14</v>
      </c>
      <c r="G1655" t="s">
        <v>2573</v>
      </c>
      <c r="H1655" s="8">
        <v>794.37</v>
      </c>
      <c r="I1655" s="8">
        <v>52.07</v>
      </c>
      <c r="J1655" s="8">
        <v>0.2</v>
      </c>
      <c r="K1655" t="str">
        <f>IF(SalesData[[#This Row],[Profit]]&gt;0,"Profit","Loss")</f>
        <v>Profit</v>
      </c>
      <c r="L1655" s="8">
        <f>SalesData[[#This Row],[Profit]]/SalesData[[#This Row],[Sales]]</f>
        <v>6.5548799677732042E-2</v>
      </c>
      <c r="M1655" t="str">
        <f>TEXT(SalesData[[#This Row],[Order_Date]],"mmm")</f>
        <v>Jul</v>
      </c>
      <c r="N1655">
        <f>YEAR(SalesData[[#This Row],[Order_Date]])</f>
        <v>2022</v>
      </c>
    </row>
    <row r="1656" spans="1:14" x14ac:dyDescent="0.3">
      <c r="A1656" t="s">
        <v>2859</v>
      </c>
      <c r="B1656" s="1">
        <v>45107</v>
      </c>
      <c r="C1656" t="s">
        <v>419</v>
      </c>
      <c r="D1656" t="s">
        <v>18</v>
      </c>
      <c r="E1656" t="s">
        <v>13</v>
      </c>
      <c r="F1656" t="s">
        <v>14</v>
      </c>
      <c r="G1656" t="s">
        <v>365</v>
      </c>
      <c r="H1656" s="8">
        <v>2858.13</v>
      </c>
      <c r="I1656" s="8">
        <v>-948.34</v>
      </c>
      <c r="J1656" s="8">
        <v>0.16</v>
      </c>
      <c r="K1656" t="str">
        <f>IF(SalesData[[#This Row],[Profit]]&gt;0,"Profit","Loss")</f>
        <v>Loss</v>
      </c>
      <c r="L1656" s="8">
        <f>SalesData[[#This Row],[Profit]]/SalesData[[#This Row],[Sales]]</f>
        <v>-0.33180436159306959</v>
      </c>
      <c r="M1656" t="str">
        <f>TEXT(SalesData[[#This Row],[Order_Date]],"mmm")</f>
        <v>Jun</v>
      </c>
      <c r="N1656">
        <f>YEAR(SalesData[[#This Row],[Order_Date]])</f>
        <v>2023</v>
      </c>
    </row>
    <row r="1657" spans="1:14" x14ac:dyDescent="0.3">
      <c r="A1657" t="s">
        <v>2860</v>
      </c>
      <c r="B1657" s="1">
        <v>45211</v>
      </c>
      <c r="C1657" t="s">
        <v>1368</v>
      </c>
      <c r="D1657" t="s">
        <v>18</v>
      </c>
      <c r="E1657" t="s">
        <v>13</v>
      </c>
      <c r="F1657" t="s">
        <v>14</v>
      </c>
      <c r="G1657" t="s">
        <v>627</v>
      </c>
      <c r="H1657" s="8">
        <v>1934.91</v>
      </c>
      <c r="I1657" s="8">
        <v>-252.74</v>
      </c>
      <c r="J1657" s="8">
        <v>0.03</v>
      </c>
      <c r="K1657" t="str">
        <f>IF(SalesData[[#This Row],[Profit]]&gt;0,"Profit","Loss")</f>
        <v>Loss</v>
      </c>
      <c r="L1657" s="8">
        <f>SalesData[[#This Row],[Profit]]/SalesData[[#This Row],[Sales]]</f>
        <v>-0.13062106247835817</v>
      </c>
      <c r="M1657" t="str">
        <f>TEXT(SalesData[[#This Row],[Order_Date]],"mmm")</f>
        <v>Oct</v>
      </c>
      <c r="N1657">
        <f>YEAR(SalesData[[#This Row],[Order_Date]])</f>
        <v>2023</v>
      </c>
    </row>
    <row r="1658" spans="1:14" x14ac:dyDescent="0.3">
      <c r="A1658" t="s">
        <v>2861</v>
      </c>
      <c r="B1658" s="1">
        <v>44769</v>
      </c>
      <c r="C1658" t="s">
        <v>104</v>
      </c>
      <c r="D1658" t="s">
        <v>12</v>
      </c>
      <c r="E1658" t="s">
        <v>13</v>
      </c>
      <c r="F1658" t="s">
        <v>14</v>
      </c>
      <c r="G1658" t="s">
        <v>251</v>
      </c>
      <c r="H1658" s="8">
        <v>2750.03</v>
      </c>
      <c r="I1658" s="8">
        <v>-647.88</v>
      </c>
      <c r="J1658" s="8">
        <v>0.28999999999999998</v>
      </c>
      <c r="K1658" t="str">
        <f>IF(SalesData[[#This Row],[Profit]]&gt;0,"Profit","Loss")</f>
        <v>Loss</v>
      </c>
      <c r="L1658" s="8">
        <f>SalesData[[#This Row],[Profit]]/SalesData[[#This Row],[Sales]]</f>
        <v>-0.23559015719828508</v>
      </c>
      <c r="M1658" t="str">
        <f>TEXT(SalesData[[#This Row],[Order_Date]],"mmm")</f>
        <v>Jul</v>
      </c>
      <c r="N1658">
        <f>YEAR(SalesData[[#This Row],[Order_Date]])</f>
        <v>2022</v>
      </c>
    </row>
    <row r="1659" spans="1:14" x14ac:dyDescent="0.3">
      <c r="A1659" t="s">
        <v>2862</v>
      </c>
      <c r="B1659" s="1">
        <v>45049</v>
      </c>
      <c r="C1659" t="s">
        <v>305</v>
      </c>
      <c r="D1659" t="s">
        <v>40</v>
      </c>
      <c r="E1659" t="s">
        <v>19</v>
      </c>
      <c r="F1659" t="s">
        <v>29</v>
      </c>
      <c r="G1659" t="s">
        <v>900</v>
      </c>
      <c r="H1659" s="8">
        <v>2009.88</v>
      </c>
      <c r="I1659" s="8">
        <v>-215.54</v>
      </c>
      <c r="J1659" s="8">
        <v>0.16</v>
      </c>
      <c r="K1659" t="str">
        <f>IF(SalesData[[#This Row],[Profit]]&gt;0,"Profit","Loss")</f>
        <v>Loss</v>
      </c>
      <c r="L1659" s="8">
        <f>SalesData[[#This Row],[Profit]]/SalesData[[#This Row],[Sales]]</f>
        <v>-0.10724023324775607</v>
      </c>
      <c r="M1659" t="str">
        <f>TEXT(SalesData[[#This Row],[Order_Date]],"mmm")</f>
        <v>May</v>
      </c>
      <c r="N1659">
        <f>YEAR(SalesData[[#This Row],[Order_Date]])</f>
        <v>2023</v>
      </c>
    </row>
    <row r="1660" spans="1:14" x14ac:dyDescent="0.3">
      <c r="A1660" t="s">
        <v>2863</v>
      </c>
      <c r="B1660" s="1">
        <v>44881</v>
      </c>
      <c r="C1660" t="s">
        <v>2864</v>
      </c>
      <c r="D1660" t="s">
        <v>12</v>
      </c>
      <c r="E1660" t="s">
        <v>13</v>
      </c>
      <c r="F1660" t="s">
        <v>36</v>
      </c>
      <c r="G1660" t="s">
        <v>1386</v>
      </c>
      <c r="H1660" s="8">
        <v>101.73</v>
      </c>
      <c r="I1660" s="8">
        <v>5.44</v>
      </c>
      <c r="J1660" s="8">
        <v>0.08</v>
      </c>
      <c r="K1660" t="str">
        <f>IF(SalesData[[#This Row],[Profit]]&gt;0,"Profit","Loss")</f>
        <v>Profit</v>
      </c>
      <c r="L1660" s="8">
        <f>SalesData[[#This Row],[Profit]]/SalesData[[#This Row],[Sales]]</f>
        <v>5.3474884498181462E-2</v>
      </c>
      <c r="M1660" t="str">
        <f>TEXT(SalesData[[#This Row],[Order_Date]],"mmm")</f>
        <v>Nov</v>
      </c>
      <c r="N1660">
        <f>YEAR(SalesData[[#This Row],[Order_Date]])</f>
        <v>2022</v>
      </c>
    </row>
    <row r="1661" spans="1:14" x14ac:dyDescent="0.3">
      <c r="A1661" t="s">
        <v>2865</v>
      </c>
      <c r="B1661" s="1">
        <v>44810</v>
      </c>
      <c r="C1661" t="s">
        <v>2126</v>
      </c>
      <c r="D1661" t="s">
        <v>18</v>
      </c>
      <c r="E1661" t="s">
        <v>19</v>
      </c>
      <c r="F1661" t="s">
        <v>20</v>
      </c>
      <c r="G1661" t="s">
        <v>528</v>
      </c>
      <c r="H1661" s="8">
        <v>804.58</v>
      </c>
      <c r="I1661" s="8">
        <v>7.04</v>
      </c>
      <c r="J1661" s="8">
        <v>0.25</v>
      </c>
      <c r="K1661" t="str">
        <f>IF(SalesData[[#This Row],[Profit]]&gt;0,"Profit","Loss")</f>
        <v>Profit</v>
      </c>
      <c r="L1661" s="8">
        <f>SalesData[[#This Row],[Profit]]/SalesData[[#This Row],[Sales]]</f>
        <v>8.7499067836635264E-3</v>
      </c>
      <c r="M1661" t="str">
        <f>TEXT(SalesData[[#This Row],[Order_Date]],"mmm")</f>
        <v>Sep</v>
      </c>
      <c r="N1661">
        <f>YEAR(SalesData[[#This Row],[Order_Date]])</f>
        <v>2022</v>
      </c>
    </row>
    <row r="1662" spans="1:14" x14ac:dyDescent="0.3">
      <c r="A1662" t="s">
        <v>2866</v>
      </c>
      <c r="B1662" s="1">
        <v>44793</v>
      </c>
      <c r="C1662" t="s">
        <v>1482</v>
      </c>
      <c r="D1662" t="s">
        <v>18</v>
      </c>
      <c r="E1662" t="s">
        <v>19</v>
      </c>
      <c r="F1662" t="s">
        <v>29</v>
      </c>
      <c r="G1662" t="s">
        <v>199</v>
      </c>
      <c r="H1662" s="8">
        <v>2997.94</v>
      </c>
      <c r="I1662" s="8">
        <v>-179.14</v>
      </c>
      <c r="J1662" s="8">
        <v>7.0000000000000007E-2</v>
      </c>
      <c r="K1662" t="str">
        <f>IF(SalesData[[#This Row],[Profit]]&gt;0,"Profit","Loss")</f>
        <v>Loss</v>
      </c>
      <c r="L1662" s="8">
        <f>SalesData[[#This Row],[Profit]]/SalesData[[#This Row],[Sales]]</f>
        <v>-5.9754364663735758E-2</v>
      </c>
      <c r="M1662" t="str">
        <f>TEXT(SalesData[[#This Row],[Order_Date]],"mmm")</f>
        <v>Aug</v>
      </c>
      <c r="N1662">
        <f>YEAR(SalesData[[#This Row],[Order_Date]])</f>
        <v>2022</v>
      </c>
    </row>
    <row r="1663" spans="1:14" x14ac:dyDescent="0.3">
      <c r="A1663" t="s">
        <v>2867</v>
      </c>
      <c r="B1663" s="1">
        <v>44772</v>
      </c>
      <c r="C1663" t="s">
        <v>364</v>
      </c>
      <c r="D1663" t="s">
        <v>18</v>
      </c>
      <c r="E1663" t="s">
        <v>19</v>
      </c>
      <c r="F1663" t="s">
        <v>20</v>
      </c>
      <c r="G1663" t="s">
        <v>404</v>
      </c>
      <c r="H1663" s="8">
        <v>3657.3</v>
      </c>
      <c r="I1663" s="8">
        <v>85.55</v>
      </c>
      <c r="J1663" s="8">
        <v>0.18</v>
      </c>
      <c r="K1663" t="str">
        <f>IF(SalesData[[#This Row],[Profit]]&gt;0,"Profit","Loss")</f>
        <v>Profit</v>
      </c>
      <c r="L1663" s="8">
        <f>SalesData[[#This Row],[Profit]]/SalesData[[#This Row],[Sales]]</f>
        <v>2.3391573018346865E-2</v>
      </c>
      <c r="M1663" t="str">
        <f>TEXT(SalesData[[#This Row],[Order_Date]],"mmm")</f>
        <v>Jul</v>
      </c>
      <c r="N1663">
        <f>YEAR(SalesData[[#This Row],[Order_Date]])</f>
        <v>2022</v>
      </c>
    </row>
    <row r="1664" spans="1:14" x14ac:dyDescent="0.3">
      <c r="A1664" t="s">
        <v>2868</v>
      </c>
      <c r="B1664" s="1">
        <v>44667</v>
      </c>
      <c r="C1664" t="s">
        <v>2822</v>
      </c>
      <c r="D1664" t="s">
        <v>28</v>
      </c>
      <c r="E1664" t="s">
        <v>19</v>
      </c>
      <c r="F1664" t="s">
        <v>29</v>
      </c>
      <c r="G1664" t="s">
        <v>2869</v>
      </c>
      <c r="H1664" s="8">
        <v>152.77000000000001</v>
      </c>
      <c r="I1664" s="8">
        <v>-8.14</v>
      </c>
      <c r="J1664" s="8">
        <v>0.04</v>
      </c>
      <c r="K1664" t="str">
        <f>IF(SalesData[[#This Row],[Profit]]&gt;0,"Profit","Loss")</f>
        <v>Loss</v>
      </c>
      <c r="L1664" s="8">
        <f>SalesData[[#This Row],[Profit]]/SalesData[[#This Row],[Sales]]</f>
        <v>-5.3282712574458338E-2</v>
      </c>
      <c r="M1664" t="str">
        <f>TEXT(SalesData[[#This Row],[Order_Date]],"mmm")</f>
        <v>Apr</v>
      </c>
      <c r="N1664">
        <f>YEAR(SalesData[[#This Row],[Order_Date]])</f>
        <v>2022</v>
      </c>
    </row>
    <row r="1665" spans="1:14" x14ac:dyDescent="0.3">
      <c r="A1665" t="s">
        <v>2870</v>
      </c>
      <c r="B1665" s="1">
        <v>45027</v>
      </c>
      <c r="C1665" t="s">
        <v>1259</v>
      </c>
      <c r="D1665" t="s">
        <v>12</v>
      </c>
      <c r="E1665" t="s">
        <v>13</v>
      </c>
      <c r="F1665" t="s">
        <v>36</v>
      </c>
      <c r="G1665" t="s">
        <v>328</v>
      </c>
      <c r="H1665" s="8">
        <v>1564.23</v>
      </c>
      <c r="I1665" s="8">
        <v>321.83999999999997</v>
      </c>
      <c r="J1665" s="8">
        <v>0.04</v>
      </c>
      <c r="K1665" t="str">
        <f>IF(SalesData[[#This Row],[Profit]]&gt;0,"Profit","Loss")</f>
        <v>Profit</v>
      </c>
      <c r="L1665" s="8">
        <f>SalesData[[#This Row],[Profit]]/SalesData[[#This Row],[Sales]]</f>
        <v>0.20574979382827333</v>
      </c>
      <c r="M1665" t="str">
        <f>TEXT(SalesData[[#This Row],[Order_Date]],"mmm")</f>
        <v>Apr</v>
      </c>
      <c r="N1665">
        <f>YEAR(SalesData[[#This Row],[Order_Date]])</f>
        <v>2023</v>
      </c>
    </row>
    <row r="1666" spans="1:14" x14ac:dyDescent="0.3">
      <c r="A1666" t="s">
        <v>2871</v>
      </c>
      <c r="B1666" s="1">
        <v>44823</v>
      </c>
      <c r="C1666" t="s">
        <v>1503</v>
      </c>
      <c r="D1666" t="s">
        <v>28</v>
      </c>
      <c r="E1666" t="s">
        <v>13</v>
      </c>
      <c r="F1666" t="s">
        <v>36</v>
      </c>
      <c r="G1666" t="s">
        <v>1570</v>
      </c>
      <c r="H1666" s="8">
        <v>4388.6499999999996</v>
      </c>
      <c r="I1666" s="8">
        <v>-1998.67</v>
      </c>
      <c r="J1666" s="8">
        <v>0.28000000000000003</v>
      </c>
      <c r="K1666" t="str">
        <f>IF(SalesData[[#This Row],[Profit]]&gt;0,"Profit","Loss")</f>
        <v>Loss</v>
      </c>
      <c r="L1666" s="8">
        <f>SalesData[[#This Row],[Profit]]/SalesData[[#This Row],[Sales]]</f>
        <v>-0.45541795312909444</v>
      </c>
      <c r="M1666" t="str">
        <f>TEXT(SalesData[[#This Row],[Order_Date]],"mmm")</f>
        <v>Sep</v>
      </c>
      <c r="N1666">
        <f>YEAR(SalesData[[#This Row],[Order_Date]])</f>
        <v>2022</v>
      </c>
    </row>
    <row r="1667" spans="1:14" x14ac:dyDescent="0.3">
      <c r="A1667" t="s">
        <v>2872</v>
      </c>
      <c r="B1667" s="1">
        <v>44860</v>
      </c>
      <c r="C1667" t="s">
        <v>1063</v>
      </c>
      <c r="D1667" t="s">
        <v>12</v>
      </c>
      <c r="E1667" t="s">
        <v>13</v>
      </c>
      <c r="F1667" t="s">
        <v>14</v>
      </c>
      <c r="G1667" t="s">
        <v>945</v>
      </c>
      <c r="H1667" s="8">
        <v>4393.59</v>
      </c>
      <c r="I1667" s="8">
        <v>292.94</v>
      </c>
      <c r="J1667" s="8">
        <v>0.21</v>
      </c>
      <c r="K1667" t="str">
        <f>IF(SalesData[[#This Row],[Profit]]&gt;0,"Profit","Loss")</f>
        <v>Profit</v>
      </c>
      <c r="L1667" s="8">
        <f>SalesData[[#This Row],[Profit]]/SalesData[[#This Row],[Sales]]</f>
        <v>6.6674405213049001E-2</v>
      </c>
      <c r="M1667" t="str">
        <f>TEXT(SalesData[[#This Row],[Order_Date]],"mmm")</f>
        <v>Oct</v>
      </c>
      <c r="N1667">
        <f>YEAR(SalesData[[#This Row],[Order_Date]])</f>
        <v>2022</v>
      </c>
    </row>
    <row r="1668" spans="1:14" x14ac:dyDescent="0.3">
      <c r="A1668" t="s">
        <v>2873</v>
      </c>
      <c r="B1668" s="1">
        <v>45242</v>
      </c>
      <c r="C1668" t="s">
        <v>1627</v>
      </c>
      <c r="D1668" t="s">
        <v>28</v>
      </c>
      <c r="E1668" t="s">
        <v>13</v>
      </c>
      <c r="F1668" t="s">
        <v>24</v>
      </c>
      <c r="G1668" t="s">
        <v>1650</v>
      </c>
      <c r="H1668" s="8">
        <v>4802.7</v>
      </c>
      <c r="I1668" s="8">
        <v>-1513.93</v>
      </c>
      <c r="J1668" s="8">
        <v>0.26</v>
      </c>
      <c r="K1668" t="str">
        <f>IF(SalesData[[#This Row],[Profit]]&gt;0,"Profit","Loss")</f>
        <v>Loss</v>
      </c>
      <c r="L1668" s="8">
        <f>SalesData[[#This Row],[Profit]]/SalesData[[#This Row],[Sales]]</f>
        <v>-0.31522476940054556</v>
      </c>
      <c r="M1668" t="str">
        <f>TEXT(SalesData[[#This Row],[Order_Date]],"mmm")</f>
        <v>Nov</v>
      </c>
      <c r="N1668">
        <f>YEAR(SalesData[[#This Row],[Order_Date]])</f>
        <v>2023</v>
      </c>
    </row>
    <row r="1669" spans="1:14" x14ac:dyDescent="0.3">
      <c r="A1669" t="s">
        <v>2874</v>
      </c>
      <c r="B1669" s="1">
        <v>44844</v>
      </c>
      <c r="C1669" t="s">
        <v>845</v>
      </c>
      <c r="D1669" t="s">
        <v>40</v>
      </c>
      <c r="E1669" t="s">
        <v>56</v>
      </c>
      <c r="F1669" t="s">
        <v>73</v>
      </c>
      <c r="G1669" t="s">
        <v>1904</v>
      </c>
      <c r="H1669" s="8">
        <v>615.42999999999995</v>
      </c>
      <c r="I1669" s="8">
        <v>46.4</v>
      </c>
      <c r="J1669" s="8">
        <v>0.23</v>
      </c>
      <c r="K1669" t="str">
        <f>IF(SalesData[[#This Row],[Profit]]&gt;0,"Profit","Loss")</f>
        <v>Profit</v>
      </c>
      <c r="L1669" s="8">
        <f>SalesData[[#This Row],[Profit]]/SalesData[[#This Row],[Sales]]</f>
        <v>7.5394439660075072E-2</v>
      </c>
      <c r="M1669" t="str">
        <f>TEXT(SalesData[[#This Row],[Order_Date]],"mmm")</f>
        <v>Oct</v>
      </c>
      <c r="N1669">
        <f>YEAR(SalesData[[#This Row],[Order_Date]])</f>
        <v>2022</v>
      </c>
    </row>
    <row r="1670" spans="1:14" x14ac:dyDescent="0.3">
      <c r="A1670" t="s">
        <v>2875</v>
      </c>
      <c r="B1670" s="1">
        <v>45059</v>
      </c>
      <c r="C1670" t="s">
        <v>2876</v>
      </c>
      <c r="D1670" t="s">
        <v>28</v>
      </c>
      <c r="E1670" t="s">
        <v>13</v>
      </c>
      <c r="F1670" t="s">
        <v>36</v>
      </c>
      <c r="G1670" t="s">
        <v>494</v>
      </c>
      <c r="H1670" s="8">
        <v>4917.12</v>
      </c>
      <c r="I1670" s="8">
        <v>-783.4</v>
      </c>
      <c r="J1670" s="8">
        <v>0.02</v>
      </c>
      <c r="K1670" t="str">
        <f>IF(SalesData[[#This Row],[Profit]]&gt;0,"Profit","Loss")</f>
        <v>Loss</v>
      </c>
      <c r="L1670" s="8">
        <f>SalesData[[#This Row],[Profit]]/SalesData[[#This Row],[Sales]]</f>
        <v>-0.15932090329298451</v>
      </c>
      <c r="M1670" t="str">
        <f>TEXT(SalesData[[#This Row],[Order_Date]],"mmm")</f>
        <v>May</v>
      </c>
      <c r="N1670">
        <f>YEAR(SalesData[[#This Row],[Order_Date]])</f>
        <v>2023</v>
      </c>
    </row>
    <row r="1671" spans="1:14" x14ac:dyDescent="0.3">
      <c r="A1671" t="s">
        <v>2877</v>
      </c>
      <c r="B1671" s="1">
        <v>45287</v>
      </c>
      <c r="C1671" t="s">
        <v>1959</v>
      </c>
      <c r="D1671" t="s">
        <v>28</v>
      </c>
      <c r="E1671" t="s">
        <v>13</v>
      </c>
      <c r="F1671" t="s">
        <v>36</v>
      </c>
      <c r="G1671" t="s">
        <v>2205</v>
      </c>
      <c r="H1671" s="8">
        <v>3361.58</v>
      </c>
      <c r="I1671" s="8">
        <v>801.92</v>
      </c>
      <c r="J1671" s="8">
        <v>0.03</v>
      </c>
      <c r="K1671" t="str">
        <f>IF(SalesData[[#This Row],[Profit]]&gt;0,"Profit","Loss")</f>
        <v>Profit</v>
      </c>
      <c r="L1671" s="8">
        <f>SalesData[[#This Row],[Profit]]/SalesData[[#This Row],[Sales]]</f>
        <v>0.23855448925802747</v>
      </c>
      <c r="M1671" t="str">
        <f>TEXT(SalesData[[#This Row],[Order_Date]],"mmm")</f>
        <v>Dec</v>
      </c>
      <c r="N1671">
        <f>YEAR(SalesData[[#This Row],[Order_Date]])</f>
        <v>2023</v>
      </c>
    </row>
    <row r="1672" spans="1:14" x14ac:dyDescent="0.3">
      <c r="A1672" t="s">
        <v>2878</v>
      </c>
      <c r="B1672" s="1">
        <v>45220</v>
      </c>
      <c r="C1672" t="s">
        <v>1278</v>
      </c>
      <c r="D1672" t="s">
        <v>12</v>
      </c>
      <c r="E1672" t="s">
        <v>13</v>
      </c>
      <c r="F1672" t="s">
        <v>24</v>
      </c>
      <c r="G1672" t="s">
        <v>747</v>
      </c>
      <c r="H1672" s="8">
        <v>1974.68</v>
      </c>
      <c r="I1672" s="8">
        <v>-50.94</v>
      </c>
      <c r="J1672" s="8">
        <v>0.18</v>
      </c>
      <c r="K1672" t="str">
        <f>IF(SalesData[[#This Row],[Profit]]&gt;0,"Profit","Loss")</f>
        <v>Loss</v>
      </c>
      <c r="L1672" s="8">
        <f>SalesData[[#This Row],[Profit]]/SalesData[[#This Row],[Sales]]</f>
        <v>-2.5796584763100854E-2</v>
      </c>
      <c r="M1672" t="str">
        <f>TEXT(SalesData[[#This Row],[Order_Date]],"mmm")</f>
        <v>Oct</v>
      </c>
      <c r="N1672">
        <f>YEAR(SalesData[[#This Row],[Order_Date]])</f>
        <v>2023</v>
      </c>
    </row>
    <row r="1673" spans="1:14" x14ac:dyDescent="0.3">
      <c r="A1673" t="s">
        <v>2879</v>
      </c>
      <c r="B1673" s="1">
        <v>44965</v>
      </c>
      <c r="C1673" t="s">
        <v>636</v>
      </c>
      <c r="D1673" t="s">
        <v>12</v>
      </c>
      <c r="E1673" t="s">
        <v>56</v>
      </c>
      <c r="F1673" t="s">
        <v>95</v>
      </c>
      <c r="G1673" t="s">
        <v>752</v>
      </c>
      <c r="H1673" s="8">
        <v>2942.6</v>
      </c>
      <c r="I1673" s="8">
        <v>-140.41</v>
      </c>
      <c r="J1673" s="8">
        <v>0.21</v>
      </c>
      <c r="K1673" t="str">
        <f>IF(SalesData[[#This Row],[Profit]]&gt;0,"Profit","Loss")</f>
        <v>Loss</v>
      </c>
      <c r="L1673" s="8">
        <f>SalesData[[#This Row],[Profit]]/SalesData[[#This Row],[Sales]]</f>
        <v>-4.7716305308230816E-2</v>
      </c>
      <c r="M1673" t="str">
        <f>TEXT(SalesData[[#This Row],[Order_Date]],"mmm")</f>
        <v>Feb</v>
      </c>
      <c r="N1673">
        <f>YEAR(SalesData[[#This Row],[Order_Date]])</f>
        <v>2023</v>
      </c>
    </row>
    <row r="1674" spans="1:14" x14ac:dyDescent="0.3">
      <c r="A1674" t="s">
        <v>2880</v>
      </c>
      <c r="B1674" s="1">
        <v>44970</v>
      </c>
      <c r="C1674" t="s">
        <v>2881</v>
      </c>
      <c r="D1674" t="s">
        <v>28</v>
      </c>
      <c r="E1674" t="s">
        <v>13</v>
      </c>
      <c r="F1674" t="s">
        <v>36</v>
      </c>
      <c r="G1674" t="s">
        <v>1300</v>
      </c>
      <c r="H1674" s="8">
        <v>4275.9399999999996</v>
      </c>
      <c r="I1674" s="8">
        <v>-240.91</v>
      </c>
      <c r="J1674" s="8">
        <v>0.17</v>
      </c>
      <c r="K1674" t="str">
        <f>IF(SalesData[[#This Row],[Profit]]&gt;0,"Profit","Loss")</f>
        <v>Loss</v>
      </c>
      <c r="L1674" s="8">
        <f>SalesData[[#This Row],[Profit]]/SalesData[[#This Row],[Sales]]</f>
        <v>-5.6340827981683564E-2</v>
      </c>
      <c r="M1674" t="str">
        <f>TEXT(SalesData[[#This Row],[Order_Date]],"mmm")</f>
        <v>Feb</v>
      </c>
      <c r="N1674">
        <f>YEAR(SalesData[[#This Row],[Order_Date]])</f>
        <v>2023</v>
      </c>
    </row>
    <row r="1675" spans="1:14" x14ac:dyDescent="0.3">
      <c r="A1675" t="s">
        <v>2882</v>
      </c>
      <c r="B1675" s="1">
        <v>44663</v>
      </c>
      <c r="C1675" t="s">
        <v>904</v>
      </c>
      <c r="D1675" t="s">
        <v>28</v>
      </c>
      <c r="E1675" t="s">
        <v>56</v>
      </c>
      <c r="F1675" t="s">
        <v>57</v>
      </c>
      <c r="G1675" t="s">
        <v>1191</v>
      </c>
      <c r="H1675" s="8">
        <v>2877.96</v>
      </c>
      <c r="I1675" s="8">
        <v>1029.07</v>
      </c>
      <c r="J1675" s="8">
        <v>0.01</v>
      </c>
      <c r="K1675" t="str">
        <f>IF(SalesData[[#This Row],[Profit]]&gt;0,"Profit","Loss")</f>
        <v>Profit</v>
      </c>
      <c r="L1675" s="8">
        <f>SalesData[[#This Row],[Profit]]/SalesData[[#This Row],[Sales]]</f>
        <v>0.35756925044128479</v>
      </c>
      <c r="M1675" t="str">
        <f>TEXT(SalesData[[#This Row],[Order_Date]],"mmm")</f>
        <v>Apr</v>
      </c>
      <c r="N1675">
        <f>YEAR(SalesData[[#This Row],[Order_Date]])</f>
        <v>2022</v>
      </c>
    </row>
    <row r="1676" spans="1:14" x14ac:dyDescent="0.3">
      <c r="A1676" t="s">
        <v>2883</v>
      </c>
      <c r="B1676" s="1">
        <v>45261</v>
      </c>
      <c r="C1676" t="s">
        <v>1118</v>
      </c>
      <c r="D1676" t="s">
        <v>40</v>
      </c>
      <c r="E1676" t="s">
        <v>56</v>
      </c>
      <c r="F1676" t="s">
        <v>73</v>
      </c>
      <c r="G1676" t="s">
        <v>1308</v>
      </c>
      <c r="H1676" s="8">
        <v>2337.4499999999998</v>
      </c>
      <c r="I1676" s="8">
        <v>-595.69000000000005</v>
      </c>
      <c r="J1676" s="8">
        <v>0.27</v>
      </c>
      <c r="K1676" t="str">
        <f>IF(SalesData[[#This Row],[Profit]]&gt;0,"Profit","Loss")</f>
        <v>Loss</v>
      </c>
      <c r="L1676" s="8">
        <f>SalesData[[#This Row],[Profit]]/SalesData[[#This Row],[Sales]]</f>
        <v>-0.25484609296455546</v>
      </c>
      <c r="M1676" t="str">
        <f>TEXT(SalesData[[#This Row],[Order_Date]],"mmm")</f>
        <v>Dec</v>
      </c>
      <c r="N1676">
        <f>YEAR(SalesData[[#This Row],[Order_Date]])</f>
        <v>2023</v>
      </c>
    </row>
    <row r="1677" spans="1:14" x14ac:dyDescent="0.3">
      <c r="A1677" t="s">
        <v>2884</v>
      </c>
      <c r="B1677" s="1">
        <v>45212</v>
      </c>
      <c r="C1677" t="s">
        <v>1416</v>
      </c>
      <c r="D1677" t="s">
        <v>18</v>
      </c>
      <c r="E1677" t="s">
        <v>56</v>
      </c>
      <c r="F1677" t="s">
        <v>95</v>
      </c>
      <c r="G1677" t="s">
        <v>1857</v>
      </c>
      <c r="H1677" s="8">
        <v>2285.4299999999998</v>
      </c>
      <c r="I1677" s="8">
        <v>148.38</v>
      </c>
      <c r="J1677" s="8">
        <v>0.01</v>
      </c>
      <c r="K1677" t="str">
        <f>IF(SalesData[[#This Row],[Profit]]&gt;0,"Profit","Loss")</f>
        <v>Profit</v>
      </c>
      <c r="L1677" s="8">
        <f>SalesData[[#This Row],[Profit]]/SalesData[[#This Row],[Sales]]</f>
        <v>6.4924324962917265E-2</v>
      </c>
      <c r="M1677" t="str">
        <f>TEXT(SalesData[[#This Row],[Order_Date]],"mmm")</f>
        <v>Oct</v>
      </c>
      <c r="N1677">
        <f>YEAR(SalesData[[#This Row],[Order_Date]])</f>
        <v>2023</v>
      </c>
    </row>
    <row r="1678" spans="1:14" x14ac:dyDescent="0.3">
      <c r="A1678" t="s">
        <v>2885</v>
      </c>
      <c r="B1678" s="1">
        <v>44738</v>
      </c>
      <c r="C1678" t="s">
        <v>978</v>
      </c>
      <c r="D1678" t="s">
        <v>12</v>
      </c>
      <c r="E1678" t="s">
        <v>13</v>
      </c>
      <c r="F1678" t="s">
        <v>24</v>
      </c>
      <c r="G1678" t="s">
        <v>345</v>
      </c>
      <c r="H1678" s="8">
        <v>3276.61</v>
      </c>
      <c r="I1678" s="8">
        <v>104.82</v>
      </c>
      <c r="J1678" s="8">
        <v>0.22</v>
      </c>
      <c r="K1678" t="str">
        <f>IF(SalesData[[#This Row],[Profit]]&gt;0,"Profit","Loss")</f>
        <v>Profit</v>
      </c>
      <c r="L1678" s="8">
        <f>SalesData[[#This Row],[Profit]]/SalesData[[#This Row],[Sales]]</f>
        <v>3.1990380301592194E-2</v>
      </c>
      <c r="M1678" t="str">
        <f>TEXT(SalesData[[#This Row],[Order_Date]],"mmm")</f>
        <v>Jun</v>
      </c>
      <c r="N1678">
        <f>YEAR(SalesData[[#This Row],[Order_Date]])</f>
        <v>2022</v>
      </c>
    </row>
    <row r="1679" spans="1:14" x14ac:dyDescent="0.3">
      <c r="A1679" t="s">
        <v>2886</v>
      </c>
      <c r="B1679" s="1">
        <v>44886</v>
      </c>
      <c r="C1679" t="s">
        <v>2887</v>
      </c>
      <c r="D1679" t="s">
        <v>12</v>
      </c>
      <c r="E1679" t="s">
        <v>19</v>
      </c>
      <c r="F1679" t="s">
        <v>141</v>
      </c>
      <c r="G1679" t="s">
        <v>782</v>
      </c>
      <c r="H1679" s="8">
        <v>2737.35</v>
      </c>
      <c r="I1679" s="8">
        <v>381.98</v>
      </c>
      <c r="J1679" s="8">
        <v>0.24</v>
      </c>
      <c r="K1679" t="str">
        <f>IF(SalesData[[#This Row],[Profit]]&gt;0,"Profit","Loss")</f>
        <v>Profit</v>
      </c>
      <c r="L1679" s="8">
        <f>SalesData[[#This Row],[Profit]]/SalesData[[#This Row],[Sales]]</f>
        <v>0.13954371929055476</v>
      </c>
      <c r="M1679" t="str">
        <f>TEXT(SalesData[[#This Row],[Order_Date]],"mmm")</f>
        <v>Nov</v>
      </c>
      <c r="N1679">
        <f>YEAR(SalesData[[#This Row],[Order_Date]])</f>
        <v>2022</v>
      </c>
    </row>
    <row r="1680" spans="1:14" x14ac:dyDescent="0.3">
      <c r="A1680" t="s">
        <v>2888</v>
      </c>
      <c r="B1680" s="1">
        <v>44752</v>
      </c>
      <c r="C1680" t="s">
        <v>749</v>
      </c>
      <c r="D1680" t="s">
        <v>28</v>
      </c>
      <c r="E1680" t="s">
        <v>13</v>
      </c>
      <c r="F1680" t="s">
        <v>14</v>
      </c>
      <c r="G1680" t="s">
        <v>2030</v>
      </c>
      <c r="H1680" s="8">
        <v>3233.31</v>
      </c>
      <c r="I1680" s="8">
        <v>26.89</v>
      </c>
      <c r="J1680" s="8">
        <v>0.09</v>
      </c>
      <c r="K1680" t="str">
        <f>IF(SalesData[[#This Row],[Profit]]&gt;0,"Profit","Loss")</f>
        <v>Profit</v>
      </c>
      <c r="L1680" s="8">
        <f>SalesData[[#This Row],[Profit]]/SalesData[[#This Row],[Sales]]</f>
        <v>8.3165548617361168E-3</v>
      </c>
      <c r="M1680" t="str">
        <f>TEXT(SalesData[[#This Row],[Order_Date]],"mmm")</f>
        <v>Jul</v>
      </c>
      <c r="N1680">
        <f>YEAR(SalesData[[#This Row],[Order_Date]])</f>
        <v>2022</v>
      </c>
    </row>
    <row r="1681" spans="1:14" x14ac:dyDescent="0.3">
      <c r="A1681" t="s">
        <v>2889</v>
      </c>
      <c r="B1681" s="1">
        <v>44932</v>
      </c>
      <c r="C1681" t="s">
        <v>768</v>
      </c>
      <c r="D1681" t="s">
        <v>18</v>
      </c>
      <c r="E1681" t="s">
        <v>19</v>
      </c>
      <c r="F1681" t="s">
        <v>141</v>
      </c>
      <c r="G1681" t="s">
        <v>251</v>
      </c>
      <c r="H1681" s="8">
        <v>2478.66</v>
      </c>
      <c r="I1681" s="8">
        <v>-92.55</v>
      </c>
      <c r="J1681" s="8">
        <v>0.1</v>
      </c>
      <c r="K1681" t="str">
        <f>IF(SalesData[[#This Row],[Profit]]&gt;0,"Profit","Loss")</f>
        <v>Loss</v>
      </c>
      <c r="L1681" s="8">
        <f>SalesData[[#This Row],[Profit]]/SalesData[[#This Row],[Sales]]</f>
        <v>-3.7338723342451162E-2</v>
      </c>
      <c r="M1681" t="str">
        <f>TEXT(SalesData[[#This Row],[Order_Date]],"mmm")</f>
        <v>Jan</v>
      </c>
      <c r="N1681">
        <f>YEAR(SalesData[[#This Row],[Order_Date]])</f>
        <v>2023</v>
      </c>
    </row>
    <row r="1682" spans="1:14" x14ac:dyDescent="0.3">
      <c r="A1682" t="s">
        <v>2890</v>
      </c>
      <c r="B1682" s="1">
        <v>45080</v>
      </c>
      <c r="C1682" t="s">
        <v>1003</v>
      </c>
      <c r="D1682" t="s">
        <v>40</v>
      </c>
      <c r="E1682" t="s">
        <v>56</v>
      </c>
      <c r="F1682" t="s">
        <v>95</v>
      </c>
      <c r="G1682" t="s">
        <v>1295</v>
      </c>
      <c r="H1682" s="8">
        <v>178.04</v>
      </c>
      <c r="I1682" s="8">
        <v>-13.12</v>
      </c>
      <c r="J1682" s="8">
        <v>0.06</v>
      </c>
      <c r="K1682" t="str">
        <f>IF(SalesData[[#This Row],[Profit]]&gt;0,"Profit","Loss")</f>
        <v>Loss</v>
      </c>
      <c r="L1682" s="8">
        <f>SalesData[[#This Row],[Profit]]/SalesData[[#This Row],[Sales]]</f>
        <v>-7.3691305324646142E-2</v>
      </c>
      <c r="M1682" t="str">
        <f>TEXT(SalesData[[#This Row],[Order_Date]],"mmm")</f>
        <v>Jun</v>
      </c>
      <c r="N1682">
        <f>YEAR(SalesData[[#This Row],[Order_Date]])</f>
        <v>2023</v>
      </c>
    </row>
    <row r="1683" spans="1:14" x14ac:dyDescent="0.3">
      <c r="A1683" t="s">
        <v>2891</v>
      </c>
      <c r="B1683" s="1">
        <v>44657</v>
      </c>
      <c r="C1683" t="s">
        <v>509</v>
      </c>
      <c r="D1683" t="s">
        <v>28</v>
      </c>
      <c r="E1683" t="s">
        <v>13</v>
      </c>
      <c r="F1683" t="s">
        <v>24</v>
      </c>
      <c r="G1683" t="s">
        <v>2339</v>
      </c>
      <c r="H1683" s="8">
        <v>971.75</v>
      </c>
      <c r="I1683" s="8">
        <v>-334.71</v>
      </c>
      <c r="J1683" s="8">
        <v>0.19</v>
      </c>
      <c r="K1683" t="str">
        <f>IF(SalesData[[#This Row],[Profit]]&gt;0,"Profit","Loss")</f>
        <v>Loss</v>
      </c>
      <c r="L1683" s="8">
        <f>SalesData[[#This Row],[Profit]]/SalesData[[#This Row],[Sales]]</f>
        <v>-0.34444044250064315</v>
      </c>
      <c r="M1683" t="str">
        <f>TEXT(SalesData[[#This Row],[Order_Date]],"mmm")</f>
        <v>Apr</v>
      </c>
      <c r="N1683">
        <f>YEAR(SalesData[[#This Row],[Order_Date]])</f>
        <v>2022</v>
      </c>
    </row>
    <row r="1684" spans="1:14" x14ac:dyDescent="0.3">
      <c r="A1684" t="s">
        <v>2892</v>
      </c>
      <c r="B1684" s="1">
        <v>44956</v>
      </c>
      <c r="C1684" t="s">
        <v>1256</v>
      </c>
      <c r="D1684" t="s">
        <v>40</v>
      </c>
      <c r="E1684" t="s">
        <v>19</v>
      </c>
      <c r="F1684" t="s">
        <v>20</v>
      </c>
      <c r="G1684" t="s">
        <v>755</v>
      </c>
      <c r="H1684" s="8">
        <v>3607.85</v>
      </c>
      <c r="I1684" s="8">
        <v>-439.96</v>
      </c>
      <c r="J1684" s="8">
        <v>0.16</v>
      </c>
      <c r="K1684" t="str">
        <f>IF(SalesData[[#This Row],[Profit]]&gt;0,"Profit","Loss")</f>
        <v>Loss</v>
      </c>
      <c r="L1684" s="8">
        <f>SalesData[[#This Row],[Profit]]/SalesData[[#This Row],[Sales]]</f>
        <v>-0.12194520282162506</v>
      </c>
      <c r="M1684" t="str">
        <f>TEXT(SalesData[[#This Row],[Order_Date]],"mmm")</f>
        <v>Jan</v>
      </c>
      <c r="N1684">
        <f>YEAR(SalesData[[#This Row],[Order_Date]])</f>
        <v>2023</v>
      </c>
    </row>
    <row r="1685" spans="1:14" x14ac:dyDescent="0.3">
      <c r="A1685" t="s">
        <v>2893</v>
      </c>
      <c r="B1685" s="1">
        <v>44813</v>
      </c>
      <c r="C1685" t="s">
        <v>183</v>
      </c>
      <c r="D1685" t="s">
        <v>18</v>
      </c>
      <c r="E1685" t="s">
        <v>13</v>
      </c>
      <c r="F1685" t="s">
        <v>14</v>
      </c>
      <c r="G1685" t="s">
        <v>154</v>
      </c>
      <c r="H1685" s="8">
        <v>1686.8</v>
      </c>
      <c r="I1685" s="8">
        <v>380.68</v>
      </c>
      <c r="J1685" s="8">
        <v>7.0000000000000007E-2</v>
      </c>
      <c r="K1685" t="str">
        <f>IF(SalesData[[#This Row],[Profit]]&gt;0,"Profit","Loss")</f>
        <v>Profit</v>
      </c>
      <c r="L1685" s="8">
        <f>SalesData[[#This Row],[Profit]]/SalesData[[#This Row],[Sales]]</f>
        <v>0.22568176428740813</v>
      </c>
      <c r="M1685" t="str">
        <f>TEXT(SalesData[[#This Row],[Order_Date]],"mmm")</f>
        <v>Sep</v>
      </c>
      <c r="N1685">
        <f>YEAR(SalesData[[#This Row],[Order_Date]])</f>
        <v>2022</v>
      </c>
    </row>
    <row r="1686" spans="1:14" x14ac:dyDescent="0.3">
      <c r="A1686" t="s">
        <v>2894</v>
      </c>
      <c r="B1686" s="1">
        <v>44813</v>
      </c>
      <c r="C1686" t="s">
        <v>287</v>
      </c>
      <c r="D1686" t="s">
        <v>28</v>
      </c>
      <c r="E1686" t="s">
        <v>19</v>
      </c>
      <c r="F1686" t="s">
        <v>20</v>
      </c>
      <c r="G1686" t="s">
        <v>334</v>
      </c>
      <c r="H1686" s="8">
        <v>2523.02</v>
      </c>
      <c r="I1686" s="8">
        <v>353.12</v>
      </c>
      <c r="J1686" s="8">
        <v>0.25</v>
      </c>
      <c r="K1686" t="str">
        <f>IF(SalesData[[#This Row],[Profit]]&gt;0,"Profit","Loss")</f>
        <v>Profit</v>
      </c>
      <c r="L1686" s="8">
        <f>SalesData[[#This Row],[Profit]]/SalesData[[#This Row],[Sales]]</f>
        <v>0.13995925517831806</v>
      </c>
      <c r="M1686" t="str">
        <f>TEXT(SalesData[[#This Row],[Order_Date]],"mmm")</f>
        <v>Sep</v>
      </c>
      <c r="N1686">
        <f>YEAR(SalesData[[#This Row],[Order_Date]])</f>
        <v>2022</v>
      </c>
    </row>
    <row r="1687" spans="1:14" x14ac:dyDescent="0.3">
      <c r="A1687" t="s">
        <v>2895</v>
      </c>
      <c r="B1687" s="1">
        <v>45188</v>
      </c>
      <c r="C1687" t="s">
        <v>336</v>
      </c>
      <c r="D1687" t="s">
        <v>28</v>
      </c>
      <c r="E1687" t="s">
        <v>56</v>
      </c>
      <c r="F1687" t="s">
        <v>57</v>
      </c>
      <c r="G1687" t="s">
        <v>216</v>
      </c>
      <c r="H1687" s="8">
        <v>160.85</v>
      </c>
      <c r="I1687" s="8">
        <v>-41.42</v>
      </c>
      <c r="J1687" s="8">
        <v>7.0000000000000007E-2</v>
      </c>
      <c r="K1687" t="str">
        <f>IF(SalesData[[#This Row],[Profit]]&gt;0,"Profit","Loss")</f>
        <v>Loss</v>
      </c>
      <c r="L1687" s="8">
        <f>SalesData[[#This Row],[Profit]]/SalesData[[#This Row],[Sales]]</f>
        <v>-0.25750699409387628</v>
      </c>
      <c r="M1687" t="str">
        <f>TEXT(SalesData[[#This Row],[Order_Date]],"mmm")</f>
        <v>Sep</v>
      </c>
      <c r="N1687">
        <f>YEAR(SalesData[[#This Row],[Order_Date]])</f>
        <v>2023</v>
      </c>
    </row>
    <row r="1688" spans="1:14" x14ac:dyDescent="0.3">
      <c r="A1688" t="s">
        <v>2896</v>
      </c>
      <c r="B1688" s="1">
        <v>45093</v>
      </c>
      <c r="C1688" t="s">
        <v>171</v>
      </c>
      <c r="D1688" t="s">
        <v>28</v>
      </c>
      <c r="E1688" t="s">
        <v>13</v>
      </c>
      <c r="F1688" t="s">
        <v>24</v>
      </c>
      <c r="G1688" t="s">
        <v>389</v>
      </c>
      <c r="H1688" s="8">
        <v>4992.03</v>
      </c>
      <c r="I1688" s="8">
        <v>-740.64</v>
      </c>
      <c r="J1688" s="8">
        <v>0.06</v>
      </c>
      <c r="K1688" t="str">
        <f>IF(SalesData[[#This Row],[Profit]]&gt;0,"Profit","Loss")</f>
        <v>Loss</v>
      </c>
      <c r="L1688" s="8">
        <f>SalesData[[#This Row],[Profit]]/SalesData[[#This Row],[Sales]]</f>
        <v>-0.14836449300184495</v>
      </c>
      <c r="M1688" t="str">
        <f>TEXT(SalesData[[#This Row],[Order_Date]],"mmm")</f>
        <v>Jun</v>
      </c>
      <c r="N1688">
        <f>YEAR(SalesData[[#This Row],[Order_Date]])</f>
        <v>2023</v>
      </c>
    </row>
    <row r="1689" spans="1:14" x14ac:dyDescent="0.3">
      <c r="A1689" t="s">
        <v>2897</v>
      </c>
      <c r="B1689" s="1">
        <v>44831</v>
      </c>
      <c r="C1689" t="s">
        <v>367</v>
      </c>
      <c r="D1689" t="s">
        <v>40</v>
      </c>
      <c r="E1689" t="s">
        <v>13</v>
      </c>
      <c r="F1689" t="s">
        <v>36</v>
      </c>
      <c r="G1689" t="s">
        <v>178</v>
      </c>
      <c r="H1689" s="8">
        <v>3759.28</v>
      </c>
      <c r="I1689" s="8">
        <v>673.47</v>
      </c>
      <c r="J1689" s="8">
        <v>0.21</v>
      </c>
      <c r="K1689" t="str">
        <f>IF(SalesData[[#This Row],[Profit]]&gt;0,"Profit","Loss")</f>
        <v>Profit</v>
      </c>
      <c r="L1689" s="8">
        <f>SalesData[[#This Row],[Profit]]/SalesData[[#This Row],[Sales]]</f>
        <v>0.17914866676597646</v>
      </c>
      <c r="M1689" t="str">
        <f>TEXT(SalesData[[#This Row],[Order_Date]],"mmm")</f>
        <v>Sep</v>
      </c>
      <c r="N1689">
        <f>YEAR(SalesData[[#This Row],[Order_Date]])</f>
        <v>2022</v>
      </c>
    </row>
    <row r="1690" spans="1:14" x14ac:dyDescent="0.3">
      <c r="A1690" t="s">
        <v>2898</v>
      </c>
      <c r="B1690" s="1">
        <v>44891</v>
      </c>
      <c r="C1690" t="s">
        <v>1634</v>
      </c>
      <c r="D1690" t="s">
        <v>18</v>
      </c>
      <c r="E1690" t="s">
        <v>56</v>
      </c>
      <c r="F1690" t="s">
        <v>95</v>
      </c>
      <c r="G1690" t="s">
        <v>2899</v>
      </c>
      <c r="H1690" s="8">
        <v>2747.81</v>
      </c>
      <c r="I1690" s="8">
        <v>538.35</v>
      </c>
      <c r="J1690" s="8">
        <v>0.02</v>
      </c>
      <c r="K1690" t="str">
        <f>IF(SalesData[[#This Row],[Profit]]&gt;0,"Profit","Loss")</f>
        <v>Profit</v>
      </c>
      <c r="L1690" s="8">
        <f>SalesData[[#This Row],[Profit]]/SalesData[[#This Row],[Sales]]</f>
        <v>0.19591965965623534</v>
      </c>
      <c r="M1690" t="str">
        <f>TEXT(SalesData[[#This Row],[Order_Date]],"mmm")</f>
        <v>Nov</v>
      </c>
      <c r="N1690">
        <f>YEAR(SalesData[[#This Row],[Order_Date]])</f>
        <v>2022</v>
      </c>
    </row>
    <row r="1691" spans="1:14" x14ac:dyDescent="0.3">
      <c r="A1691" t="s">
        <v>2900</v>
      </c>
      <c r="B1691" s="1">
        <v>45081</v>
      </c>
      <c r="C1691" t="s">
        <v>1573</v>
      </c>
      <c r="D1691" t="s">
        <v>28</v>
      </c>
      <c r="E1691" t="s">
        <v>13</v>
      </c>
      <c r="F1691" t="s">
        <v>24</v>
      </c>
      <c r="G1691" t="s">
        <v>806</v>
      </c>
      <c r="H1691" s="8">
        <v>730.95</v>
      </c>
      <c r="I1691" s="8">
        <v>-14.23</v>
      </c>
      <c r="J1691" s="8">
        <v>0.28999999999999998</v>
      </c>
      <c r="K1691" t="str">
        <f>IF(SalesData[[#This Row],[Profit]]&gt;0,"Profit","Loss")</f>
        <v>Loss</v>
      </c>
      <c r="L1691" s="8">
        <f>SalesData[[#This Row],[Profit]]/SalesData[[#This Row],[Sales]]</f>
        <v>-1.9467815856077708E-2</v>
      </c>
      <c r="M1691" t="str">
        <f>TEXT(SalesData[[#This Row],[Order_Date]],"mmm")</f>
        <v>Jun</v>
      </c>
      <c r="N1691">
        <f>YEAR(SalesData[[#This Row],[Order_Date]])</f>
        <v>2023</v>
      </c>
    </row>
    <row r="1692" spans="1:14" x14ac:dyDescent="0.3">
      <c r="A1692" t="s">
        <v>2901</v>
      </c>
      <c r="B1692" s="1">
        <v>45280</v>
      </c>
      <c r="C1692" t="s">
        <v>2107</v>
      </c>
      <c r="D1692" t="s">
        <v>18</v>
      </c>
      <c r="E1692" t="s">
        <v>19</v>
      </c>
      <c r="F1692" t="s">
        <v>20</v>
      </c>
      <c r="G1692" t="s">
        <v>2902</v>
      </c>
      <c r="H1692" s="8">
        <v>4055.54</v>
      </c>
      <c r="I1692" s="8">
        <v>211.15</v>
      </c>
      <c r="J1692" s="8">
        <v>0.18</v>
      </c>
      <c r="K1692" t="str">
        <f>IF(SalesData[[#This Row],[Profit]]&gt;0,"Profit","Loss")</f>
        <v>Profit</v>
      </c>
      <c r="L1692" s="8">
        <f>SalesData[[#This Row],[Profit]]/SalesData[[#This Row],[Sales]]</f>
        <v>5.2064583261415248E-2</v>
      </c>
      <c r="M1692" t="str">
        <f>TEXT(SalesData[[#This Row],[Order_Date]],"mmm")</f>
        <v>Dec</v>
      </c>
      <c r="N1692">
        <f>YEAR(SalesData[[#This Row],[Order_Date]])</f>
        <v>2023</v>
      </c>
    </row>
    <row r="1693" spans="1:14" x14ac:dyDescent="0.3">
      <c r="A1693" t="s">
        <v>2903</v>
      </c>
      <c r="B1693" s="1">
        <v>45167</v>
      </c>
      <c r="C1693" t="s">
        <v>484</v>
      </c>
      <c r="D1693" t="s">
        <v>12</v>
      </c>
      <c r="E1693" t="s">
        <v>19</v>
      </c>
      <c r="F1693" t="s">
        <v>141</v>
      </c>
      <c r="G1693" t="s">
        <v>717</v>
      </c>
      <c r="H1693" s="8">
        <v>4199.41</v>
      </c>
      <c r="I1693" s="8">
        <v>-324.52</v>
      </c>
      <c r="J1693" s="8">
        <v>0.14000000000000001</v>
      </c>
      <c r="K1693" t="str">
        <f>IF(SalesData[[#This Row],[Profit]]&gt;0,"Profit","Loss")</f>
        <v>Loss</v>
      </c>
      <c r="L1693" s="8">
        <f>SalesData[[#This Row],[Profit]]/SalesData[[#This Row],[Sales]]</f>
        <v>-7.7277522318611416E-2</v>
      </c>
      <c r="M1693" t="str">
        <f>TEXT(SalesData[[#This Row],[Order_Date]],"mmm")</f>
        <v>Aug</v>
      </c>
      <c r="N1693">
        <f>YEAR(SalesData[[#This Row],[Order_Date]])</f>
        <v>2023</v>
      </c>
    </row>
    <row r="1694" spans="1:14" x14ac:dyDescent="0.3">
      <c r="A1694" t="s">
        <v>2904</v>
      </c>
      <c r="B1694" s="1">
        <v>44917</v>
      </c>
      <c r="C1694" t="s">
        <v>2264</v>
      </c>
      <c r="D1694" t="s">
        <v>18</v>
      </c>
      <c r="E1694" t="s">
        <v>56</v>
      </c>
      <c r="F1694" t="s">
        <v>57</v>
      </c>
      <c r="G1694" t="s">
        <v>843</v>
      </c>
      <c r="H1694" s="8">
        <v>2843.8</v>
      </c>
      <c r="I1694" s="8">
        <v>-954.02</v>
      </c>
      <c r="J1694" s="8">
        <v>0.17</v>
      </c>
      <c r="K1694" t="str">
        <f>IF(SalesData[[#This Row],[Profit]]&gt;0,"Profit","Loss")</f>
        <v>Loss</v>
      </c>
      <c r="L1694" s="8">
        <f>SalesData[[#This Row],[Profit]]/SalesData[[#This Row],[Sales]]</f>
        <v>-0.33547366200154721</v>
      </c>
      <c r="M1694" t="str">
        <f>TEXT(SalesData[[#This Row],[Order_Date]],"mmm")</f>
        <v>Dec</v>
      </c>
      <c r="N1694">
        <f>YEAR(SalesData[[#This Row],[Order_Date]])</f>
        <v>2022</v>
      </c>
    </row>
    <row r="1695" spans="1:14" x14ac:dyDescent="0.3">
      <c r="A1695" t="s">
        <v>2905</v>
      </c>
      <c r="B1695" s="1">
        <v>44590</v>
      </c>
      <c r="C1695" t="s">
        <v>830</v>
      </c>
      <c r="D1695" t="s">
        <v>28</v>
      </c>
      <c r="E1695" t="s">
        <v>13</v>
      </c>
      <c r="F1695" t="s">
        <v>36</v>
      </c>
      <c r="G1695" t="s">
        <v>444</v>
      </c>
      <c r="H1695" s="8">
        <v>420.52</v>
      </c>
      <c r="I1695" s="8">
        <v>-32.86</v>
      </c>
      <c r="J1695" s="8">
        <v>0.22</v>
      </c>
      <c r="K1695" t="str">
        <f>IF(SalesData[[#This Row],[Profit]]&gt;0,"Profit","Loss")</f>
        <v>Loss</v>
      </c>
      <c r="L1695" s="8">
        <f>SalesData[[#This Row],[Profit]]/SalesData[[#This Row],[Sales]]</f>
        <v>-7.8141348806239894E-2</v>
      </c>
      <c r="M1695" t="str">
        <f>TEXT(SalesData[[#This Row],[Order_Date]],"mmm")</f>
        <v>Jan</v>
      </c>
      <c r="N1695">
        <f>YEAR(SalesData[[#This Row],[Order_Date]])</f>
        <v>2022</v>
      </c>
    </row>
    <row r="1696" spans="1:14" x14ac:dyDescent="0.3">
      <c r="A1696" t="s">
        <v>2906</v>
      </c>
      <c r="B1696" s="1">
        <v>45113</v>
      </c>
      <c r="C1696" t="s">
        <v>113</v>
      </c>
      <c r="D1696" t="s">
        <v>40</v>
      </c>
      <c r="E1696" t="s">
        <v>13</v>
      </c>
      <c r="F1696" t="s">
        <v>14</v>
      </c>
      <c r="G1696" t="s">
        <v>1044</v>
      </c>
      <c r="H1696" s="8">
        <v>4932.41</v>
      </c>
      <c r="I1696" s="8">
        <v>55.57</v>
      </c>
      <c r="J1696" s="8">
        <v>0.06</v>
      </c>
      <c r="K1696" t="str">
        <f>IF(SalesData[[#This Row],[Profit]]&gt;0,"Profit","Loss")</f>
        <v>Profit</v>
      </c>
      <c r="L1696" s="8">
        <f>SalesData[[#This Row],[Profit]]/SalesData[[#This Row],[Sales]]</f>
        <v>1.1266297813847592E-2</v>
      </c>
      <c r="M1696" t="str">
        <f>TEXT(SalesData[[#This Row],[Order_Date]],"mmm")</f>
        <v>Jul</v>
      </c>
      <c r="N1696">
        <f>YEAR(SalesData[[#This Row],[Order_Date]])</f>
        <v>2023</v>
      </c>
    </row>
    <row r="1697" spans="1:14" x14ac:dyDescent="0.3">
      <c r="A1697" t="s">
        <v>2907</v>
      </c>
      <c r="B1697" s="1">
        <v>45114</v>
      </c>
      <c r="C1697" t="s">
        <v>1361</v>
      </c>
      <c r="D1697" t="s">
        <v>40</v>
      </c>
      <c r="E1697" t="s">
        <v>56</v>
      </c>
      <c r="F1697" t="s">
        <v>73</v>
      </c>
      <c r="G1697" t="s">
        <v>1148</v>
      </c>
      <c r="H1697" s="8">
        <v>4012.24</v>
      </c>
      <c r="I1697" s="8">
        <v>-424.15</v>
      </c>
      <c r="J1697" s="8">
        <v>0.15</v>
      </c>
      <c r="K1697" t="str">
        <f>IF(SalesData[[#This Row],[Profit]]&gt;0,"Profit","Loss")</f>
        <v>Loss</v>
      </c>
      <c r="L1697" s="8">
        <f>SalesData[[#This Row],[Profit]]/SalesData[[#This Row],[Sales]]</f>
        <v>-0.10571401511375192</v>
      </c>
      <c r="M1697" t="str">
        <f>TEXT(SalesData[[#This Row],[Order_Date]],"mmm")</f>
        <v>Jul</v>
      </c>
      <c r="N1697">
        <f>YEAR(SalesData[[#This Row],[Order_Date]])</f>
        <v>2023</v>
      </c>
    </row>
    <row r="1698" spans="1:14" x14ac:dyDescent="0.3">
      <c r="A1698" t="s">
        <v>2908</v>
      </c>
      <c r="B1698" s="1">
        <v>44634</v>
      </c>
      <c r="C1698" t="s">
        <v>459</v>
      </c>
      <c r="D1698" t="s">
        <v>12</v>
      </c>
      <c r="E1698" t="s">
        <v>56</v>
      </c>
      <c r="F1698" t="s">
        <v>73</v>
      </c>
      <c r="G1698" t="s">
        <v>1033</v>
      </c>
      <c r="H1698" s="8">
        <v>359.56</v>
      </c>
      <c r="I1698" s="8">
        <v>-27.88</v>
      </c>
      <c r="J1698" s="8">
        <v>0.23</v>
      </c>
      <c r="K1698" t="str">
        <f>IF(SalesData[[#This Row],[Profit]]&gt;0,"Profit","Loss")</f>
        <v>Loss</v>
      </c>
      <c r="L1698" s="8">
        <f>SalesData[[#This Row],[Profit]]/SalesData[[#This Row],[Sales]]</f>
        <v>-7.7539214595616857E-2</v>
      </c>
      <c r="M1698" t="str">
        <f>TEXT(SalesData[[#This Row],[Order_Date]],"mmm")</f>
        <v>Mar</v>
      </c>
      <c r="N1698">
        <f>YEAR(SalesData[[#This Row],[Order_Date]])</f>
        <v>2022</v>
      </c>
    </row>
    <row r="1699" spans="1:14" x14ac:dyDescent="0.3">
      <c r="A1699" t="s">
        <v>2909</v>
      </c>
      <c r="B1699" s="1">
        <v>44745</v>
      </c>
      <c r="C1699" t="s">
        <v>2910</v>
      </c>
      <c r="D1699" t="s">
        <v>12</v>
      </c>
      <c r="E1699" t="s">
        <v>19</v>
      </c>
      <c r="F1699" t="s">
        <v>141</v>
      </c>
      <c r="G1699" t="s">
        <v>1303</v>
      </c>
      <c r="H1699" s="8">
        <v>889.92</v>
      </c>
      <c r="I1699" s="8">
        <v>291.77999999999997</v>
      </c>
      <c r="J1699" s="8">
        <v>0.06</v>
      </c>
      <c r="K1699" t="str">
        <f>IF(SalesData[[#This Row],[Profit]]&gt;0,"Profit","Loss")</f>
        <v>Profit</v>
      </c>
      <c r="L1699" s="8">
        <f>SalesData[[#This Row],[Profit]]/SalesData[[#This Row],[Sales]]</f>
        <v>0.32787216828478966</v>
      </c>
      <c r="M1699" t="str">
        <f>TEXT(SalesData[[#This Row],[Order_Date]],"mmm")</f>
        <v>Jul</v>
      </c>
      <c r="N1699">
        <f>YEAR(SalesData[[#This Row],[Order_Date]])</f>
        <v>2022</v>
      </c>
    </row>
    <row r="1700" spans="1:14" x14ac:dyDescent="0.3">
      <c r="A1700" t="s">
        <v>2911</v>
      </c>
      <c r="B1700" s="1">
        <v>45149</v>
      </c>
      <c r="C1700" t="s">
        <v>1003</v>
      </c>
      <c r="D1700" t="s">
        <v>28</v>
      </c>
      <c r="E1700" t="s">
        <v>19</v>
      </c>
      <c r="F1700" t="s">
        <v>141</v>
      </c>
      <c r="G1700" t="s">
        <v>1877</v>
      </c>
      <c r="H1700" s="8">
        <v>685.55</v>
      </c>
      <c r="I1700" s="8">
        <v>231.5</v>
      </c>
      <c r="J1700" s="8">
        <v>0.03</v>
      </c>
      <c r="K1700" t="str">
        <f>IF(SalesData[[#This Row],[Profit]]&gt;0,"Profit","Loss")</f>
        <v>Profit</v>
      </c>
      <c r="L1700" s="8">
        <f>SalesData[[#This Row],[Profit]]/SalesData[[#This Row],[Sales]]</f>
        <v>0.33768507038144557</v>
      </c>
      <c r="M1700" t="str">
        <f>TEXT(SalesData[[#This Row],[Order_Date]],"mmm")</f>
        <v>Aug</v>
      </c>
      <c r="N1700">
        <f>YEAR(SalesData[[#This Row],[Order_Date]])</f>
        <v>2023</v>
      </c>
    </row>
    <row r="1701" spans="1:14" x14ac:dyDescent="0.3">
      <c r="A1701" t="s">
        <v>2912</v>
      </c>
      <c r="B1701" s="1">
        <v>44660</v>
      </c>
      <c r="C1701" t="s">
        <v>2219</v>
      </c>
      <c r="D1701" t="s">
        <v>40</v>
      </c>
      <c r="E1701" t="s">
        <v>19</v>
      </c>
      <c r="F1701" t="s">
        <v>29</v>
      </c>
      <c r="G1701" t="s">
        <v>1038</v>
      </c>
      <c r="H1701" s="8">
        <v>3512.43</v>
      </c>
      <c r="I1701" s="8">
        <v>-119.5</v>
      </c>
      <c r="J1701" s="8">
        <v>0.04</v>
      </c>
      <c r="K1701" t="str">
        <f>IF(SalesData[[#This Row],[Profit]]&gt;0,"Profit","Loss")</f>
        <v>Loss</v>
      </c>
      <c r="L1701" s="8">
        <f>SalesData[[#This Row],[Profit]]/SalesData[[#This Row],[Sales]]</f>
        <v>-3.402203033227709E-2</v>
      </c>
      <c r="M1701" t="str">
        <f>TEXT(SalesData[[#This Row],[Order_Date]],"mmm")</f>
        <v>Apr</v>
      </c>
      <c r="N1701">
        <f>YEAR(SalesData[[#This Row],[Order_Date]])</f>
        <v>2022</v>
      </c>
    </row>
    <row r="1702" spans="1:14" x14ac:dyDescent="0.3">
      <c r="A1702" t="s">
        <v>2913</v>
      </c>
      <c r="B1702" s="1">
        <v>44973</v>
      </c>
      <c r="C1702" t="s">
        <v>2818</v>
      </c>
      <c r="D1702" t="s">
        <v>18</v>
      </c>
      <c r="E1702" t="s">
        <v>13</v>
      </c>
      <c r="F1702" t="s">
        <v>36</v>
      </c>
      <c r="G1702" t="s">
        <v>497</v>
      </c>
      <c r="H1702" s="8">
        <v>4407.42</v>
      </c>
      <c r="I1702" s="8">
        <v>-1054.52</v>
      </c>
      <c r="J1702" s="8">
        <v>0.15</v>
      </c>
      <c r="K1702" t="str">
        <f>IF(SalesData[[#This Row],[Profit]]&gt;0,"Profit","Loss")</f>
        <v>Loss</v>
      </c>
      <c r="L1702" s="8">
        <f>SalesData[[#This Row],[Profit]]/SalesData[[#This Row],[Sales]]</f>
        <v>-0.23926015673568662</v>
      </c>
      <c r="M1702" t="str">
        <f>TEXT(SalesData[[#This Row],[Order_Date]],"mmm")</f>
        <v>Feb</v>
      </c>
      <c r="N1702">
        <f>YEAR(SalesData[[#This Row],[Order_Date]])</f>
        <v>2023</v>
      </c>
    </row>
    <row r="1703" spans="1:14" x14ac:dyDescent="0.3">
      <c r="A1703" t="s">
        <v>2914</v>
      </c>
      <c r="B1703" s="1">
        <v>44825</v>
      </c>
      <c r="C1703" t="s">
        <v>218</v>
      </c>
      <c r="D1703" t="s">
        <v>12</v>
      </c>
      <c r="E1703" t="s">
        <v>13</v>
      </c>
      <c r="F1703" t="s">
        <v>24</v>
      </c>
      <c r="G1703" t="s">
        <v>1466</v>
      </c>
      <c r="H1703" s="8">
        <v>499.69</v>
      </c>
      <c r="I1703" s="8">
        <v>-141.69999999999999</v>
      </c>
      <c r="J1703" s="8">
        <v>0.14000000000000001</v>
      </c>
      <c r="K1703" t="str">
        <f>IF(SalesData[[#This Row],[Profit]]&gt;0,"Profit","Loss")</f>
        <v>Loss</v>
      </c>
      <c r="L1703" s="8">
        <f>SalesData[[#This Row],[Profit]]/SalesData[[#This Row],[Sales]]</f>
        <v>-0.28357581700654405</v>
      </c>
      <c r="M1703" t="str">
        <f>TEXT(SalesData[[#This Row],[Order_Date]],"mmm")</f>
        <v>Sep</v>
      </c>
      <c r="N1703">
        <f>YEAR(SalesData[[#This Row],[Order_Date]])</f>
        <v>2022</v>
      </c>
    </row>
    <row r="1704" spans="1:14" x14ac:dyDescent="0.3">
      <c r="A1704" t="s">
        <v>2915</v>
      </c>
      <c r="B1704" s="1">
        <v>45103</v>
      </c>
      <c r="C1704" t="s">
        <v>2362</v>
      </c>
      <c r="D1704" t="s">
        <v>12</v>
      </c>
      <c r="E1704" t="s">
        <v>56</v>
      </c>
      <c r="F1704" t="s">
        <v>73</v>
      </c>
      <c r="G1704" t="s">
        <v>660</v>
      </c>
      <c r="H1704" s="8">
        <v>1928.42</v>
      </c>
      <c r="I1704" s="8">
        <v>632.83000000000004</v>
      </c>
      <c r="J1704" s="8">
        <v>0.05</v>
      </c>
      <c r="K1704" t="str">
        <f>IF(SalesData[[#This Row],[Profit]]&gt;0,"Profit","Loss")</f>
        <v>Profit</v>
      </c>
      <c r="L1704" s="8">
        <f>SalesData[[#This Row],[Profit]]/SalesData[[#This Row],[Sales]]</f>
        <v>0.32815984069860299</v>
      </c>
      <c r="M1704" t="str">
        <f>TEXT(SalesData[[#This Row],[Order_Date]],"mmm")</f>
        <v>Jun</v>
      </c>
      <c r="N1704">
        <f>YEAR(SalesData[[#This Row],[Order_Date]])</f>
        <v>2023</v>
      </c>
    </row>
    <row r="1705" spans="1:14" x14ac:dyDescent="0.3">
      <c r="A1705" t="s">
        <v>2916</v>
      </c>
      <c r="B1705" s="1">
        <v>44633</v>
      </c>
      <c r="C1705" t="s">
        <v>2714</v>
      </c>
      <c r="D1705" t="s">
        <v>18</v>
      </c>
      <c r="E1705" t="s">
        <v>19</v>
      </c>
      <c r="F1705" t="s">
        <v>29</v>
      </c>
      <c r="G1705" t="s">
        <v>409</v>
      </c>
      <c r="H1705" s="8">
        <v>235.5</v>
      </c>
      <c r="I1705" s="8">
        <v>-31.08</v>
      </c>
      <c r="J1705" s="8">
        <v>0.27</v>
      </c>
      <c r="K1705" t="str">
        <f>IF(SalesData[[#This Row],[Profit]]&gt;0,"Profit","Loss")</f>
        <v>Loss</v>
      </c>
      <c r="L1705" s="8">
        <f>SalesData[[#This Row],[Profit]]/SalesData[[#This Row],[Sales]]</f>
        <v>-0.13197452229299361</v>
      </c>
      <c r="M1705" t="str">
        <f>TEXT(SalesData[[#This Row],[Order_Date]],"mmm")</f>
        <v>Mar</v>
      </c>
      <c r="N1705">
        <f>YEAR(SalesData[[#This Row],[Order_Date]])</f>
        <v>2022</v>
      </c>
    </row>
    <row r="1706" spans="1:14" x14ac:dyDescent="0.3">
      <c r="A1706" t="s">
        <v>2917</v>
      </c>
      <c r="B1706" s="1">
        <v>45261</v>
      </c>
      <c r="C1706" t="s">
        <v>2918</v>
      </c>
      <c r="D1706" t="s">
        <v>40</v>
      </c>
      <c r="E1706" t="s">
        <v>13</v>
      </c>
      <c r="F1706" t="s">
        <v>36</v>
      </c>
      <c r="G1706" t="s">
        <v>279</v>
      </c>
      <c r="H1706" s="8">
        <v>990.75</v>
      </c>
      <c r="I1706" s="8">
        <v>-62.27</v>
      </c>
      <c r="J1706" s="8">
        <v>7.0000000000000007E-2</v>
      </c>
      <c r="K1706" t="str">
        <f>IF(SalesData[[#This Row],[Profit]]&gt;0,"Profit","Loss")</f>
        <v>Loss</v>
      </c>
      <c r="L1706" s="8">
        <f>SalesData[[#This Row],[Profit]]/SalesData[[#This Row],[Sales]]</f>
        <v>-6.285137522079233E-2</v>
      </c>
      <c r="M1706" t="str">
        <f>TEXT(SalesData[[#This Row],[Order_Date]],"mmm")</f>
        <v>Dec</v>
      </c>
      <c r="N1706">
        <f>YEAR(SalesData[[#This Row],[Order_Date]])</f>
        <v>2023</v>
      </c>
    </row>
    <row r="1707" spans="1:14" x14ac:dyDescent="0.3">
      <c r="A1707" t="s">
        <v>2919</v>
      </c>
      <c r="B1707" s="1">
        <v>44714</v>
      </c>
      <c r="C1707" t="s">
        <v>2078</v>
      </c>
      <c r="D1707" t="s">
        <v>12</v>
      </c>
      <c r="E1707" t="s">
        <v>56</v>
      </c>
      <c r="F1707" t="s">
        <v>95</v>
      </c>
      <c r="G1707" t="s">
        <v>325</v>
      </c>
      <c r="H1707" s="8">
        <v>3561.2</v>
      </c>
      <c r="I1707" s="8">
        <v>-1258.9000000000001</v>
      </c>
      <c r="J1707" s="8">
        <v>0.26</v>
      </c>
      <c r="K1707" t="str">
        <f>IF(SalesData[[#This Row],[Profit]]&gt;0,"Profit","Loss")</f>
        <v>Loss</v>
      </c>
      <c r="L1707" s="8">
        <f>SalesData[[#This Row],[Profit]]/SalesData[[#This Row],[Sales]]</f>
        <v>-0.3535044367067281</v>
      </c>
      <c r="M1707" t="str">
        <f>TEXT(SalesData[[#This Row],[Order_Date]],"mmm")</f>
        <v>Jun</v>
      </c>
      <c r="N1707">
        <f>YEAR(SalesData[[#This Row],[Order_Date]])</f>
        <v>2022</v>
      </c>
    </row>
    <row r="1708" spans="1:14" x14ac:dyDescent="0.3">
      <c r="A1708" t="s">
        <v>2920</v>
      </c>
      <c r="B1708" s="1">
        <v>44881</v>
      </c>
      <c r="C1708" t="s">
        <v>560</v>
      </c>
      <c r="D1708" t="s">
        <v>12</v>
      </c>
      <c r="E1708" t="s">
        <v>56</v>
      </c>
      <c r="F1708" t="s">
        <v>73</v>
      </c>
      <c r="G1708" t="s">
        <v>1712</v>
      </c>
      <c r="H1708" s="8">
        <v>4452.34</v>
      </c>
      <c r="I1708" s="8">
        <v>-1637.7</v>
      </c>
      <c r="J1708" s="8">
        <v>0.24</v>
      </c>
      <c r="K1708" t="str">
        <f>IF(SalesData[[#This Row],[Profit]]&gt;0,"Profit","Loss")</f>
        <v>Loss</v>
      </c>
      <c r="L1708" s="8">
        <f>SalesData[[#This Row],[Profit]]/SalesData[[#This Row],[Sales]]</f>
        <v>-0.36782905168967328</v>
      </c>
      <c r="M1708" t="str">
        <f>TEXT(SalesData[[#This Row],[Order_Date]],"mmm")</f>
        <v>Nov</v>
      </c>
      <c r="N1708">
        <f>YEAR(SalesData[[#This Row],[Order_Date]])</f>
        <v>2022</v>
      </c>
    </row>
    <row r="1709" spans="1:14" x14ac:dyDescent="0.3">
      <c r="A1709" t="s">
        <v>2921</v>
      </c>
      <c r="B1709" s="1">
        <v>44759</v>
      </c>
      <c r="C1709" t="s">
        <v>522</v>
      </c>
      <c r="D1709" t="s">
        <v>18</v>
      </c>
      <c r="E1709" t="s">
        <v>13</v>
      </c>
      <c r="F1709" t="s">
        <v>14</v>
      </c>
      <c r="G1709" t="s">
        <v>600</v>
      </c>
      <c r="H1709" s="8">
        <v>2991.52</v>
      </c>
      <c r="I1709" s="8">
        <v>-568.89</v>
      </c>
      <c r="J1709" s="8">
        <v>0.05</v>
      </c>
      <c r="K1709" t="str">
        <f>IF(SalesData[[#This Row],[Profit]]&gt;0,"Profit","Loss")</f>
        <v>Loss</v>
      </c>
      <c r="L1709" s="8">
        <f>SalesData[[#This Row],[Profit]]/SalesData[[#This Row],[Sales]]</f>
        <v>-0.19016754024709845</v>
      </c>
      <c r="M1709" t="str">
        <f>TEXT(SalesData[[#This Row],[Order_Date]],"mmm")</f>
        <v>Jul</v>
      </c>
      <c r="N1709">
        <f>YEAR(SalesData[[#This Row],[Order_Date]])</f>
        <v>2022</v>
      </c>
    </row>
    <row r="1710" spans="1:14" x14ac:dyDescent="0.3">
      <c r="A1710" t="s">
        <v>2922</v>
      </c>
      <c r="B1710" s="1">
        <v>45020</v>
      </c>
      <c r="C1710" t="s">
        <v>1757</v>
      </c>
      <c r="D1710" t="s">
        <v>12</v>
      </c>
      <c r="E1710" t="s">
        <v>19</v>
      </c>
      <c r="F1710" t="s">
        <v>29</v>
      </c>
      <c r="G1710" t="s">
        <v>2017</v>
      </c>
      <c r="H1710" s="8">
        <v>4650.17</v>
      </c>
      <c r="I1710" s="8">
        <v>-589.14</v>
      </c>
      <c r="J1710" s="8">
        <v>0.16</v>
      </c>
      <c r="K1710" t="str">
        <f>IF(SalesData[[#This Row],[Profit]]&gt;0,"Profit","Loss")</f>
        <v>Loss</v>
      </c>
      <c r="L1710" s="8">
        <f>SalesData[[#This Row],[Profit]]/SalesData[[#This Row],[Sales]]</f>
        <v>-0.12669214243780336</v>
      </c>
      <c r="M1710" t="str">
        <f>TEXT(SalesData[[#This Row],[Order_Date]],"mmm")</f>
        <v>Apr</v>
      </c>
      <c r="N1710">
        <f>YEAR(SalesData[[#This Row],[Order_Date]])</f>
        <v>2023</v>
      </c>
    </row>
    <row r="1711" spans="1:14" x14ac:dyDescent="0.3">
      <c r="A1711" t="s">
        <v>2923</v>
      </c>
      <c r="B1711" s="1">
        <v>44975</v>
      </c>
      <c r="C1711" t="s">
        <v>2924</v>
      </c>
      <c r="D1711" t="s">
        <v>40</v>
      </c>
      <c r="E1711" t="s">
        <v>56</v>
      </c>
      <c r="F1711" t="s">
        <v>95</v>
      </c>
      <c r="G1711" t="s">
        <v>1386</v>
      </c>
      <c r="H1711" s="8">
        <v>792.77</v>
      </c>
      <c r="I1711" s="8">
        <v>-155.02000000000001</v>
      </c>
      <c r="J1711" s="8">
        <v>0.28999999999999998</v>
      </c>
      <c r="K1711" t="str">
        <f>IF(SalesData[[#This Row],[Profit]]&gt;0,"Profit","Loss")</f>
        <v>Loss</v>
      </c>
      <c r="L1711" s="8">
        <f>SalesData[[#This Row],[Profit]]/SalesData[[#This Row],[Sales]]</f>
        <v>-0.19554221274770742</v>
      </c>
      <c r="M1711" t="str">
        <f>TEXT(SalesData[[#This Row],[Order_Date]],"mmm")</f>
        <v>Feb</v>
      </c>
      <c r="N1711">
        <f>YEAR(SalesData[[#This Row],[Order_Date]])</f>
        <v>2023</v>
      </c>
    </row>
    <row r="1712" spans="1:14" x14ac:dyDescent="0.3">
      <c r="A1712" t="s">
        <v>2925</v>
      </c>
      <c r="B1712" s="1">
        <v>45094</v>
      </c>
      <c r="C1712" t="s">
        <v>449</v>
      </c>
      <c r="D1712" t="s">
        <v>40</v>
      </c>
      <c r="E1712" t="s">
        <v>19</v>
      </c>
      <c r="F1712" t="s">
        <v>141</v>
      </c>
      <c r="G1712" t="s">
        <v>1094</v>
      </c>
      <c r="H1712" s="8">
        <v>3567.42</v>
      </c>
      <c r="I1712" s="8">
        <v>-1393.9</v>
      </c>
      <c r="J1712" s="8">
        <v>0.25</v>
      </c>
      <c r="K1712" t="str">
        <f>IF(SalesData[[#This Row],[Profit]]&gt;0,"Profit","Loss")</f>
        <v>Loss</v>
      </c>
      <c r="L1712" s="8">
        <f>SalesData[[#This Row],[Profit]]/SalesData[[#This Row],[Sales]]</f>
        <v>-0.39073055597602752</v>
      </c>
      <c r="M1712" t="str">
        <f>TEXT(SalesData[[#This Row],[Order_Date]],"mmm")</f>
        <v>Jun</v>
      </c>
      <c r="N1712">
        <f>YEAR(SalesData[[#This Row],[Order_Date]])</f>
        <v>2023</v>
      </c>
    </row>
    <row r="1713" spans="1:14" x14ac:dyDescent="0.3">
      <c r="A1713" t="s">
        <v>2926</v>
      </c>
      <c r="B1713" s="1">
        <v>45121</v>
      </c>
      <c r="C1713" t="s">
        <v>569</v>
      </c>
      <c r="D1713" t="s">
        <v>18</v>
      </c>
      <c r="E1713" t="s">
        <v>13</v>
      </c>
      <c r="F1713" t="s">
        <v>24</v>
      </c>
      <c r="G1713" t="s">
        <v>1967</v>
      </c>
      <c r="H1713" s="8">
        <v>2917.93</v>
      </c>
      <c r="I1713" s="8">
        <v>-360.33</v>
      </c>
      <c r="J1713" s="8">
        <v>0.16</v>
      </c>
      <c r="K1713" t="str">
        <f>IF(SalesData[[#This Row],[Profit]]&gt;0,"Profit","Loss")</f>
        <v>Loss</v>
      </c>
      <c r="L1713" s="8">
        <f>SalesData[[#This Row],[Profit]]/SalesData[[#This Row],[Sales]]</f>
        <v>-0.12348822624257608</v>
      </c>
      <c r="M1713" t="str">
        <f>TEXT(SalesData[[#This Row],[Order_Date]],"mmm")</f>
        <v>Jul</v>
      </c>
      <c r="N1713">
        <f>YEAR(SalesData[[#This Row],[Order_Date]])</f>
        <v>2023</v>
      </c>
    </row>
    <row r="1714" spans="1:14" x14ac:dyDescent="0.3">
      <c r="A1714" t="s">
        <v>2927</v>
      </c>
      <c r="B1714" s="1">
        <v>44998</v>
      </c>
      <c r="C1714" t="s">
        <v>2928</v>
      </c>
      <c r="D1714" t="s">
        <v>28</v>
      </c>
      <c r="E1714" t="s">
        <v>19</v>
      </c>
      <c r="F1714" t="s">
        <v>20</v>
      </c>
      <c r="G1714" t="s">
        <v>1553</v>
      </c>
      <c r="H1714" s="8">
        <v>2294.73</v>
      </c>
      <c r="I1714" s="8">
        <v>703.45</v>
      </c>
      <c r="J1714" s="8">
        <v>0.06</v>
      </c>
      <c r="K1714" t="str">
        <f>IF(SalesData[[#This Row],[Profit]]&gt;0,"Profit","Loss")</f>
        <v>Profit</v>
      </c>
      <c r="L1714" s="8">
        <f>SalesData[[#This Row],[Profit]]/SalesData[[#This Row],[Sales]]</f>
        <v>0.30655022595250858</v>
      </c>
      <c r="M1714" t="str">
        <f>TEXT(SalesData[[#This Row],[Order_Date]],"mmm")</f>
        <v>Mar</v>
      </c>
      <c r="N1714">
        <f>YEAR(SalesData[[#This Row],[Order_Date]])</f>
        <v>2023</v>
      </c>
    </row>
    <row r="1715" spans="1:14" x14ac:dyDescent="0.3">
      <c r="A1715" t="s">
        <v>2929</v>
      </c>
      <c r="B1715" s="1">
        <v>45186</v>
      </c>
      <c r="C1715" t="s">
        <v>821</v>
      </c>
      <c r="D1715" t="s">
        <v>40</v>
      </c>
      <c r="E1715" t="s">
        <v>56</v>
      </c>
      <c r="F1715" t="s">
        <v>95</v>
      </c>
      <c r="G1715" t="s">
        <v>1875</v>
      </c>
      <c r="H1715" s="8">
        <v>216.79</v>
      </c>
      <c r="I1715" s="8">
        <v>23.14</v>
      </c>
      <c r="J1715" s="8">
        <v>0.03</v>
      </c>
      <c r="K1715" t="str">
        <f>IF(SalesData[[#This Row],[Profit]]&gt;0,"Profit","Loss")</f>
        <v>Profit</v>
      </c>
      <c r="L1715" s="8">
        <f>SalesData[[#This Row],[Profit]]/SalesData[[#This Row],[Sales]]</f>
        <v>0.10673924073988653</v>
      </c>
      <c r="M1715" t="str">
        <f>TEXT(SalesData[[#This Row],[Order_Date]],"mmm")</f>
        <v>Sep</v>
      </c>
      <c r="N1715">
        <f>YEAR(SalesData[[#This Row],[Order_Date]])</f>
        <v>2023</v>
      </c>
    </row>
    <row r="1716" spans="1:14" x14ac:dyDescent="0.3">
      <c r="A1716" t="s">
        <v>2930</v>
      </c>
      <c r="B1716" s="1">
        <v>44653</v>
      </c>
      <c r="C1716" t="s">
        <v>76</v>
      </c>
      <c r="D1716" t="s">
        <v>18</v>
      </c>
      <c r="E1716" t="s">
        <v>19</v>
      </c>
      <c r="F1716" t="s">
        <v>141</v>
      </c>
      <c r="G1716" t="s">
        <v>632</v>
      </c>
      <c r="H1716" s="8">
        <v>3524.62</v>
      </c>
      <c r="I1716" s="8">
        <v>-1180.82</v>
      </c>
      <c r="J1716" s="8">
        <v>0.16</v>
      </c>
      <c r="K1716" t="str">
        <f>IF(SalesData[[#This Row],[Profit]]&gt;0,"Profit","Loss")</f>
        <v>Loss</v>
      </c>
      <c r="L1716" s="8">
        <f>SalesData[[#This Row],[Profit]]/SalesData[[#This Row],[Sales]]</f>
        <v>-0.33502051284961215</v>
      </c>
      <c r="M1716" t="str">
        <f>TEXT(SalesData[[#This Row],[Order_Date]],"mmm")</f>
        <v>Apr</v>
      </c>
      <c r="N1716">
        <f>YEAR(SalesData[[#This Row],[Order_Date]])</f>
        <v>2022</v>
      </c>
    </row>
    <row r="1717" spans="1:14" x14ac:dyDescent="0.3">
      <c r="A1717" t="s">
        <v>2931</v>
      </c>
      <c r="B1717" s="1">
        <v>44956</v>
      </c>
      <c r="C1717" t="s">
        <v>1422</v>
      </c>
      <c r="D1717" t="s">
        <v>40</v>
      </c>
      <c r="E1717" t="s">
        <v>19</v>
      </c>
      <c r="F1717" t="s">
        <v>141</v>
      </c>
      <c r="G1717" t="s">
        <v>1954</v>
      </c>
      <c r="H1717" s="8">
        <v>334.98</v>
      </c>
      <c r="I1717" s="8">
        <v>123.96</v>
      </c>
      <c r="J1717" s="8">
        <v>0.01</v>
      </c>
      <c r="K1717" t="str">
        <f>IF(SalesData[[#This Row],[Profit]]&gt;0,"Profit","Loss")</f>
        <v>Profit</v>
      </c>
      <c r="L1717" s="8">
        <f>SalesData[[#This Row],[Profit]]/SalesData[[#This Row],[Sales]]</f>
        <v>0.3700519433996059</v>
      </c>
      <c r="M1717" t="str">
        <f>TEXT(SalesData[[#This Row],[Order_Date]],"mmm")</f>
        <v>Jan</v>
      </c>
      <c r="N1717">
        <f>YEAR(SalesData[[#This Row],[Order_Date]])</f>
        <v>2023</v>
      </c>
    </row>
    <row r="1718" spans="1:14" x14ac:dyDescent="0.3">
      <c r="A1718" t="s">
        <v>2932</v>
      </c>
      <c r="B1718" s="1">
        <v>45082</v>
      </c>
      <c r="C1718" t="s">
        <v>563</v>
      </c>
      <c r="D1718" t="s">
        <v>18</v>
      </c>
      <c r="E1718" t="s">
        <v>13</v>
      </c>
      <c r="F1718" t="s">
        <v>14</v>
      </c>
      <c r="G1718" t="s">
        <v>1615</v>
      </c>
      <c r="H1718" s="8">
        <v>4136.3599999999997</v>
      </c>
      <c r="I1718" s="8">
        <v>-619.29</v>
      </c>
      <c r="J1718" s="8">
        <v>0.21</v>
      </c>
      <c r="K1718" t="str">
        <f>IF(SalesData[[#This Row],[Profit]]&gt;0,"Profit","Loss")</f>
        <v>Loss</v>
      </c>
      <c r="L1718" s="8">
        <f>SalesData[[#This Row],[Profit]]/SalesData[[#This Row],[Sales]]</f>
        <v>-0.14971859315920277</v>
      </c>
      <c r="M1718" t="str">
        <f>TEXT(SalesData[[#This Row],[Order_Date]],"mmm")</f>
        <v>Jun</v>
      </c>
      <c r="N1718">
        <f>YEAR(SalesData[[#This Row],[Order_Date]])</f>
        <v>2023</v>
      </c>
    </row>
    <row r="1719" spans="1:14" x14ac:dyDescent="0.3">
      <c r="A1719" t="s">
        <v>2933</v>
      </c>
      <c r="B1719" s="1">
        <v>44752</v>
      </c>
      <c r="C1719" t="s">
        <v>267</v>
      </c>
      <c r="D1719" t="s">
        <v>40</v>
      </c>
      <c r="E1719" t="s">
        <v>19</v>
      </c>
      <c r="F1719" t="s">
        <v>141</v>
      </c>
      <c r="G1719" t="s">
        <v>2559</v>
      </c>
      <c r="H1719" s="8">
        <v>3526</v>
      </c>
      <c r="I1719" s="8">
        <v>-1448.51</v>
      </c>
      <c r="J1719" s="8">
        <v>0.27</v>
      </c>
      <c r="K1719" t="str">
        <f>IF(SalesData[[#This Row],[Profit]]&gt;0,"Profit","Loss")</f>
        <v>Loss</v>
      </c>
      <c r="L1719" s="8">
        <f>SalesData[[#This Row],[Profit]]/SalesData[[#This Row],[Sales]]</f>
        <v>-0.41080828133862735</v>
      </c>
      <c r="M1719" t="str">
        <f>TEXT(SalesData[[#This Row],[Order_Date]],"mmm")</f>
        <v>Jul</v>
      </c>
      <c r="N1719">
        <f>YEAR(SalesData[[#This Row],[Order_Date]])</f>
        <v>2022</v>
      </c>
    </row>
    <row r="1720" spans="1:14" x14ac:dyDescent="0.3">
      <c r="A1720" t="s">
        <v>2934</v>
      </c>
      <c r="B1720" s="1">
        <v>44608</v>
      </c>
      <c r="C1720" t="s">
        <v>1429</v>
      </c>
      <c r="D1720" t="s">
        <v>18</v>
      </c>
      <c r="E1720" t="s">
        <v>13</v>
      </c>
      <c r="F1720" t="s">
        <v>14</v>
      </c>
      <c r="G1720" t="s">
        <v>603</v>
      </c>
      <c r="H1720" s="8">
        <v>2526.85</v>
      </c>
      <c r="I1720" s="8">
        <v>-5.53</v>
      </c>
      <c r="J1720" s="8">
        <v>0.17</v>
      </c>
      <c r="K1720" t="str">
        <f>IF(SalesData[[#This Row],[Profit]]&gt;0,"Profit","Loss")</f>
        <v>Loss</v>
      </c>
      <c r="L1720" s="8">
        <f>SalesData[[#This Row],[Profit]]/SalesData[[#This Row],[Sales]]</f>
        <v>-2.1884955577101926E-3</v>
      </c>
      <c r="M1720" t="str">
        <f>TEXT(SalesData[[#This Row],[Order_Date]],"mmm")</f>
        <v>Feb</v>
      </c>
      <c r="N1720">
        <f>YEAR(SalesData[[#This Row],[Order_Date]])</f>
        <v>2022</v>
      </c>
    </row>
    <row r="1721" spans="1:14" x14ac:dyDescent="0.3">
      <c r="A1721" t="s">
        <v>2935</v>
      </c>
      <c r="B1721" s="1">
        <v>44900</v>
      </c>
      <c r="C1721" t="s">
        <v>2047</v>
      </c>
      <c r="D1721" t="s">
        <v>28</v>
      </c>
      <c r="E1721" t="s">
        <v>13</v>
      </c>
      <c r="F1721" t="s">
        <v>14</v>
      </c>
      <c r="G1721" t="s">
        <v>689</v>
      </c>
      <c r="H1721" s="8">
        <v>4629.13</v>
      </c>
      <c r="I1721" s="8">
        <v>-258.16000000000003</v>
      </c>
      <c r="J1721" s="8">
        <v>0</v>
      </c>
      <c r="K1721" t="str">
        <f>IF(SalesData[[#This Row],[Profit]]&gt;0,"Profit","Loss")</f>
        <v>Loss</v>
      </c>
      <c r="L1721" s="8">
        <f>SalesData[[#This Row],[Profit]]/SalesData[[#This Row],[Sales]]</f>
        <v>-5.5768578544996582E-2</v>
      </c>
      <c r="M1721" t="str">
        <f>TEXT(SalesData[[#This Row],[Order_Date]],"mmm")</f>
        <v>Dec</v>
      </c>
      <c r="N1721">
        <f>YEAR(SalesData[[#This Row],[Order_Date]])</f>
        <v>2022</v>
      </c>
    </row>
    <row r="1722" spans="1:14" x14ac:dyDescent="0.3">
      <c r="A1722" t="s">
        <v>2936</v>
      </c>
      <c r="B1722" s="1">
        <v>45175</v>
      </c>
      <c r="C1722" t="s">
        <v>1284</v>
      </c>
      <c r="D1722" t="s">
        <v>40</v>
      </c>
      <c r="E1722" t="s">
        <v>56</v>
      </c>
      <c r="F1722" t="s">
        <v>95</v>
      </c>
      <c r="G1722" t="s">
        <v>2937</v>
      </c>
      <c r="H1722" s="8">
        <v>4596.16</v>
      </c>
      <c r="I1722" s="8">
        <v>-1040.77</v>
      </c>
      <c r="J1722" s="8">
        <v>0.12</v>
      </c>
      <c r="K1722" t="str">
        <f>IF(SalesData[[#This Row],[Profit]]&gt;0,"Profit","Loss")</f>
        <v>Loss</v>
      </c>
      <c r="L1722" s="8">
        <f>SalesData[[#This Row],[Profit]]/SalesData[[#This Row],[Sales]]</f>
        <v>-0.22644337882058066</v>
      </c>
      <c r="M1722" t="str">
        <f>TEXT(SalesData[[#This Row],[Order_Date]],"mmm")</f>
        <v>Sep</v>
      </c>
      <c r="N1722">
        <f>YEAR(SalesData[[#This Row],[Order_Date]])</f>
        <v>2023</v>
      </c>
    </row>
    <row r="1723" spans="1:14" x14ac:dyDescent="0.3">
      <c r="A1723" t="s">
        <v>2938</v>
      </c>
      <c r="B1723" s="1">
        <v>44771</v>
      </c>
      <c r="C1723" t="s">
        <v>746</v>
      </c>
      <c r="D1723" t="s">
        <v>40</v>
      </c>
      <c r="E1723" t="s">
        <v>19</v>
      </c>
      <c r="F1723" t="s">
        <v>141</v>
      </c>
      <c r="G1723" t="s">
        <v>317</v>
      </c>
      <c r="H1723" s="8">
        <v>2895.64</v>
      </c>
      <c r="I1723" s="8">
        <v>-244.06</v>
      </c>
      <c r="J1723" s="8">
        <v>0.26</v>
      </c>
      <c r="K1723" t="str">
        <f>IF(SalesData[[#This Row],[Profit]]&gt;0,"Profit","Loss")</f>
        <v>Loss</v>
      </c>
      <c r="L1723" s="8">
        <f>SalesData[[#This Row],[Profit]]/SalesData[[#This Row],[Sales]]</f>
        <v>-8.4285339337762985E-2</v>
      </c>
      <c r="M1723" t="str">
        <f>TEXT(SalesData[[#This Row],[Order_Date]],"mmm")</f>
        <v>Jul</v>
      </c>
      <c r="N1723">
        <f>YEAR(SalesData[[#This Row],[Order_Date]])</f>
        <v>2022</v>
      </c>
    </row>
    <row r="1724" spans="1:14" x14ac:dyDescent="0.3">
      <c r="A1724" t="s">
        <v>2939</v>
      </c>
      <c r="B1724" s="1">
        <v>44756</v>
      </c>
      <c r="C1724" t="s">
        <v>2940</v>
      </c>
      <c r="D1724" t="s">
        <v>28</v>
      </c>
      <c r="E1724" t="s">
        <v>13</v>
      </c>
      <c r="F1724" t="s">
        <v>14</v>
      </c>
      <c r="G1724" t="s">
        <v>1882</v>
      </c>
      <c r="H1724" s="8">
        <v>2137.85</v>
      </c>
      <c r="I1724" s="8">
        <v>-327.41000000000003</v>
      </c>
      <c r="J1724" s="8">
        <v>0.12</v>
      </c>
      <c r="K1724" t="str">
        <f>IF(SalesData[[#This Row],[Profit]]&gt;0,"Profit","Loss")</f>
        <v>Loss</v>
      </c>
      <c r="L1724" s="8">
        <f>SalesData[[#This Row],[Profit]]/SalesData[[#This Row],[Sales]]</f>
        <v>-0.15314919194517859</v>
      </c>
      <c r="M1724" t="str">
        <f>TEXT(SalesData[[#This Row],[Order_Date]],"mmm")</f>
        <v>Jul</v>
      </c>
      <c r="N1724">
        <f>YEAR(SalesData[[#This Row],[Order_Date]])</f>
        <v>2022</v>
      </c>
    </row>
    <row r="1725" spans="1:14" x14ac:dyDescent="0.3">
      <c r="A1725" t="s">
        <v>2941</v>
      </c>
      <c r="B1725" s="1">
        <v>45021</v>
      </c>
      <c r="C1725" t="s">
        <v>2055</v>
      </c>
      <c r="D1725" t="s">
        <v>18</v>
      </c>
      <c r="E1725" t="s">
        <v>13</v>
      </c>
      <c r="F1725" t="s">
        <v>14</v>
      </c>
      <c r="G1725" t="s">
        <v>2176</v>
      </c>
      <c r="H1725" s="8">
        <v>3170.03</v>
      </c>
      <c r="I1725" s="8">
        <v>309.39999999999998</v>
      </c>
      <c r="J1725" s="8">
        <v>0.12</v>
      </c>
      <c r="K1725" t="str">
        <f>IF(SalesData[[#This Row],[Profit]]&gt;0,"Profit","Loss")</f>
        <v>Profit</v>
      </c>
      <c r="L1725" s="8">
        <f>SalesData[[#This Row],[Profit]]/SalesData[[#This Row],[Sales]]</f>
        <v>9.7601599984858178E-2</v>
      </c>
      <c r="M1725" t="str">
        <f>TEXT(SalesData[[#This Row],[Order_Date]],"mmm")</f>
        <v>Apr</v>
      </c>
      <c r="N1725">
        <f>YEAR(SalesData[[#This Row],[Order_Date]])</f>
        <v>2023</v>
      </c>
    </row>
    <row r="1726" spans="1:14" x14ac:dyDescent="0.3">
      <c r="A1726" t="s">
        <v>2942</v>
      </c>
      <c r="B1726" s="1">
        <v>44749</v>
      </c>
      <c r="C1726" t="s">
        <v>732</v>
      </c>
      <c r="D1726" t="s">
        <v>40</v>
      </c>
      <c r="E1726" t="s">
        <v>13</v>
      </c>
      <c r="F1726" t="s">
        <v>14</v>
      </c>
      <c r="G1726" t="s">
        <v>1317</v>
      </c>
      <c r="H1726" s="8">
        <v>664.86</v>
      </c>
      <c r="I1726" s="8">
        <v>-117.6</v>
      </c>
      <c r="J1726" s="8">
        <v>0.27</v>
      </c>
      <c r="K1726" t="str">
        <f>IF(SalesData[[#This Row],[Profit]]&gt;0,"Profit","Loss")</f>
        <v>Loss</v>
      </c>
      <c r="L1726" s="8">
        <f>SalesData[[#This Row],[Profit]]/SalesData[[#This Row],[Sales]]</f>
        <v>-0.17687934301958305</v>
      </c>
      <c r="M1726" t="str">
        <f>TEXT(SalesData[[#This Row],[Order_Date]],"mmm")</f>
        <v>Jul</v>
      </c>
      <c r="N1726">
        <f>YEAR(SalesData[[#This Row],[Order_Date]])</f>
        <v>2022</v>
      </c>
    </row>
    <row r="1727" spans="1:14" x14ac:dyDescent="0.3">
      <c r="A1727" t="s">
        <v>2943</v>
      </c>
      <c r="B1727" s="1">
        <v>44853</v>
      </c>
      <c r="C1727" t="s">
        <v>732</v>
      </c>
      <c r="D1727" t="s">
        <v>40</v>
      </c>
      <c r="E1727" t="s">
        <v>13</v>
      </c>
      <c r="F1727" t="s">
        <v>36</v>
      </c>
      <c r="G1727" t="s">
        <v>190</v>
      </c>
      <c r="H1727" s="8">
        <v>4781.05</v>
      </c>
      <c r="I1727" s="8">
        <v>33.520000000000003</v>
      </c>
      <c r="J1727" s="8">
        <v>0.21</v>
      </c>
      <c r="K1727" t="str">
        <f>IF(SalesData[[#This Row],[Profit]]&gt;0,"Profit","Loss")</f>
        <v>Profit</v>
      </c>
      <c r="L1727" s="8">
        <f>SalesData[[#This Row],[Profit]]/SalesData[[#This Row],[Sales]]</f>
        <v>7.011012225347989E-3</v>
      </c>
      <c r="M1727" t="str">
        <f>TEXT(SalesData[[#This Row],[Order_Date]],"mmm")</f>
        <v>Oct</v>
      </c>
      <c r="N1727">
        <f>YEAR(SalesData[[#This Row],[Order_Date]])</f>
        <v>2022</v>
      </c>
    </row>
    <row r="1728" spans="1:14" x14ac:dyDescent="0.3">
      <c r="A1728" t="s">
        <v>2944</v>
      </c>
      <c r="B1728" s="1">
        <v>44768</v>
      </c>
      <c r="C1728" t="s">
        <v>613</v>
      </c>
      <c r="D1728" t="s">
        <v>28</v>
      </c>
      <c r="E1728" t="s">
        <v>13</v>
      </c>
      <c r="F1728" t="s">
        <v>36</v>
      </c>
      <c r="G1728" t="s">
        <v>991</v>
      </c>
      <c r="H1728" s="8">
        <v>631.61</v>
      </c>
      <c r="I1728" s="8">
        <v>160.26</v>
      </c>
      <c r="J1728" s="8">
        <v>0.04</v>
      </c>
      <c r="K1728" t="str">
        <f>IF(SalesData[[#This Row],[Profit]]&gt;0,"Profit","Loss")</f>
        <v>Profit</v>
      </c>
      <c r="L1728" s="8">
        <f>SalesData[[#This Row],[Profit]]/SalesData[[#This Row],[Sales]]</f>
        <v>0.25373252481752978</v>
      </c>
      <c r="M1728" t="str">
        <f>TEXT(SalesData[[#This Row],[Order_Date]],"mmm")</f>
        <v>Jul</v>
      </c>
      <c r="N1728">
        <f>YEAR(SalesData[[#This Row],[Order_Date]])</f>
        <v>2022</v>
      </c>
    </row>
    <row r="1729" spans="1:14" x14ac:dyDescent="0.3">
      <c r="A1729" t="s">
        <v>2945</v>
      </c>
      <c r="B1729" s="1">
        <v>44796</v>
      </c>
      <c r="C1729" t="s">
        <v>702</v>
      </c>
      <c r="D1729" t="s">
        <v>28</v>
      </c>
      <c r="E1729" t="s">
        <v>56</v>
      </c>
      <c r="F1729" t="s">
        <v>73</v>
      </c>
      <c r="G1729" t="s">
        <v>714</v>
      </c>
      <c r="H1729" s="8">
        <v>4978.24</v>
      </c>
      <c r="I1729" s="8">
        <v>-1366</v>
      </c>
      <c r="J1729" s="8">
        <v>0.14000000000000001</v>
      </c>
      <c r="K1729" t="str">
        <f>IF(SalesData[[#This Row],[Profit]]&gt;0,"Profit","Loss")</f>
        <v>Loss</v>
      </c>
      <c r="L1729" s="8">
        <f>SalesData[[#This Row],[Profit]]/SalesData[[#This Row],[Sales]]</f>
        <v>-0.27439416339911293</v>
      </c>
      <c r="M1729" t="str">
        <f>TEXT(SalesData[[#This Row],[Order_Date]],"mmm")</f>
        <v>Aug</v>
      </c>
      <c r="N1729">
        <f>YEAR(SalesData[[#This Row],[Order_Date]])</f>
        <v>2022</v>
      </c>
    </row>
    <row r="1730" spans="1:14" x14ac:dyDescent="0.3">
      <c r="A1730" t="s">
        <v>2946</v>
      </c>
      <c r="B1730" s="1">
        <v>45010</v>
      </c>
      <c r="C1730" t="s">
        <v>1953</v>
      </c>
      <c r="D1730" t="s">
        <v>18</v>
      </c>
      <c r="E1730" t="s">
        <v>56</v>
      </c>
      <c r="F1730" t="s">
        <v>73</v>
      </c>
      <c r="G1730" t="s">
        <v>377</v>
      </c>
      <c r="H1730" s="8">
        <v>4051.4</v>
      </c>
      <c r="I1730" s="8">
        <v>401.87</v>
      </c>
      <c r="J1730" s="8">
        <v>7.0000000000000007E-2</v>
      </c>
      <c r="K1730" t="str">
        <f>IF(SalesData[[#This Row],[Profit]]&gt;0,"Profit","Loss")</f>
        <v>Profit</v>
      </c>
      <c r="L1730" s="8">
        <f>SalesData[[#This Row],[Profit]]/SalesData[[#This Row],[Sales]]</f>
        <v>9.9192871599940766E-2</v>
      </c>
      <c r="M1730" t="str">
        <f>TEXT(SalesData[[#This Row],[Order_Date]],"mmm")</f>
        <v>Mar</v>
      </c>
      <c r="N1730">
        <f>YEAR(SalesData[[#This Row],[Order_Date]])</f>
        <v>2023</v>
      </c>
    </row>
    <row r="1731" spans="1:14" x14ac:dyDescent="0.3">
      <c r="A1731" t="s">
        <v>2947</v>
      </c>
      <c r="B1731" s="1">
        <v>44777</v>
      </c>
      <c r="C1731" t="s">
        <v>839</v>
      </c>
      <c r="D1731" t="s">
        <v>40</v>
      </c>
      <c r="E1731" t="s">
        <v>13</v>
      </c>
      <c r="F1731" t="s">
        <v>14</v>
      </c>
      <c r="G1731" t="s">
        <v>981</v>
      </c>
      <c r="H1731" s="8">
        <v>3348.1</v>
      </c>
      <c r="I1731" s="8">
        <v>785.81</v>
      </c>
      <c r="J1731" s="8">
        <v>0.15</v>
      </c>
      <c r="K1731" t="str">
        <f>IF(SalesData[[#This Row],[Profit]]&gt;0,"Profit","Loss")</f>
        <v>Profit</v>
      </c>
      <c r="L1731" s="8">
        <f>SalesData[[#This Row],[Profit]]/SalesData[[#This Row],[Sales]]</f>
        <v>0.23470326453809623</v>
      </c>
      <c r="M1731" t="str">
        <f>TEXT(SalesData[[#This Row],[Order_Date]],"mmm")</f>
        <v>Aug</v>
      </c>
      <c r="N1731">
        <f>YEAR(SalesData[[#This Row],[Order_Date]])</f>
        <v>2022</v>
      </c>
    </row>
    <row r="1732" spans="1:14" x14ac:dyDescent="0.3">
      <c r="A1732" t="s">
        <v>2948</v>
      </c>
      <c r="B1732" s="1">
        <v>44741</v>
      </c>
      <c r="C1732" t="s">
        <v>456</v>
      </c>
      <c r="D1732" t="s">
        <v>28</v>
      </c>
      <c r="E1732" t="s">
        <v>13</v>
      </c>
      <c r="F1732" t="s">
        <v>14</v>
      </c>
      <c r="G1732" t="s">
        <v>991</v>
      </c>
      <c r="H1732" s="8">
        <v>4748.09</v>
      </c>
      <c r="I1732" s="8">
        <v>1283.1600000000001</v>
      </c>
      <c r="J1732" s="8">
        <v>0.1</v>
      </c>
      <c r="K1732" t="str">
        <f>IF(SalesData[[#This Row],[Profit]]&gt;0,"Profit","Loss")</f>
        <v>Profit</v>
      </c>
      <c r="L1732" s="8">
        <f>SalesData[[#This Row],[Profit]]/SalesData[[#This Row],[Sales]]</f>
        <v>0.27024761535691194</v>
      </c>
      <c r="M1732" t="str">
        <f>TEXT(SalesData[[#This Row],[Order_Date]],"mmm")</f>
        <v>Jun</v>
      </c>
      <c r="N1732">
        <f>YEAR(SalesData[[#This Row],[Order_Date]])</f>
        <v>2022</v>
      </c>
    </row>
    <row r="1733" spans="1:14" x14ac:dyDescent="0.3">
      <c r="A1733" t="s">
        <v>2949</v>
      </c>
      <c r="B1733" s="1">
        <v>44627</v>
      </c>
      <c r="C1733" t="s">
        <v>1063</v>
      </c>
      <c r="D1733" t="s">
        <v>18</v>
      </c>
      <c r="E1733" t="s">
        <v>13</v>
      </c>
      <c r="F1733" t="s">
        <v>14</v>
      </c>
      <c r="G1733" t="s">
        <v>389</v>
      </c>
      <c r="H1733" s="8">
        <v>2017.43</v>
      </c>
      <c r="I1733" s="8">
        <v>-151.13999999999999</v>
      </c>
      <c r="J1733" s="8">
        <v>0.05</v>
      </c>
      <c r="K1733" t="str">
        <f>IF(SalesData[[#This Row],[Profit]]&gt;0,"Profit","Loss")</f>
        <v>Loss</v>
      </c>
      <c r="L1733" s="8">
        <f>SalesData[[#This Row],[Profit]]/SalesData[[#This Row],[Sales]]</f>
        <v>-7.4917097495328211E-2</v>
      </c>
      <c r="M1733" t="str">
        <f>TEXT(SalesData[[#This Row],[Order_Date]],"mmm")</f>
        <v>Mar</v>
      </c>
      <c r="N1733">
        <f>YEAR(SalesData[[#This Row],[Order_Date]])</f>
        <v>2022</v>
      </c>
    </row>
    <row r="1734" spans="1:14" x14ac:dyDescent="0.3">
      <c r="A1734" t="s">
        <v>2950</v>
      </c>
      <c r="B1734" s="1">
        <v>44633</v>
      </c>
      <c r="C1734" t="s">
        <v>256</v>
      </c>
      <c r="D1734" t="s">
        <v>40</v>
      </c>
      <c r="E1734" t="s">
        <v>56</v>
      </c>
      <c r="F1734" t="s">
        <v>95</v>
      </c>
      <c r="G1734" t="s">
        <v>1466</v>
      </c>
      <c r="H1734" s="8">
        <v>3324.26</v>
      </c>
      <c r="I1734" s="8">
        <v>640.92999999999995</v>
      </c>
      <c r="J1734" s="8">
        <v>0.13</v>
      </c>
      <c r="K1734" t="str">
        <f>IF(SalesData[[#This Row],[Profit]]&gt;0,"Profit","Loss")</f>
        <v>Profit</v>
      </c>
      <c r="L1734" s="8">
        <f>SalesData[[#This Row],[Profit]]/SalesData[[#This Row],[Sales]]</f>
        <v>0.1928038119761992</v>
      </c>
      <c r="M1734" t="str">
        <f>TEXT(SalesData[[#This Row],[Order_Date]],"mmm")</f>
        <v>Mar</v>
      </c>
      <c r="N1734">
        <f>YEAR(SalesData[[#This Row],[Order_Date]])</f>
        <v>2022</v>
      </c>
    </row>
    <row r="1735" spans="1:14" x14ac:dyDescent="0.3">
      <c r="A1735" t="s">
        <v>2951</v>
      </c>
      <c r="B1735" s="1">
        <v>44628</v>
      </c>
      <c r="C1735" t="s">
        <v>994</v>
      </c>
      <c r="D1735" t="s">
        <v>12</v>
      </c>
      <c r="E1735" t="s">
        <v>56</v>
      </c>
      <c r="F1735" t="s">
        <v>57</v>
      </c>
      <c r="G1735" t="s">
        <v>2202</v>
      </c>
      <c r="H1735" s="8">
        <v>2780.9</v>
      </c>
      <c r="I1735" s="8">
        <v>-648.45000000000005</v>
      </c>
      <c r="J1735" s="8">
        <v>0.1</v>
      </c>
      <c r="K1735" t="str">
        <f>IF(SalesData[[#This Row],[Profit]]&gt;0,"Profit","Loss")</f>
        <v>Loss</v>
      </c>
      <c r="L1735" s="8">
        <f>SalesData[[#This Row],[Profit]]/SalesData[[#This Row],[Sales]]</f>
        <v>-0.23317990578589667</v>
      </c>
      <c r="M1735" t="str">
        <f>TEXT(SalesData[[#This Row],[Order_Date]],"mmm")</f>
        <v>Mar</v>
      </c>
      <c r="N1735">
        <f>YEAR(SalesData[[#This Row],[Order_Date]])</f>
        <v>2022</v>
      </c>
    </row>
    <row r="1736" spans="1:14" x14ac:dyDescent="0.3">
      <c r="A1736" t="s">
        <v>2952</v>
      </c>
      <c r="B1736" s="1">
        <v>44668</v>
      </c>
      <c r="C1736" t="s">
        <v>361</v>
      </c>
      <c r="D1736" t="s">
        <v>18</v>
      </c>
      <c r="E1736" t="s">
        <v>13</v>
      </c>
      <c r="F1736" t="s">
        <v>14</v>
      </c>
      <c r="G1736" t="s">
        <v>462</v>
      </c>
      <c r="H1736" s="8">
        <v>3647.99</v>
      </c>
      <c r="I1736" s="8">
        <v>-1010.28</v>
      </c>
      <c r="J1736" s="8">
        <v>0.1</v>
      </c>
      <c r="K1736" t="str">
        <f>IF(SalesData[[#This Row],[Profit]]&gt;0,"Profit","Loss")</f>
        <v>Loss</v>
      </c>
      <c r="L1736" s="8">
        <f>SalesData[[#This Row],[Profit]]/SalesData[[#This Row],[Sales]]</f>
        <v>-0.27694154863363113</v>
      </c>
      <c r="M1736" t="str">
        <f>TEXT(SalesData[[#This Row],[Order_Date]],"mmm")</f>
        <v>Apr</v>
      </c>
      <c r="N1736">
        <f>YEAR(SalesData[[#This Row],[Order_Date]])</f>
        <v>2022</v>
      </c>
    </row>
    <row r="1737" spans="1:14" x14ac:dyDescent="0.3">
      <c r="A1737" t="s">
        <v>2953</v>
      </c>
      <c r="B1737" s="1">
        <v>44684</v>
      </c>
      <c r="C1737" t="s">
        <v>2756</v>
      </c>
      <c r="D1737" t="s">
        <v>12</v>
      </c>
      <c r="E1737" t="s">
        <v>19</v>
      </c>
      <c r="F1737" t="s">
        <v>20</v>
      </c>
      <c r="G1737" t="s">
        <v>239</v>
      </c>
      <c r="H1737" s="8">
        <v>2857.29</v>
      </c>
      <c r="I1737" s="8">
        <v>60.62</v>
      </c>
      <c r="J1737" s="8">
        <v>0.24</v>
      </c>
      <c r="K1737" t="str">
        <f>IF(SalesData[[#This Row],[Profit]]&gt;0,"Profit","Loss")</f>
        <v>Profit</v>
      </c>
      <c r="L1737" s="8">
        <f>SalesData[[#This Row],[Profit]]/SalesData[[#This Row],[Sales]]</f>
        <v>2.121590738076989E-2</v>
      </c>
      <c r="M1737" t="str">
        <f>TEXT(SalesData[[#This Row],[Order_Date]],"mmm")</f>
        <v>May</v>
      </c>
      <c r="N1737">
        <f>YEAR(SalesData[[#This Row],[Order_Date]])</f>
        <v>2022</v>
      </c>
    </row>
    <row r="1738" spans="1:14" x14ac:dyDescent="0.3">
      <c r="A1738" t="s">
        <v>2954</v>
      </c>
      <c r="B1738" s="1">
        <v>45147</v>
      </c>
      <c r="C1738" t="s">
        <v>2107</v>
      </c>
      <c r="D1738" t="s">
        <v>28</v>
      </c>
      <c r="E1738" t="s">
        <v>13</v>
      </c>
      <c r="F1738" t="s">
        <v>14</v>
      </c>
      <c r="G1738" t="s">
        <v>1967</v>
      </c>
      <c r="H1738" s="8">
        <v>196.99</v>
      </c>
      <c r="I1738" s="8">
        <v>-32.33</v>
      </c>
      <c r="J1738" s="8">
        <v>0.25</v>
      </c>
      <c r="K1738" t="str">
        <f>IF(SalesData[[#This Row],[Profit]]&gt;0,"Profit","Loss")</f>
        <v>Loss</v>
      </c>
      <c r="L1738" s="8">
        <f>SalesData[[#This Row],[Profit]]/SalesData[[#This Row],[Sales]]</f>
        <v>-0.16412000609167976</v>
      </c>
      <c r="M1738" t="str">
        <f>TEXT(SalesData[[#This Row],[Order_Date]],"mmm")</f>
        <v>Aug</v>
      </c>
      <c r="N1738">
        <f>YEAR(SalesData[[#This Row],[Order_Date]])</f>
        <v>2023</v>
      </c>
    </row>
    <row r="1739" spans="1:14" x14ac:dyDescent="0.3">
      <c r="A1739" t="s">
        <v>2955</v>
      </c>
      <c r="B1739" s="1">
        <v>45064</v>
      </c>
      <c r="C1739" t="s">
        <v>1601</v>
      </c>
      <c r="D1739" t="s">
        <v>40</v>
      </c>
      <c r="E1739" t="s">
        <v>13</v>
      </c>
      <c r="F1739" t="s">
        <v>24</v>
      </c>
      <c r="G1739" t="s">
        <v>473</v>
      </c>
      <c r="H1739" s="8">
        <v>1995.16</v>
      </c>
      <c r="I1739" s="8">
        <v>-653.21</v>
      </c>
      <c r="J1739" s="8">
        <v>0.27</v>
      </c>
      <c r="K1739" t="str">
        <f>IF(SalesData[[#This Row],[Profit]]&gt;0,"Profit","Loss")</f>
        <v>Loss</v>
      </c>
      <c r="L1739" s="8">
        <f>SalesData[[#This Row],[Profit]]/SalesData[[#This Row],[Sales]]</f>
        <v>-0.32739730146955631</v>
      </c>
      <c r="M1739" t="str">
        <f>TEXT(SalesData[[#This Row],[Order_Date]],"mmm")</f>
        <v>May</v>
      </c>
      <c r="N1739">
        <f>YEAR(SalesData[[#This Row],[Order_Date]])</f>
        <v>2023</v>
      </c>
    </row>
    <row r="1740" spans="1:14" x14ac:dyDescent="0.3">
      <c r="A1740" t="s">
        <v>2956</v>
      </c>
      <c r="B1740" s="1">
        <v>44930</v>
      </c>
      <c r="C1740" t="s">
        <v>2756</v>
      </c>
      <c r="D1740" t="s">
        <v>18</v>
      </c>
      <c r="E1740" t="s">
        <v>13</v>
      </c>
      <c r="F1740" t="s">
        <v>36</v>
      </c>
      <c r="G1740" t="s">
        <v>1654</v>
      </c>
      <c r="H1740" s="8">
        <v>2447.73</v>
      </c>
      <c r="I1740" s="8">
        <v>-483.34</v>
      </c>
      <c r="J1740" s="8">
        <v>0.27</v>
      </c>
      <c r="K1740" t="str">
        <f>IF(SalesData[[#This Row],[Profit]]&gt;0,"Profit","Loss")</f>
        <v>Loss</v>
      </c>
      <c r="L1740" s="8">
        <f>SalesData[[#This Row],[Profit]]/SalesData[[#This Row],[Sales]]</f>
        <v>-0.19746458964019722</v>
      </c>
      <c r="M1740" t="str">
        <f>TEXT(SalesData[[#This Row],[Order_Date]],"mmm")</f>
        <v>Jan</v>
      </c>
      <c r="N1740">
        <f>YEAR(SalesData[[#This Row],[Order_Date]])</f>
        <v>2023</v>
      </c>
    </row>
    <row r="1741" spans="1:14" x14ac:dyDescent="0.3">
      <c r="A1741" t="s">
        <v>2957</v>
      </c>
      <c r="B1741" s="1">
        <v>44726</v>
      </c>
      <c r="C1741" t="s">
        <v>1821</v>
      </c>
      <c r="D1741" t="s">
        <v>12</v>
      </c>
      <c r="E1741" t="s">
        <v>13</v>
      </c>
      <c r="F1741" t="s">
        <v>24</v>
      </c>
      <c r="G1741" t="s">
        <v>1196</v>
      </c>
      <c r="H1741" s="8">
        <v>954.33</v>
      </c>
      <c r="I1741" s="8">
        <v>104.48</v>
      </c>
      <c r="J1741" s="8">
        <v>0.28999999999999998</v>
      </c>
      <c r="K1741" t="str">
        <f>IF(SalesData[[#This Row],[Profit]]&gt;0,"Profit","Loss")</f>
        <v>Profit</v>
      </c>
      <c r="L1741" s="8">
        <f>SalesData[[#This Row],[Profit]]/SalesData[[#This Row],[Sales]]</f>
        <v>0.10947994928379072</v>
      </c>
      <c r="M1741" t="str">
        <f>TEXT(SalesData[[#This Row],[Order_Date]],"mmm")</f>
        <v>Jun</v>
      </c>
      <c r="N1741">
        <f>YEAR(SalesData[[#This Row],[Order_Date]])</f>
        <v>2022</v>
      </c>
    </row>
    <row r="1742" spans="1:14" x14ac:dyDescent="0.3">
      <c r="A1742" t="s">
        <v>2958</v>
      </c>
      <c r="B1742" s="1">
        <v>44794</v>
      </c>
      <c r="C1742" t="s">
        <v>658</v>
      </c>
      <c r="D1742" t="s">
        <v>18</v>
      </c>
      <c r="E1742" t="s">
        <v>19</v>
      </c>
      <c r="F1742" t="s">
        <v>20</v>
      </c>
      <c r="G1742" t="s">
        <v>225</v>
      </c>
      <c r="H1742" s="8">
        <v>308.52</v>
      </c>
      <c r="I1742" s="8">
        <v>64.14</v>
      </c>
      <c r="J1742" s="8">
        <v>0.12</v>
      </c>
      <c r="K1742" t="str">
        <f>IF(SalesData[[#This Row],[Profit]]&gt;0,"Profit","Loss")</f>
        <v>Profit</v>
      </c>
      <c r="L1742" s="8">
        <f>SalesData[[#This Row],[Profit]]/SalesData[[#This Row],[Sales]]</f>
        <v>0.20789576040451188</v>
      </c>
      <c r="M1742" t="str">
        <f>TEXT(SalesData[[#This Row],[Order_Date]],"mmm")</f>
        <v>Aug</v>
      </c>
      <c r="N1742">
        <f>YEAR(SalesData[[#This Row],[Order_Date]])</f>
        <v>2022</v>
      </c>
    </row>
    <row r="1743" spans="1:14" x14ac:dyDescent="0.3">
      <c r="A1743" t="s">
        <v>2959</v>
      </c>
      <c r="B1743" s="1">
        <v>45033</v>
      </c>
      <c r="C1743" t="s">
        <v>253</v>
      </c>
      <c r="D1743" t="s">
        <v>28</v>
      </c>
      <c r="E1743" t="s">
        <v>13</v>
      </c>
      <c r="F1743" t="s">
        <v>36</v>
      </c>
      <c r="G1743" t="s">
        <v>2960</v>
      </c>
      <c r="H1743" s="8">
        <v>1119.69</v>
      </c>
      <c r="I1743" s="8">
        <v>235.33</v>
      </c>
      <c r="J1743" s="8">
        <v>0.12</v>
      </c>
      <c r="K1743" t="str">
        <f>IF(SalesData[[#This Row],[Profit]]&gt;0,"Profit","Loss")</f>
        <v>Profit</v>
      </c>
      <c r="L1743" s="8">
        <f>SalesData[[#This Row],[Profit]]/SalesData[[#This Row],[Sales]]</f>
        <v>0.21017424465700327</v>
      </c>
      <c r="M1743" t="str">
        <f>TEXT(SalesData[[#This Row],[Order_Date]],"mmm")</f>
        <v>Apr</v>
      </c>
      <c r="N1743">
        <f>YEAR(SalesData[[#This Row],[Order_Date]])</f>
        <v>2023</v>
      </c>
    </row>
    <row r="1744" spans="1:14" x14ac:dyDescent="0.3">
      <c r="A1744" t="s">
        <v>2961</v>
      </c>
      <c r="B1744" s="1">
        <v>45104</v>
      </c>
      <c r="C1744" t="s">
        <v>1630</v>
      </c>
      <c r="D1744" t="s">
        <v>18</v>
      </c>
      <c r="E1744" t="s">
        <v>19</v>
      </c>
      <c r="F1744" t="s">
        <v>29</v>
      </c>
      <c r="G1744" t="s">
        <v>927</v>
      </c>
      <c r="H1744" s="8">
        <v>1881.45</v>
      </c>
      <c r="I1744" s="8">
        <v>-114.15</v>
      </c>
      <c r="J1744" s="8">
        <v>0.1</v>
      </c>
      <c r="K1744" t="str">
        <f>IF(SalesData[[#This Row],[Profit]]&gt;0,"Profit","Loss")</f>
        <v>Loss</v>
      </c>
      <c r="L1744" s="8">
        <f>SalesData[[#This Row],[Profit]]/SalesData[[#This Row],[Sales]]</f>
        <v>-6.0671290759786334E-2</v>
      </c>
      <c r="M1744" t="str">
        <f>TEXT(SalesData[[#This Row],[Order_Date]],"mmm")</f>
        <v>Jun</v>
      </c>
      <c r="N1744">
        <f>YEAR(SalesData[[#This Row],[Order_Date]])</f>
        <v>2023</v>
      </c>
    </row>
    <row r="1745" spans="1:14" x14ac:dyDescent="0.3">
      <c r="A1745" t="s">
        <v>2962</v>
      </c>
      <c r="B1745" s="1">
        <v>45195</v>
      </c>
      <c r="C1745" t="s">
        <v>1457</v>
      </c>
      <c r="D1745" t="s">
        <v>28</v>
      </c>
      <c r="E1745" t="s">
        <v>13</v>
      </c>
      <c r="F1745" t="s">
        <v>14</v>
      </c>
      <c r="G1745" t="s">
        <v>1497</v>
      </c>
      <c r="H1745" s="8">
        <v>2885.09</v>
      </c>
      <c r="I1745" s="8">
        <v>-122.37</v>
      </c>
      <c r="J1745" s="8">
        <v>0.28000000000000003</v>
      </c>
      <c r="K1745" t="str">
        <f>IF(SalesData[[#This Row],[Profit]]&gt;0,"Profit","Loss")</f>
        <v>Loss</v>
      </c>
      <c r="L1745" s="8">
        <f>SalesData[[#This Row],[Profit]]/SalesData[[#This Row],[Sales]]</f>
        <v>-4.2414621380962116E-2</v>
      </c>
      <c r="M1745" t="str">
        <f>TEXT(SalesData[[#This Row],[Order_Date]],"mmm")</f>
        <v>Sep</v>
      </c>
      <c r="N1745">
        <f>YEAR(SalesData[[#This Row],[Order_Date]])</f>
        <v>2023</v>
      </c>
    </row>
    <row r="1746" spans="1:14" x14ac:dyDescent="0.3">
      <c r="A1746" t="s">
        <v>2963</v>
      </c>
      <c r="B1746" s="1">
        <v>44673</v>
      </c>
      <c r="C1746" t="s">
        <v>1042</v>
      </c>
      <c r="D1746" t="s">
        <v>28</v>
      </c>
      <c r="E1746" t="s">
        <v>19</v>
      </c>
      <c r="F1746" t="s">
        <v>29</v>
      </c>
      <c r="G1746" t="s">
        <v>850</v>
      </c>
      <c r="H1746" s="8">
        <v>3255.6</v>
      </c>
      <c r="I1746" s="8">
        <v>-570.38</v>
      </c>
      <c r="J1746" s="8">
        <v>0.06</v>
      </c>
      <c r="K1746" t="str">
        <f>IF(SalesData[[#This Row],[Profit]]&gt;0,"Profit","Loss")</f>
        <v>Loss</v>
      </c>
      <c r="L1746" s="8">
        <f>SalesData[[#This Row],[Profit]]/SalesData[[#This Row],[Sales]]</f>
        <v>-0.17519965597739282</v>
      </c>
      <c r="M1746" t="str">
        <f>TEXT(SalesData[[#This Row],[Order_Date]],"mmm")</f>
        <v>Apr</v>
      </c>
      <c r="N1746">
        <f>YEAR(SalesData[[#This Row],[Order_Date]])</f>
        <v>2022</v>
      </c>
    </row>
    <row r="1747" spans="1:14" x14ac:dyDescent="0.3">
      <c r="A1747" t="s">
        <v>2964</v>
      </c>
      <c r="B1747" s="1">
        <v>44722</v>
      </c>
      <c r="C1747" t="s">
        <v>1512</v>
      </c>
      <c r="D1747" t="s">
        <v>28</v>
      </c>
      <c r="E1747" t="s">
        <v>13</v>
      </c>
      <c r="F1747" t="s">
        <v>36</v>
      </c>
      <c r="G1747" t="s">
        <v>1886</v>
      </c>
      <c r="H1747" s="8">
        <v>349.34</v>
      </c>
      <c r="I1747" s="8">
        <v>21.32</v>
      </c>
      <c r="J1747" s="8">
        <v>7.0000000000000007E-2</v>
      </c>
      <c r="K1747" t="str">
        <f>IF(SalesData[[#This Row],[Profit]]&gt;0,"Profit","Loss")</f>
        <v>Profit</v>
      </c>
      <c r="L1747" s="8">
        <f>SalesData[[#This Row],[Profit]]/SalesData[[#This Row],[Sales]]</f>
        <v>6.1029369668517783E-2</v>
      </c>
      <c r="M1747" t="str">
        <f>TEXT(SalesData[[#This Row],[Order_Date]],"mmm")</f>
        <v>Jun</v>
      </c>
      <c r="N1747">
        <f>YEAR(SalesData[[#This Row],[Order_Date]])</f>
        <v>2022</v>
      </c>
    </row>
    <row r="1748" spans="1:14" x14ac:dyDescent="0.3">
      <c r="A1748" t="s">
        <v>2965</v>
      </c>
      <c r="B1748" s="1">
        <v>44957</v>
      </c>
      <c r="C1748" t="s">
        <v>1848</v>
      </c>
      <c r="D1748" t="s">
        <v>18</v>
      </c>
      <c r="E1748" t="s">
        <v>13</v>
      </c>
      <c r="F1748" t="s">
        <v>36</v>
      </c>
      <c r="G1748" t="s">
        <v>138</v>
      </c>
      <c r="H1748" s="8">
        <v>983.54</v>
      </c>
      <c r="I1748" s="8">
        <v>84.96</v>
      </c>
      <c r="J1748" s="8">
        <v>0.13</v>
      </c>
      <c r="K1748" t="str">
        <f>IF(SalesData[[#This Row],[Profit]]&gt;0,"Profit","Loss")</f>
        <v>Profit</v>
      </c>
      <c r="L1748" s="8">
        <f>SalesData[[#This Row],[Profit]]/SalesData[[#This Row],[Sales]]</f>
        <v>8.6381845171523267E-2</v>
      </c>
      <c r="M1748" t="str">
        <f>TEXT(SalesData[[#This Row],[Order_Date]],"mmm")</f>
        <v>Jan</v>
      </c>
      <c r="N1748">
        <f>YEAR(SalesData[[#This Row],[Order_Date]])</f>
        <v>2023</v>
      </c>
    </row>
    <row r="1749" spans="1:14" x14ac:dyDescent="0.3">
      <c r="A1749" t="s">
        <v>2966</v>
      </c>
      <c r="B1749" s="1">
        <v>44764</v>
      </c>
      <c r="C1749" t="s">
        <v>1987</v>
      </c>
      <c r="D1749" t="s">
        <v>28</v>
      </c>
      <c r="E1749" t="s">
        <v>13</v>
      </c>
      <c r="F1749" t="s">
        <v>24</v>
      </c>
      <c r="G1749" t="s">
        <v>1004</v>
      </c>
      <c r="H1749" s="8">
        <v>2860.48</v>
      </c>
      <c r="I1749" s="8">
        <v>-25.38</v>
      </c>
      <c r="J1749" s="8">
        <v>0.05</v>
      </c>
      <c r="K1749" t="str">
        <f>IF(SalesData[[#This Row],[Profit]]&gt;0,"Profit","Loss")</f>
        <v>Loss</v>
      </c>
      <c r="L1749" s="8">
        <f>SalesData[[#This Row],[Profit]]/SalesData[[#This Row],[Sales]]</f>
        <v>-8.8726367602640112E-3</v>
      </c>
      <c r="M1749" t="str">
        <f>TEXT(SalesData[[#This Row],[Order_Date]],"mmm")</f>
        <v>Jul</v>
      </c>
      <c r="N1749">
        <f>YEAR(SalesData[[#This Row],[Order_Date]])</f>
        <v>2022</v>
      </c>
    </row>
    <row r="1750" spans="1:14" x14ac:dyDescent="0.3">
      <c r="A1750" t="s">
        <v>2967</v>
      </c>
      <c r="B1750" s="1">
        <v>44885</v>
      </c>
      <c r="C1750" t="s">
        <v>536</v>
      </c>
      <c r="D1750" t="s">
        <v>12</v>
      </c>
      <c r="E1750" t="s">
        <v>19</v>
      </c>
      <c r="F1750" t="s">
        <v>20</v>
      </c>
      <c r="G1750" t="s">
        <v>1156</v>
      </c>
      <c r="H1750" s="8">
        <v>4353.3500000000004</v>
      </c>
      <c r="I1750" s="8">
        <v>1387.64</v>
      </c>
      <c r="J1750" s="8">
        <v>0.04</v>
      </c>
      <c r="K1750" t="str">
        <f>IF(SalesData[[#This Row],[Profit]]&gt;0,"Profit","Loss")</f>
        <v>Profit</v>
      </c>
      <c r="L1750" s="8">
        <f>SalesData[[#This Row],[Profit]]/SalesData[[#This Row],[Sales]]</f>
        <v>0.31875222529775921</v>
      </c>
      <c r="M1750" t="str">
        <f>TEXT(SalesData[[#This Row],[Order_Date]],"mmm")</f>
        <v>Nov</v>
      </c>
      <c r="N1750">
        <f>YEAR(SalesData[[#This Row],[Order_Date]])</f>
        <v>2022</v>
      </c>
    </row>
    <row r="1751" spans="1:14" x14ac:dyDescent="0.3">
      <c r="A1751" t="s">
        <v>2968</v>
      </c>
      <c r="B1751" s="1">
        <v>44616</v>
      </c>
      <c r="C1751" t="s">
        <v>1055</v>
      </c>
      <c r="D1751" t="s">
        <v>12</v>
      </c>
      <c r="E1751" t="s">
        <v>56</v>
      </c>
      <c r="F1751" t="s">
        <v>57</v>
      </c>
      <c r="G1751" t="s">
        <v>447</v>
      </c>
      <c r="H1751" s="8">
        <v>520.17999999999995</v>
      </c>
      <c r="I1751" s="8">
        <v>165.08</v>
      </c>
      <c r="J1751" s="8">
        <v>0</v>
      </c>
      <c r="K1751" t="str">
        <f>IF(SalesData[[#This Row],[Profit]]&gt;0,"Profit","Loss")</f>
        <v>Profit</v>
      </c>
      <c r="L1751" s="8">
        <f>SalesData[[#This Row],[Profit]]/SalesData[[#This Row],[Sales]]</f>
        <v>0.31735168595486185</v>
      </c>
      <c r="M1751" t="str">
        <f>TEXT(SalesData[[#This Row],[Order_Date]],"mmm")</f>
        <v>Feb</v>
      </c>
      <c r="N1751">
        <f>YEAR(SalesData[[#This Row],[Order_Date]])</f>
        <v>2022</v>
      </c>
    </row>
    <row r="1752" spans="1:14" x14ac:dyDescent="0.3">
      <c r="A1752" t="s">
        <v>2969</v>
      </c>
      <c r="B1752" s="1">
        <v>44629</v>
      </c>
      <c r="C1752" t="s">
        <v>419</v>
      </c>
      <c r="D1752" t="s">
        <v>40</v>
      </c>
      <c r="E1752" t="s">
        <v>19</v>
      </c>
      <c r="F1752" t="s">
        <v>20</v>
      </c>
      <c r="G1752" t="s">
        <v>669</v>
      </c>
      <c r="H1752" s="8">
        <v>3743.56</v>
      </c>
      <c r="I1752" s="8">
        <v>-1143.52</v>
      </c>
      <c r="J1752" s="8">
        <v>0.28999999999999998</v>
      </c>
      <c r="K1752" t="str">
        <f>IF(SalesData[[#This Row],[Profit]]&gt;0,"Profit","Loss")</f>
        <v>Loss</v>
      </c>
      <c r="L1752" s="8">
        <f>SalesData[[#This Row],[Profit]]/SalesData[[#This Row],[Sales]]</f>
        <v>-0.30546324888608706</v>
      </c>
      <c r="M1752" t="str">
        <f>TEXT(SalesData[[#This Row],[Order_Date]],"mmm")</f>
        <v>Mar</v>
      </c>
      <c r="N1752">
        <f>YEAR(SalesData[[#This Row],[Order_Date]])</f>
        <v>2022</v>
      </c>
    </row>
    <row r="1753" spans="1:14" x14ac:dyDescent="0.3">
      <c r="A1753" t="s">
        <v>2970</v>
      </c>
      <c r="B1753" s="1">
        <v>45137</v>
      </c>
      <c r="C1753" t="s">
        <v>2971</v>
      </c>
      <c r="D1753" t="s">
        <v>18</v>
      </c>
      <c r="E1753" t="s">
        <v>19</v>
      </c>
      <c r="F1753" t="s">
        <v>29</v>
      </c>
      <c r="G1753" t="s">
        <v>971</v>
      </c>
      <c r="H1753" s="8">
        <v>1759.24</v>
      </c>
      <c r="I1753" s="8">
        <v>-119.73</v>
      </c>
      <c r="J1753" s="8">
        <v>0.05</v>
      </c>
      <c r="K1753" t="str">
        <f>IF(SalesData[[#This Row],[Profit]]&gt;0,"Profit","Loss")</f>
        <v>Loss</v>
      </c>
      <c r="L1753" s="8">
        <f>SalesData[[#This Row],[Profit]]/SalesData[[#This Row],[Sales]]</f>
        <v>-6.805779768536413E-2</v>
      </c>
      <c r="M1753" t="str">
        <f>TEXT(SalesData[[#This Row],[Order_Date]],"mmm")</f>
        <v>Jul</v>
      </c>
      <c r="N1753">
        <f>YEAR(SalesData[[#This Row],[Order_Date]])</f>
        <v>2023</v>
      </c>
    </row>
    <row r="1754" spans="1:14" x14ac:dyDescent="0.3">
      <c r="A1754" t="s">
        <v>2972</v>
      </c>
      <c r="B1754" s="1">
        <v>45127</v>
      </c>
      <c r="C1754" t="s">
        <v>2881</v>
      </c>
      <c r="D1754" t="s">
        <v>28</v>
      </c>
      <c r="E1754" t="s">
        <v>19</v>
      </c>
      <c r="F1754" t="s">
        <v>20</v>
      </c>
      <c r="G1754" t="s">
        <v>306</v>
      </c>
      <c r="H1754" s="8">
        <v>2708.3</v>
      </c>
      <c r="I1754" s="8">
        <v>-799.03</v>
      </c>
      <c r="J1754" s="8">
        <v>0.19</v>
      </c>
      <c r="K1754" t="str">
        <f>IF(SalesData[[#This Row],[Profit]]&gt;0,"Profit","Loss")</f>
        <v>Loss</v>
      </c>
      <c r="L1754" s="8">
        <f>SalesData[[#This Row],[Profit]]/SalesData[[#This Row],[Sales]]</f>
        <v>-0.29503009267806368</v>
      </c>
      <c r="M1754" t="str">
        <f>TEXT(SalesData[[#This Row],[Order_Date]],"mmm")</f>
        <v>Jul</v>
      </c>
      <c r="N1754">
        <f>YEAR(SalesData[[#This Row],[Order_Date]])</f>
        <v>2023</v>
      </c>
    </row>
    <row r="1755" spans="1:14" x14ac:dyDescent="0.3">
      <c r="A1755" t="s">
        <v>2973</v>
      </c>
      <c r="B1755" s="1">
        <v>44712</v>
      </c>
      <c r="C1755" t="s">
        <v>2078</v>
      </c>
      <c r="D1755" t="s">
        <v>12</v>
      </c>
      <c r="E1755" t="s">
        <v>19</v>
      </c>
      <c r="F1755" t="s">
        <v>141</v>
      </c>
      <c r="G1755" t="s">
        <v>236</v>
      </c>
      <c r="H1755" s="8">
        <v>4255.17</v>
      </c>
      <c r="I1755" s="8">
        <v>-859.48</v>
      </c>
      <c r="J1755" s="8">
        <v>7.0000000000000007E-2</v>
      </c>
      <c r="K1755" t="str">
        <f>IF(SalesData[[#This Row],[Profit]]&gt;0,"Profit","Loss")</f>
        <v>Loss</v>
      </c>
      <c r="L1755" s="8">
        <f>SalesData[[#This Row],[Profit]]/SalesData[[#This Row],[Sales]]</f>
        <v>-0.20198487957002892</v>
      </c>
      <c r="M1755" t="str">
        <f>TEXT(SalesData[[#This Row],[Order_Date]],"mmm")</f>
        <v>May</v>
      </c>
      <c r="N1755">
        <f>YEAR(SalesData[[#This Row],[Order_Date]])</f>
        <v>2022</v>
      </c>
    </row>
    <row r="1756" spans="1:14" x14ac:dyDescent="0.3">
      <c r="A1756" t="s">
        <v>2974</v>
      </c>
      <c r="B1756" s="1">
        <v>44582</v>
      </c>
      <c r="C1756" t="s">
        <v>452</v>
      </c>
      <c r="D1756" t="s">
        <v>40</v>
      </c>
      <c r="E1756" t="s">
        <v>56</v>
      </c>
      <c r="F1756" t="s">
        <v>57</v>
      </c>
      <c r="G1756" t="s">
        <v>882</v>
      </c>
      <c r="H1756" s="8">
        <v>4413.1400000000003</v>
      </c>
      <c r="I1756" s="8">
        <v>-237.74</v>
      </c>
      <c r="J1756" s="8">
        <v>0.14000000000000001</v>
      </c>
      <c r="K1756" t="str">
        <f>IF(SalesData[[#This Row],[Profit]]&gt;0,"Profit","Loss")</f>
        <v>Loss</v>
      </c>
      <c r="L1756" s="8">
        <f>SalesData[[#This Row],[Profit]]/SalesData[[#This Row],[Sales]]</f>
        <v>-5.387093996564804E-2</v>
      </c>
      <c r="M1756" t="str">
        <f>TEXT(SalesData[[#This Row],[Order_Date]],"mmm")</f>
        <v>Jan</v>
      </c>
      <c r="N1756">
        <f>YEAR(SalesData[[#This Row],[Order_Date]])</f>
        <v>2022</v>
      </c>
    </row>
    <row r="1757" spans="1:14" x14ac:dyDescent="0.3">
      <c r="A1757" t="s">
        <v>2975</v>
      </c>
      <c r="B1757" s="1">
        <v>45065</v>
      </c>
      <c r="C1757" t="s">
        <v>765</v>
      </c>
      <c r="D1757" t="s">
        <v>40</v>
      </c>
      <c r="E1757" t="s">
        <v>19</v>
      </c>
      <c r="F1757" t="s">
        <v>141</v>
      </c>
      <c r="G1757" t="s">
        <v>196</v>
      </c>
      <c r="H1757" s="8">
        <v>2902.36</v>
      </c>
      <c r="I1757" s="8">
        <v>-923.2</v>
      </c>
      <c r="J1757" s="8">
        <v>0.13</v>
      </c>
      <c r="K1757" t="str">
        <f>IF(SalesData[[#This Row],[Profit]]&gt;0,"Profit","Loss")</f>
        <v>Loss</v>
      </c>
      <c r="L1757" s="8">
        <f>SalesData[[#This Row],[Profit]]/SalesData[[#This Row],[Sales]]</f>
        <v>-0.31808597141636463</v>
      </c>
      <c r="M1757" t="str">
        <f>TEXT(SalesData[[#This Row],[Order_Date]],"mmm")</f>
        <v>May</v>
      </c>
      <c r="N1757">
        <f>YEAR(SalesData[[#This Row],[Order_Date]])</f>
        <v>2023</v>
      </c>
    </row>
    <row r="1758" spans="1:14" x14ac:dyDescent="0.3">
      <c r="A1758" t="s">
        <v>2976</v>
      </c>
      <c r="B1758" s="1">
        <v>44869</v>
      </c>
      <c r="C1758" t="s">
        <v>869</v>
      </c>
      <c r="D1758" t="s">
        <v>28</v>
      </c>
      <c r="E1758" t="s">
        <v>19</v>
      </c>
      <c r="F1758" t="s">
        <v>20</v>
      </c>
      <c r="G1758" t="s">
        <v>202</v>
      </c>
      <c r="H1758" s="8">
        <v>4443.8</v>
      </c>
      <c r="I1758" s="8">
        <v>-617.84</v>
      </c>
      <c r="J1758" s="8">
        <v>0.02</v>
      </c>
      <c r="K1758" t="str">
        <f>IF(SalesData[[#This Row],[Profit]]&gt;0,"Profit","Loss")</f>
        <v>Loss</v>
      </c>
      <c r="L1758" s="8">
        <f>SalesData[[#This Row],[Profit]]/SalesData[[#This Row],[Sales]]</f>
        <v>-0.13903415995319321</v>
      </c>
      <c r="M1758" t="str">
        <f>TEXT(SalesData[[#This Row],[Order_Date]],"mmm")</f>
        <v>Nov</v>
      </c>
      <c r="N1758">
        <f>YEAR(SalesData[[#This Row],[Order_Date]])</f>
        <v>2022</v>
      </c>
    </row>
    <row r="1759" spans="1:14" x14ac:dyDescent="0.3">
      <c r="A1759" t="s">
        <v>2977</v>
      </c>
      <c r="B1759" s="1">
        <v>45211</v>
      </c>
      <c r="C1759" t="s">
        <v>586</v>
      </c>
      <c r="D1759" t="s">
        <v>40</v>
      </c>
      <c r="E1759" t="s">
        <v>56</v>
      </c>
      <c r="F1759" t="s">
        <v>57</v>
      </c>
      <c r="G1759" t="s">
        <v>438</v>
      </c>
      <c r="H1759" s="8">
        <v>4965.1899999999996</v>
      </c>
      <c r="I1759" s="8">
        <v>-191.94</v>
      </c>
      <c r="J1759" s="8">
        <v>0.24</v>
      </c>
      <c r="K1759" t="str">
        <f>IF(SalesData[[#This Row],[Profit]]&gt;0,"Profit","Loss")</f>
        <v>Loss</v>
      </c>
      <c r="L1759" s="8">
        <f>SalesData[[#This Row],[Profit]]/SalesData[[#This Row],[Sales]]</f>
        <v>-3.8657130945643575E-2</v>
      </c>
      <c r="M1759" t="str">
        <f>TEXT(SalesData[[#This Row],[Order_Date]],"mmm")</f>
        <v>Oct</v>
      </c>
      <c r="N1759">
        <f>YEAR(SalesData[[#This Row],[Order_Date]])</f>
        <v>2023</v>
      </c>
    </row>
    <row r="1760" spans="1:14" x14ac:dyDescent="0.3">
      <c r="A1760" t="s">
        <v>2978</v>
      </c>
      <c r="B1760" s="1">
        <v>45166</v>
      </c>
      <c r="C1760" t="s">
        <v>699</v>
      </c>
      <c r="D1760" t="s">
        <v>18</v>
      </c>
      <c r="E1760" t="s">
        <v>56</v>
      </c>
      <c r="F1760" t="s">
        <v>95</v>
      </c>
      <c r="G1760" t="s">
        <v>178</v>
      </c>
      <c r="H1760" s="8">
        <v>3053.78</v>
      </c>
      <c r="I1760" s="8">
        <v>-1314.43</v>
      </c>
      <c r="J1760" s="8">
        <v>0.24</v>
      </c>
      <c r="K1760" t="str">
        <f>IF(SalesData[[#This Row],[Profit]]&gt;0,"Profit","Loss")</f>
        <v>Loss</v>
      </c>
      <c r="L1760" s="8">
        <f>SalesData[[#This Row],[Profit]]/SalesData[[#This Row],[Sales]]</f>
        <v>-0.43042720824682851</v>
      </c>
      <c r="M1760" t="str">
        <f>TEXT(SalesData[[#This Row],[Order_Date]],"mmm")</f>
        <v>Aug</v>
      </c>
      <c r="N1760">
        <f>YEAR(SalesData[[#This Row],[Order_Date]])</f>
        <v>2023</v>
      </c>
    </row>
    <row r="1761" spans="1:14" x14ac:dyDescent="0.3">
      <c r="A1761" t="s">
        <v>2979</v>
      </c>
      <c r="B1761" s="1">
        <v>44586</v>
      </c>
      <c r="C1761" t="s">
        <v>888</v>
      </c>
      <c r="D1761" t="s">
        <v>40</v>
      </c>
      <c r="E1761" t="s">
        <v>19</v>
      </c>
      <c r="F1761" t="s">
        <v>20</v>
      </c>
      <c r="G1761" t="s">
        <v>2076</v>
      </c>
      <c r="H1761" s="8">
        <v>2615.77</v>
      </c>
      <c r="I1761" s="8">
        <v>137.51</v>
      </c>
      <c r="J1761" s="8">
        <v>0.28999999999999998</v>
      </c>
      <c r="K1761" t="str">
        <f>IF(SalesData[[#This Row],[Profit]]&gt;0,"Profit","Loss")</f>
        <v>Profit</v>
      </c>
      <c r="L1761" s="8">
        <f>SalesData[[#This Row],[Profit]]/SalesData[[#This Row],[Sales]]</f>
        <v>5.2569606655019363E-2</v>
      </c>
      <c r="M1761" t="str">
        <f>TEXT(SalesData[[#This Row],[Order_Date]],"mmm")</f>
        <v>Jan</v>
      </c>
      <c r="N1761">
        <f>YEAR(SalesData[[#This Row],[Order_Date]])</f>
        <v>2022</v>
      </c>
    </row>
    <row r="1762" spans="1:14" x14ac:dyDescent="0.3">
      <c r="A1762" t="s">
        <v>2980</v>
      </c>
      <c r="B1762" s="1">
        <v>45005</v>
      </c>
      <c r="C1762" t="s">
        <v>1972</v>
      </c>
      <c r="D1762" t="s">
        <v>12</v>
      </c>
      <c r="E1762" t="s">
        <v>56</v>
      </c>
      <c r="F1762" t="s">
        <v>57</v>
      </c>
      <c r="G1762" t="s">
        <v>138</v>
      </c>
      <c r="H1762" s="8">
        <v>3282.09</v>
      </c>
      <c r="I1762" s="8">
        <v>-827.52</v>
      </c>
      <c r="J1762" s="8">
        <v>0.21</v>
      </c>
      <c r="K1762" t="str">
        <f>IF(SalesData[[#This Row],[Profit]]&gt;0,"Profit","Loss")</f>
        <v>Loss</v>
      </c>
      <c r="L1762" s="8">
        <f>SalesData[[#This Row],[Profit]]/SalesData[[#This Row],[Sales]]</f>
        <v>-0.25213202563001014</v>
      </c>
      <c r="M1762" t="str">
        <f>TEXT(SalesData[[#This Row],[Order_Date]],"mmm")</f>
        <v>Mar</v>
      </c>
      <c r="N1762">
        <f>YEAR(SalesData[[#This Row],[Order_Date]])</f>
        <v>2023</v>
      </c>
    </row>
    <row r="1763" spans="1:14" x14ac:dyDescent="0.3">
      <c r="A1763" t="s">
        <v>2981</v>
      </c>
      <c r="B1763" s="1">
        <v>44695</v>
      </c>
      <c r="C1763" t="s">
        <v>2152</v>
      </c>
      <c r="D1763" t="s">
        <v>12</v>
      </c>
      <c r="E1763" t="s">
        <v>13</v>
      </c>
      <c r="F1763" t="s">
        <v>24</v>
      </c>
      <c r="G1763" t="s">
        <v>853</v>
      </c>
      <c r="H1763" s="8">
        <v>2344.63</v>
      </c>
      <c r="I1763" s="8">
        <v>259.7</v>
      </c>
      <c r="J1763" s="8">
        <v>0.02</v>
      </c>
      <c r="K1763" t="str">
        <f>IF(SalesData[[#This Row],[Profit]]&gt;0,"Profit","Loss")</f>
        <v>Profit</v>
      </c>
      <c r="L1763" s="8">
        <f>SalesData[[#This Row],[Profit]]/SalesData[[#This Row],[Sales]]</f>
        <v>0.11076374523912087</v>
      </c>
      <c r="M1763" t="str">
        <f>TEXT(SalesData[[#This Row],[Order_Date]],"mmm")</f>
        <v>May</v>
      </c>
      <c r="N1763">
        <f>YEAR(SalesData[[#This Row],[Order_Date]])</f>
        <v>2022</v>
      </c>
    </row>
    <row r="1764" spans="1:14" x14ac:dyDescent="0.3">
      <c r="A1764" t="s">
        <v>2982</v>
      </c>
      <c r="B1764" s="1">
        <v>44959</v>
      </c>
      <c r="C1764" t="s">
        <v>983</v>
      </c>
      <c r="D1764" t="s">
        <v>40</v>
      </c>
      <c r="E1764" t="s">
        <v>13</v>
      </c>
      <c r="F1764" t="s">
        <v>14</v>
      </c>
      <c r="G1764" t="s">
        <v>942</v>
      </c>
      <c r="H1764" s="8">
        <v>1583.28</v>
      </c>
      <c r="I1764" s="8">
        <v>34.950000000000003</v>
      </c>
      <c r="J1764" s="8">
        <v>0.06</v>
      </c>
      <c r="K1764" t="str">
        <f>IF(SalesData[[#This Row],[Profit]]&gt;0,"Profit","Loss")</f>
        <v>Profit</v>
      </c>
      <c r="L1764" s="8">
        <f>SalesData[[#This Row],[Profit]]/SalesData[[#This Row],[Sales]]</f>
        <v>2.2074427770198576E-2</v>
      </c>
      <c r="M1764" t="str">
        <f>TEXT(SalesData[[#This Row],[Order_Date]],"mmm")</f>
        <v>Feb</v>
      </c>
      <c r="N1764">
        <f>YEAR(SalesData[[#This Row],[Order_Date]])</f>
        <v>2023</v>
      </c>
    </row>
    <row r="1765" spans="1:14" x14ac:dyDescent="0.3">
      <c r="A1765" t="s">
        <v>2983</v>
      </c>
      <c r="B1765" s="1">
        <v>44996</v>
      </c>
      <c r="C1765" t="s">
        <v>696</v>
      </c>
      <c r="D1765" t="s">
        <v>40</v>
      </c>
      <c r="E1765" t="s">
        <v>19</v>
      </c>
      <c r="F1765" t="s">
        <v>29</v>
      </c>
      <c r="G1765" t="s">
        <v>2294</v>
      </c>
      <c r="H1765" s="8">
        <v>1897.29</v>
      </c>
      <c r="I1765" s="8">
        <v>467.1</v>
      </c>
      <c r="J1765" s="8">
        <v>0.15</v>
      </c>
      <c r="K1765" t="str">
        <f>IF(SalesData[[#This Row],[Profit]]&gt;0,"Profit","Loss")</f>
        <v>Profit</v>
      </c>
      <c r="L1765" s="8">
        <f>SalesData[[#This Row],[Profit]]/SalesData[[#This Row],[Sales]]</f>
        <v>0.24619325458944075</v>
      </c>
      <c r="M1765" t="str">
        <f>TEXT(SalesData[[#This Row],[Order_Date]],"mmm")</f>
        <v>Mar</v>
      </c>
      <c r="N1765">
        <f>YEAR(SalesData[[#This Row],[Order_Date]])</f>
        <v>2023</v>
      </c>
    </row>
    <row r="1766" spans="1:14" x14ac:dyDescent="0.3">
      <c r="A1766" t="s">
        <v>2984</v>
      </c>
      <c r="B1766" s="1">
        <v>44647</v>
      </c>
      <c r="C1766" t="s">
        <v>1945</v>
      </c>
      <c r="D1766" t="s">
        <v>12</v>
      </c>
      <c r="E1766" t="s">
        <v>19</v>
      </c>
      <c r="F1766" t="s">
        <v>141</v>
      </c>
      <c r="G1766" t="s">
        <v>1877</v>
      </c>
      <c r="H1766" s="8">
        <v>1381.78</v>
      </c>
      <c r="I1766" s="8">
        <v>-125.76</v>
      </c>
      <c r="J1766" s="8">
        <v>0.06</v>
      </c>
      <c r="K1766" t="str">
        <f>IF(SalesData[[#This Row],[Profit]]&gt;0,"Profit","Loss")</f>
        <v>Loss</v>
      </c>
      <c r="L1766" s="8">
        <f>SalesData[[#This Row],[Profit]]/SalesData[[#This Row],[Sales]]</f>
        <v>-9.1013041149821255E-2</v>
      </c>
      <c r="M1766" t="str">
        <f>TEXT(SalesData[[#This Row],[Order_Date]],"mmm")</f>
        <v>Mar</v>
      </c>
      <c r="N1766">
        <f>YEAR(SalesData[[#This Row],[Order_Date]])</f>
        <v>2022</v>
      </c>
    </row>
    <row r="1767" spans="1:14" x14ac:dyDescent="0.3">
      <c r="A1767" t="s">
        <v>2985</v>
      </c>
      <c r="B1767" s="1">
        <v>44693</v>
      </c>
      <c r="C1767" t="s">
        <v>1499</v>
      </c>
      <c r="D1767" t="s">
        <v>12</v>
      </c>
      <c r="E1767" t="s">
        <v>13</v>
      </c>
      <c r="F1767" t="s">
        <v>36</v>
      </c>
      <c r="G1767" t="s">
        <v>96</v>
      </c>
      <c r="H1767" s="8">
        <v>4321.25</v>
      </c>
      <c r="I1767" s="8">
        <v>-1971.33</v>
      </c>
      <c r="J1767" s="8">
        <v>0.27</v>
      </c>
      <c r="K1767" t="str">
        <f>IF(SalesData[[#This Row],[Profit]]&gt;0,"Profit","Loss")</f>
        <v>Loss</v>
      </c>
      <c r="L1767" s="8">
        <f>SalesData[[#This Row],[Profit]]/SalesData[[#This Row],[Sales]]</f>
        <v>-0.4561943881978594</v>
      </c>
      <c r="M1767" t="str">
        <f>TEXT(SalesData[[#This Row],[Order_Date]],"mmm")</f>
        <v>May</v>
      </c>
      <c r="N1767">
        <f>YEAR(SalesData[[#This Row],[Order_Date]])</f>
        <v>2022</v>
      </c>
    </row>
    <row r="1768" spans="1:14" x14ac:dyDescent="0.3">
      <c r="A1768" t="s">
        <v>2986</v>
      </c>
      <c r="B1768" s="1">
        <v>44651</v>
      </c>
      <c r="C1768" t="s">
        <v>2987</v>
      </c>
      <c r="D1768" t="s">
        <v>12</v>
      </c>
      <c r="E1768" t="s">
        <v>56</v>
      </c>
      <c r="F1768" t="s">
        <v>57</v>
      </c>
      <c r="G1768" t="s">
        <v>737</v>
      </c>
      <c r="H1768" s="8">
        <v>1929.6</v>
      </c>
      <c r="I1768" s="8">
        <v>445.49</v>
      </c>
      <c r="J1768" s="8">
        <v>0.05</v>
      </c>
      <c r="K1768" t="str">
        <f>IF(SalesData[[#This Row],[Profit]]&gt;0,"Profit","Loss")</f>
        <v>Profit</v>
      </c>
      <c r="L1768" s="8">
        <f>SalesData[[#This Row],[Profit]]/SalesData[[#This Row],[Sales]]</f>
        <v>0.2308716832504146</v>
      </c>
      <c r="M1768" t="str">
        <f>TEXT(SalesData[[#This Row],[Order_Date]],"mmm")</f>
        <v>Mar</v>
      </c>
      <c r="N1768">
        <f>YEAR(SalesData[[#This Row],[Order_Date]])</f>
        <v>2022</v>
      </c>
    </row>
    <row r="1769" spans="1:14" x14ac:dyDescent="0.3">
      <c r="A1769" t="s">
        <v>2988</v>
      </c>
      <c r="B1769" s="1">
        <v>44721</v>
      </c>
      <c r="C1769" t="s">
        <v>2989</v>
      </c>
      <c r="D1769" t="s">
        <v>28</v>
      </c>
      <c r="E1769" t="s">
        <v>56</v>
      </c>
      <c r="F1769" t="s">
        <v>73</v>
      </c>
      <c r="G1769" t="s">
        <v>1988</v>
      </c>
      <c r="H1769" s="8">
        <v>4054.23</v>
      </c>
      <c r="I1769" s="8">
        <v>-362.95</v>
      </c>
      <c r="J1769" s="8">
        <v>0.26</v>
      </c>
      <c r="K1769" t="str">
        <f>IF(SalesData[[#This Row],[Profit]]&gt;0,"Profit","Loss")</f>
        <v>Loss</v>
      </c>
      <c r="L1769" s="8">
        <f>SalesData[[#This Row],[Profit]]/SalesData[[#This Row],[Sales]]</f>
        <v>-8.952378133455674E-2</v>
      </c>
      <c r="M1769" t="str">
        <f>TEXT(SalesData[[#This Row],[Order_Date]],"mmm")</f>
        <v>Jun</v>
      </c>
      <c r="N1769">
        <f>YEAR(SalesData[[#This Row],[Order_Date]])</f>
        <v>2022</v>
      </c>
    </row>
    <row r="1770" spans="1:14" x14ac:dyDescent="0.3">
      <c r="A1770" t="s">
        <v>2990</v>
      </c>
      <c r="B1770" s="1">
        <v>44766</v>
      </c>
      <c r="C1770" t="s">
        <v>493</v>
      </c>
      <c r="D1770" t="s">
        <v>12</v>
      </c>
      <c r="E1770" t="s">
        <v>19</v>
      </c>
      <c r="F1770" t="s">
        <v>141</v>
      </c>
      <c r="G1770" t="s">
        <v>828</v>
      </c>
      <c r="H1770" s="8">
        <v>618.58000000000004</v>
      </c>
      <c r="I1770" s="8">
        <v>112.88</v>
      </c>
      <c r="J1770" s="8">
        <v>0.04</v>
      </c>
      <c r="K1770" t="str">
        <f>IF(SalesData[[#This Row],[Profit]]&gt;0,"Profit","Loss")</f>
        <v>Profit</v>
      </c>
      <c r="L1770" s="8">
        <f>SalesData[[#This Row],[Profit]]/SalesData[[#This Row],[Sales]]</f>
        <v>0.18248245982734648</v>
      </c>
      <c r="M1770" t="str">
        <f>TEXT(SalesData[[#This Row],[Order_Date]],"mmm")</f>
        <v>Jul</v>
      </c>
      <c r="N1770">
        <f>YEAR(SalesData[[#This Row],[Order_Date]])</f>
        <v>2022</v>
      </c>
    </row>
    <row r="1771" spans="1:14" x14ac:dyDescent="0.3">
      <c r="A1771" t="s">
        <v>2991</v>
      </c>
      <c r="B1771" s="1">
        <v>44800</v>
      </c>
      <c r="C1771" t="s">
        <v>153</v>
      </c>
      <c r="D1771" t="s">
        <v>12</v>
      </c>
      <c r="E1771" t="s">
        <v>56</v>
      </c>
      <c r="F1771" t="s">
        <v>73</v>
      </c>
      <c r="G1771" t="s">
        <v>694</v>
      </c>
      <c r="H1771" s="8">
        <v>4761.82</v>
      </c>
      <c r="I1771" s="8">
        <v>1309.29</v>
      </c>
      <c r="J1771" s="8">
        <v>0</v>
      </c>
      <c r="K1771" t="str">
        <f>IF(SalesData[[#This Row],[Profit]]&gt;0,"Profit","Loss")</f>
        <v>Profit</v>
      </c>
      <c r="L1771" s="8">
        <f>SalesData[[#This Row],[Profit]]/SalesData[[#This Row],[Sales]]</f>
        <v>0.27495579421313698</v>
      </c>
      <c r="M1771" t="str">
        <f>TEXT(SalesData[[#This Row],[Order_Date]],"mmm")</f>
        <v>Aug</v>
      </c>
      <c r="N1771">
        <f>YEAR(SalesData[[#This Row],[Order_Date]])</f>
        <v>2022</v>
      </c>
    </row>
    <row r="1772" spans="1:14" x14ac:dyDescent="0.3">
      <c r="A1772" t="s">
        <v>2992</v>
      </c>
      <c r="B1772" s="1">
        <v>44764</v>
      </c>
      <c r="C1772" t="s">
        <v>1573</v>
      </c>
      <c r="D1772" t="s">
        <v>28</v>
      </c>
      <c r="E1772" t="s">
        <v>56</v>
      </c>
      <c r="F1772" t="s">
        <v>95</v>
      </c>
      <c r="G1772" t="s">
        <v>309</v>
      </c>
      <c r="H1772" s="8">
        <v>1669.98</v>
      </c>
      <c r="I1772" s="8">
        <v>-124.2</v>
      </c>
      <c r="J1772" s="8">
        <v>0.16</v>
      </c>
      <c r="K1772" t="str">
        <f>IF(SalesData[[#This Row],[Profit]]&gt;0,"Profit","Loss")</f>
        <v>Loss</v>
      </c>
      <c r="L1772" s="8">
        <f>SalesData[[#This Row],[Profit]]/SalesData[[#This Row],[Sales]]</f>
        <v>-7.4372148169439156E-2</v>
      </c>
      <c r="M1772" t="str">
        <f>TEXT(SalesData[[#This Row],[Order_Date]],"mmm")</f>
        <v>Jul</v>
      </c>
      <c r="N1772">
        <f>YEAR(SalesData[[#This Row],[Order_Date]])</f>
        <v>2022</v>
      </c>
    </row>
    <row r="1773" spans="1:14" x14ac:dyDescent="0.3">
      <c r="A1773" t="s">
        <v>2993</v>
      </c>
      <c r="B1773" s="1">
        <v>44624</v>
      </c>
      <c r="C1773" t="s">
        <v>1474</v>
      </c>
      <c r="D1773" t="s">
        <v>18</v>
      </c>
      <c r="E1773" t="s">
        <v>13</v>
      </c>
      <c r="F1773" t="s">
        <v>14</v>
      </c>
      <c r="G1773" t="s">
        <v>70</v>
      </c>
      <c r="H1773" s="8">
        <v>2399.13</v>
      </c>
      <c r="I1773" s="8">
        <v>-155.72999999999999</v>
      </c>
      <c r="J1773" s="8">
        <v>0.22</v>
      </c>
      <c r="K1773" t="str">
        <f>IF(SalesData[[#This Row],[Profit]]&gt;0,"Profit","Loss")</f>
        <v>Loss</v>
      </c>
      <c r="L1773" s="8">
        <f>SalesData[[#This Row],[Profit]]/SalesData[[#This Row],[Sales]]</f>
        <v>-6.4911030248465063E-2</v>
      </c>
      <c r="M1773" t="str">
        <f>TEXT(SalesData[[#This Row],[Order_Date]],"mmm")</f>
        <v>Mar</v>
      </c>
      <c r="N1773">
        <f>YEAR(SalesData[[#This Row],[Order_Date]])</f>
        <v>2022</v>
      </c>
    </row>
    <row r="1774" spans="1:14" x14ac:dyDescent="0.3">
      <c r="A1774" t="s">
        <v>2994</v>
      </c>
      <c r="B1774" s="1">
        <v>45117</v>
      </c>
      <c r="C1774" t="s">
        <v>1334</v>
      </c>
      <c r="D1774" t="s">
        <v>18</v>
      </c>
      <c r="E1774" t="s">
        <v>56</v>
      </c>
      <c r="F1774" t="s">
        <v>57</v>
      </c>
      <c r="G1774" t="s">
        <v>306</v>
      </c>
      <c r="H1774" s="8">
        <v>961.67</v>
      </c>
      <c r="I1774" s="8">
        <v>-167.01</v>
      </c>
      <c r="J1774" s="8">
        <v>0.06</v>
      </c>
      <c r="K1774" t="str">
        <f>IF(SalesData[[#This Row],[Profit]]&gt;0,"Profit","Loss")</f>
        <v>Loss</v>
      </c>
      <c r="L1774" s="8">
        <f>SalesData[[#This Row],[Profit]]/SalesData[[#This Row],[Sales]]</f>
        <v>-0.17366664240331922</v>
      </c>
      <c r="M1774" t="str">
        <f>TEXT(SalesData[[#This Row],[Order_Date]],"mmm")</f>
        <v>Jul</v>
      </c>
      <c r="N1774">
        <f>YEAR(SalesData[[#This Row],[Order_Date]])</f>
        <v>2023</v>
      </c>
    </row>
    <row r="1775" spans="1:14" x14ac:dyDescent="0.3">
      <c r="A1775" t="s">
        <v>2995</v>
      </c>
      <c r="B1775" s="1">
        <v>44795</v>
      </c>
      <c r="C1775" t="s">
        <v>1120</v>
      </c>
      <c r="D1775" t="s">
        <v>28</v>
      </c>
      <c r="E1775" t="s">
        <v>56</v>
      </c>
      <c r="F1775" t="s">
        <v>73</v>
      </c>
      <c r="G1775" t="s">
        <v>409</v>
      </c>
      <c r="H1775" s="8">
        <v>3832.17</v>
      </c>
      <c r="I1775" s="8">
        <v>954.86</v>
      </c>
      <c r="J1775" s="8">
        <v>0.06</v>
      </c>
      <c r="K1775" t="str">
        <f>IF(SalesData[[#This Row],[Profit]]&gt;0,"Profit","Loss")</f>
        <v>Profit</v>
      </c>
      <c r="L1775" s="8">
        <f>SalesData[[#This Row],[Profit]]/SalesData[[#This Row],[Sales]]</f>
        <v>0.24916953057928015</v>
      </c>
      <c r="M1775" t="str">
        <f>TEXT(SalesData[[#This Row],[Order_Date]],"mmm")</f>
        <v>Aug</v>
      </c>
      <c r="N1775">
        <f>YEAR(SalesData[[#This Row],[Order_Date]])</f>
        <v>2022</v>
      </c>
    </row>
    <row r="1776" spans="1:14" x14ac:dyDescent="0.3">
      <c r="A1776" t="s">
        <v>2996</v>
      </c>
      <c r="B1776" s="1">
        <v>44998</v>
      </c>
      <c r="C1776" t="s">
        <v>388</v>
      </c>
      <c r="D1776" t="s">
        <v>40</v>
      </c>
      <c r="E1776" t="s">
        <v>13</v>
      </c>
      <c r="F1776" t="s">
        <v>36</v>
      </c>
      <c r="G1776" t="s">
        <v>853</v>
      </c>
      <c r="H1776" s="8">
        <v>3047.61</v>
      </c>
      <c r="I1776" s="8">
        <v>-544.79</v>
      </c>
      <c r="J1776" s="8">
        <v>0.15</v>
      </c>
      <c r="K1776" t="str">
        <f>IF(SalesData[[#This Row],[Profit]]&gt;0,"Profit","Loss")</f>
        <v>Loss</v>
      </c>
      <c r="L1776" s="8">
        <f>SalesData[[#This Row],[Profit]]/SalesData[[#This Row],[Sales]]</f>
        <v>-0.17875974944300613</v>
      </c>
      <c r="M1776" t="str">
        <f>TEXT(SalesData[[#This Row],[Order_Date]],"mmm")</f>
        <v>Mar</v>
      </c>
      <c r="N1776">
        <f>YEAR(SalesData[[#This Row],[Order_Date]])</f>
        <v>2023</v>
      </c>
    </row>
    <row r="1777" spans="1:14" x14ac:dyDescent="0.3">
      <c r="A1777" t="s">
        <v>2997</v>
      </c>
      <c r="B1777" s="1">
        <v>44850</v>
      </c>
      <c r="C1777" t="s">
        <v>768</v>
      </c>
      <c r="D1777" t="s">
        <v>18</v>
      </c>
      <c r="E1777" t="s">
        <v>56</v>
      </c>
      <c r="F1777" t="s">
        <v>73</v>
      </c>
      <c r="G1777" t="s">
        <v>520</v>
      </c>
      <c r="H1777" s="8">
        <v>134.22</v>
      </c>
      <c r="I1777" s="8">
        <v>-8.0399999999999991</v>
      </c>
      <c r="J1777" s="8">
        <v>0.27</v>
      </c>
      <c r="K1777" t="str">
        <f>IF(SalesData[[#This Row],[Profit]]&gt;0,"Profit","Loss")</f>
        <v>Loss</v>
      </c>
      <c r="L1777" s="8">
        <f>SalesData[[#This Row],[Profit]]/SalesData[[#This Row],[Sales]]</f>
        <v>-5.9901654000894047E-2</v>
      </c>
      <c r="M1777" t="str">
        <f>TEXT(SalesData[[#This Row],[Order_Date]],"mmm")</f>
        <v>Oct</v>
      </c>
      <c r="N1777">
        <f>YEAR(SalesData[[#This Row],[Order_Date]])</f>
        <v>2022</v>
      </c>
    </row>
    <row r="1778" spans="1:14" x14ac:dyDescent="0.3">
      <c r="A1778" t="s">
        <v>2998</v>
      </c>
      <c r="B1778" s="1">
        <v>45002</v>
      </c>
      <c r="C1778" t="s">
        <v>1396</v>
      </c>
      <c r="D1778" t="s">
        <v>28</v>
      </c>
      <c r="E1778" t="s">
        <v>56</v>
      </c>
      <c r="F1778" t="s">
        <v>57</v>
      </c>
      <c r="G1778" t="s">
        <v>1234</v>
      </c>
      <c r="H1778" s="8">
        <v>2520.2199999999998</v>
      </c>
      <c r="I1778" s="8">
        <v>-1093.1600000000001</v>
      </c>
      <c r="J1778" s="8">
        <v>0.27</v>
      </c>
      <c r="K1778" t="str">
        <f>IF(SalesData[[#This Row],[Profit]]&gt;0,"Profit","Loss")</f>
        <v>Loss</v>
      </c>
      <c r="L1778" s="8">
        <f>SalesData[[#This Row],[Profit]]/SalesData[[#This Row],[Sales]]</f>
        <v>-0.43375578322527403</v>
      </c>
      <c r="M1778" t="str">
        <f>TEXT(SalesData[[#This Row],[Order_Date]],"mmm")</f>
        <v>Mar</v>
      </c>
      <c r="N1778">
        <f>YEAR(SalesData[[#This Row],[Order_Date]])</f>
        <v>2023</v>
      </c>
    </row>
    <row r="1779" spans="1:14" x14ac:dyDescent="0.3">
      <c r="A1779" t="s">
        <v>2999</v>
      </c>
      <c r="B1779" s="1">
        <v>44932</v>
      </c>
      <c r="C1779" t="s">
        <v>1494</v>
      </c>
      <c r="D1779" t="s">
        <v>12</v>
      </c>
      <c r="E1779" t="s">
        <v>13</v>
      </c>
      <c r="F1779" t="s">
        <v>24</v>
      </c>
      <c r="G1779" t="s">
        <v>917</v>
      </c>
      <c r="H1779" s="8">
        <v>532.34</v>
      </c>
      <c r="I1779" s="8">
        <v>90.39</v>
      </c>
      <c r="J1779" s="8">
        <v>0.18</v>
      </c>
      <c r="K1779" t="str">
        <f>IF(SalesData[[#This Row],[Profit]]&gt;0,"Profit","Loss")</f>
        <v>Profit</v>
      </c>
      <c r="L1779" s="8">
        <f>SalesData[[#This Row],[Profit]]/SalesData[[#This Row],[Sales]]</f>
        <v>0.16979749783972647</v>
      </c>
      <c r="M1779" t="str">
        <f>TEXT(SalesData[[#This Row],[Order_Date]],"mmm")</f>
        <v>Jan</v>
      </c>
      <c r="N1779">
        <f>YEAR(SalesData[[#This Row],[Order_Date]])</f>
        <v>2023</v>
      </c>
    </row>
    <row r="1780" spans="1:14" x14ac:dyDescent="0.3">
      <c r="A1780" t="s">
        <v>3000</v>
      </c>
      <c r="B1780" s="1">
        <v>45053</v>
      </c>
      <c r="C1780" t="s">
        <v>2410</v>
      </c>
      <c r="D1780" t="s">
        <v>28</v>
      </c>
      <c r="E1780" t="s">
        <v>19</v>
      </c>
      <c r="F1780" t="s">
        <v>141</v>
      </c>
      <c r="G1780" t="s">
        <v>850</v>
      </c>
      <c r="H1780" s="8">
        <v>4214.6499999999996</v>
      </c>
      <c r="I1780" s="8">
        <v>443.87</v>
      </c>
      <c r="J1780" s="8">
        <v>0.14000000000000001</v>
      </c>
      <c r="K1780" t="str">
        <f>IF(SalesData[[#This Row],[Profit]]&gt;0,"Profit","Loss")</f>
        <v>Profit</v>
      </c>
      <c r="L1780" s="8">
        <f>SalesData[[#This Row],[Profit]]/SalesData[[#This Row],[Sales]]</f>
        <v>0.10531598116095051</v>
      </c>
      <c r="M1780" t="str">
        <f>TEXT(SalesData[[#This Row],[Order_Date]],"mmm")</f>
        <v>May</v>
      </c>
      <c r="N1780">
        <f>YEAR(SalesData[[#This Row],[Order_Date]])</f>
        <v>2023</v>
      </c>
    </row>
    <row r="1781" spans="1:14" x14ac:dyDescent="0.3">
      <c r="A1781" t="s">
        <v>3001</v>
      </c>
      <c r="B1781" s="1">
        <v>44736</v>
      </c>
      <c r="C1781" t="s">
        <v>1779</v>
      </c>
      <c r="D1781" t="s">
        <v>40</v>
      </c>
      <c r="E1781" t="s">
        <v>19</v>
      </c>
      <c r="F1781" t="s">
        <v>29</v>
      </c>
      <c r="G1781" t="s">
        <v>317</v>
      </c>
      <c r="H1781" s="8">
        <v>2774.99</v>
      </c>
      <c r="I1781" s="8">
        <v>-785.69</v>
      </c>
      <c r="J1781" s="8">
        <v>0.22</v>
      </c>
      <c r="K1781" t="str">
        <f>IF(SalesData[[#This Row],[Profit]]&gt;0,"Profit","Loss")</f>
        <v>Loss</v>
      </c>
      <c r="L1781" s="8">
        <f>SalesData[[#This Row],[Profit]]/SalesData[[#This Row],[Sales]]</f>
        <v>-0.28313255182901564</v>
      </c>
      <c r="M1781" t="str">
        <f>TEXT(SalesData[[#This Row],[Order_Date]],"mmm")</f>
        <v>Jun</v>
      </c>
      <c r="N1781">
        <f>YEAR(SalesData[[#This Row],[Order_Date]])</f>
        <v>2022</v>
      </c>
    </row>
    <row r="1782" spans="1:14" x14ac:dyDescent="0.3">
      <c r="A1782" t="s">
        <v>3002</v>
      </c>
      <c r="B1782" s="1">
        <v>44974</v>
      </c>
      <c r="C1782" t="s">
        <v>2693</v>
      </c>
      <c r="D1782" t="s">
        <v>28</v>
      </c>
      <c r="E1782" t="s">
        <v>19</v>
      </c>
      <c r="F1782" t="s">
        <v>29</v>
      </c>
      <c r="G1782" t="s">
        <v>1064</v>
      </c>
      <c r="H1782" s="8">
        <v>1689.4</v>
      </c>
      <c r="I1782" s="8">
        <v>214.77</v>
      </c>
      <c r="J1782" s="8">
        <v>0.24</v>
      </c>
      <c r="K1782" t="str">
        <f>IF(SalesData[[#This Row],[Profit]]&gt;0,"Profit","Loss")</f>
        <v>Profit</v>
      </c>
      <c r="L1782" s="8">
        <f>SalesData[[#This Row],[Profit]]/SalesData[[#This Row],[Sales]]</f>
        <v>0.12712797442879128</v>
      </c>
      <c r="M1782" t="str">
        <f>TEXT(SalesData[[#This Row],[Order_Date]],"mmm")</f>
        <v>Feb</v>
      </c>
      <c r="N1782">
        <f>YEAR(SalesData[[#This Row],[Order_Date]])</f>
        <v>2023</v>
      </c>
    </row>
    <row r="1783" spans="1:14" x14ac:dyDescent="0.3">
      <c r="A1783" t="s">
        <v>3003</v>
      </c>
      <c r="B1783" s="1">
        <v>44704</v>
      </c>
      <c r="C1783" t="s">
        <v>832</v>
      </c>
      <c r="D1783" t="s">
        <v>28</v>
      </c>
      <c r="E1783" t="s">
        <v>56</v>
      </c>
      <c r="F1783" t="s">
        <v>57</v>
      </c>
      <c r="G1783" t="s">
        <v>780</v>
      </c>
      <c r="H1783" s="8">
        <v>3715.51</v>
      </c>
      <c r="I1783" s="8">
        <v>928.06</v>
      </c>
      <c r="J1783" s="8">
        <v>0.12</v>
      </c>
      <c r="K1783" t="str">
        <f>IF(SalesData[[#This Row],[Profit]]&gt;0,"Profit","Loss")</f>
        <v>Profit</v>
      </c>
      <c r="L1783" s="8">
        <f>SalesData[[#This Row],[Profit]]/SalesData[[#This Row],[Sales]]</f>
        <v>0.24977997636932747</v>
      </c>
      <c r="M1783" t="str">
        <f>TEXT(SalesData[[#This Row],[Order_Date]],"mmm")</f>
        <v>May</v>
      </c>
      <c r="N1783">
        <f>YEAR(SalesData[[#This Row],[Order_Date]])</f>
        <v>2022</v>
      </c>
    </row>
    <row r="1784" spans="1:14" x14ac:dyDescent="0.3">
      <c r="A1784" t="s">
        <v>3004</v>
      </c>
      <c r="B1784" s="1">
        <v>45239</v>
      </c>
      <c r="C1784" t="s">
        <v>2714</v>
      </c>
      <c r="D1784" t="s">
        <v>18</v>
      </c>
      <c r="E1784" t="s">
        <v>13</v>
      </c>
      <c r="F1784" t="s">
        <v>14</v>
      </c>
      <c r="G1784" t="s">
        <v>1703</v>
      </c>
      <c r="H1784" s="8">
        <v>2057.15</v>
      </c>
      <c r="I1784" s="8">
        <v>565.36</v>
      </c>
      <c r="J1784" s="8">
        <v>0</v>
      </c>
      <c r="K1784" t="str">
        <f>IF(SalesData[[#This Row],[Profit]]&gt;0,"Profit","Loss")</f>
        <v>Profit</v>
      </c>
      <c r="L1784" s="8">
        <f>SalesData[[#This Row],[Profit]]/SalesData[[#This Row],[Sales]]</f>
        <v>0.27482682351797388</v>
      </c>
      <c r="M1784" t="str">
        <f>TEXT(SalesData[[#This Row],[Order_Date]],"mmm")</f>
        <v>Nov</v>
      </c>
      <c r="N1784">
        <f>YEAR(SalesData[[#This Row],[Order_Date]])</f>
        <v>2023</v>
      </c>
    </row>
    <row r="1785" spans="1:14" x14ac:dyDescent="0.3">
      <c r="A1785" t="s">
        <v>3005</v>
      </c>
      <c r="B1785" s="1">
        <v>44907</v>
      </c>
      <c r="C1785" t="s">
        <v>3006</v>
      </c>
      <c r="D1785" t="s">
        <v>12</v>
      </c>
      <c r="E1785" t="s">
        <v>56</v>
      </c>
      <c r="F1785" t="s">
        <v>57</v>
      </c>
      <c r="G1785" t="s">
        <v>1875</v>
      </c>
      <c r="H1785" s="8">
        <v>564.75</v>
      </c>
      <c r="I1785" s="8">
        <v>-129.93</v>
      </c>
      <c r="J1785" s="8">
        <v>0.12</v>
      </c>
      <c r="K1785" t="str">
        <f>IF(SalesData[[#This Row],[Profit]]&gt;0,"Profit","Loss")</f>
        <v>Loss</v>
      </c>
      <c r="L1785" s="8">
        <f>SalesData[[#This Row],[Profit]]/SalesData[[#This Row],[Sales]]</f>
        <v>-0.23006640106241702</v>
      </c>
      <c r="M1785" t="str">
        <f>TEXT(SalesData[[#This Row],[Order_Date]],"mmm")</f>
        <v>Dec</v>
      </c>
      <c r="N1785">
        <f>YEAR(SalesData[[#This Row],[Order_Date]])</f>
        <v>2022</v>
      </c>
    </row>
    <row r="1786" spans="1:14" x14ac:dyDescent="0.3">
      <c r="A1786" t="s">
        <v>3007</v>
      </c>
      <c r="B1786" s="1">
        <v>44795</v>
      </c>
      <c r="C1786" t="s">
        <v>422</v>
      </c>
      <c r="D1786" t="s">
        <v>28</v>
      </c>
      <c r="E1786" t="s">
        <v>19</v>
      </c>
      <c r="F1786" t="s">
        <v>20</v>
      </c>
      <c r="G1786" t="s">
        <v>2205</v>
      </c>
      <c r="H1786" s="8">
        <v>1587.26</v>
      </c>
      <c r="I1786" s="8">
        <v>-254.6</v>
      </c>
      <c r="J1786" s="8">
        <v>0.28999999999999998</v>
      </c>
      <c r="K1786" t="str">
        <f>IF(SalesData[[#This Row],[Profit]]&gt;0,"Profit","Loss")</f>
        <v>Loss</v>
      </c>
      <c r="L1786" s="8">
        <f>SalesData[[#This Row],[Profit]]/SalesData[[#This Row],[Sales]]</f>
        <v>-0.16040220253770648</v>
      </c>
      <c r="M1786" t="str">
        <f>TEXT(SalesData[[#This Row],[Order_Date]],"mmm")</f>
        <v>Aug</v>
      </c>
      <c r="N1786">
        <f>YEAR(SalesData[[#This Row],[Order_Date]])</f>
        <v>2022</v>
      </c>
    </row>
    <row r="1787" spans="1:14" x14ac:dyDescent="0.3">
      <c r="A1787" t="s">
        <v>3008</v>
      </c>
      <c r="B1787" s="1">
        <v>45243</v>
      </c>
      <c r="C1787" t="s">
        <v>290</v>
      </c>
      <c r="D1787" t="s">
        <v>40</v>
      </c>
      <c r="E1787" t="s">
        <v>13</v>
      </c>
      <c r="F1787" t="s">
        <v>36</v>
      </c>
      <c r="G1787" t="s">
        <v>3009</v>
      </c>
      <c r="H1787" s="8">
        <v>2221</v>
      </c>
      <c r="I1787" s="8">
        <v>-853.1</v>
      </c>
      <c r="J1787" s="8">
        <v>0.28000000000000003</v>
      </c>
      <c r="K1787" t="str">
        <f>IF(SalesData[[#This Row],[Profit]]&gt;0,"Profit","Loss")</f>
        <v>Loss</v>
      </c>
      <c r="L1787" s="8">
        <f>SalesData[[#This Row],[Profit]]/SalesData[[#This Row],[Sales]]</f>
        <v>-0.38410625844214319</v>
      </c>
      <c r="M1787" t="str">
        <f>TEXT(SalesData[[#This Row],[Order_Date]],"mmm")</f>
        <v>Nov</v>
      </c>
      <c r="N1787">
        <f>YEAR(SalesData[[#This Row],[Order_Date]])</f>
        <v>2023</v>
      </c>
    </row>
    <row r="1788" spans="1:14" x14ac:dyDescent="0.3">
      <c r="A1788" t="s">
        <v>3010</v>
      </c>
      <c r="B1788" s="1">
        <v>44706</v>
      </c>
      <c r="C1788" t="s">
        <v>3011</v>
      </c>
      <c r="D1788" t="s">
        <v>28</v>
      </c>
      <c r="E1788" t="s">
        <v>56</v>
      </c>
      <c r="F1788" t="s">
        <v>57</v>
      </c>
      <c r="G1788" t="s">
        <v>398</v>
      </c>
      <c r="H1788" s="8">
        <v>4769.46</v>
      </c>
      <c r="I1788" s="8">
        <v>-216.1</v>
      </c>
      <c r="J1788" s="8">
        <v>0.21</v>
      </c>
      <c r="K1788" t="str">
        <f>IF(SalesData[[#This Row],[Profit]]&gt;0,"Profit","Loss")</f>
        <v>Loss</v>
      </c>
      <c r="L1788" s="8">
        <f>SalesData[[#This Row],[Profit]]/SalesData[[#This Row],[Sales]]</f>
        <v>-4.5309112562009111E-2</v>
      </c>
      <c r="M1788" t="str">
        <f>TEXT(SalesData[[#This Row],[Order_Date]],"mmm")</f>
        <v>May</v>
      </c>
      <c r="N1788">
        <f>YEAR(SalesData[[#This Row],[Order_Date]])</f>
        <v>2022</v>
      </c>
    </row>
    <row r="1789" spans="1:14" x14ac:dyDescent="0.3">
      <c r="A1789" t="s">
        <v>3012</v>
      </c>
      <c r="B1789" s="1">
        <v>44908</v>
      </c>
      <c r="C1789" t="s">
        <v>1169</v>
      </c>
      <c r="D1789" t="s">
        <v>40</v>
      </c>
      <c r="E1789" t="s">
        <v>56</v>
      </c>
      <c r="F1789" t="s">
        <v>95</v>
      </c>
      <c r="G1789" t="s">
        <v>47</v>
      </c>
      <c r="H1789" s="8">
        <v>2503.48</v>
      </c>
      <c r="I1789" s="8">
        <v>-278.12</v>
      </c>
      <c r="J1789" s="8">
        <v>0.28999999999999998</v>
      </c>
      <c r="K1789" t="str">
        <f>IF(SalesData[[#This Row],[Profit]]&gt;0,"Profit","Loss")</f>
        <v>Loss</v>
      </c>
      <c r="L1789" s="8">
        <f>SalesData[[#This Row],[Profit]]/SalesData[[#This Row],[Sales]]</f>
        <v>-0.11109335804560053</v>
      </c>
      <c r="M1789" t="str">
        <f>TEXT(SalesData[[#This Row],[Order_Date]],"mmm")</f>
        <v>Dec</v>
      </c>
      <c r="N1789">
        <f>YEAR(SalesData[[#This Row],[Order_Date]])</f>
        <v>2022</v>
      </c>
    </row>
    <row r="1790" spans="1:14" x14ac:dyDescent="0.3">
      <c r="A1790" t="s">
        <v>3013</v>
      </c>
      <c r="B1790" s="1">
        <v>44911</v>
      </c>
      <c r="C1790" t="s">
        <v>839</v>
      </c>
      <c r="D1790" t="s">
        <v>40</v>
      </c>
      <c r="E1790" t="s">
        <v>13</v>
      </c>
      <c r="F1790" t="s">
        <v>36</v>
      </c>
      <c r="G1790" t="s">
        <v>2087</v>
      </c>
      <c r="H1790" s="8">
        <v>3096.97</v>
      </c>
      <c r="I1790" s="8">
        <v>-192.69</v>
      </c>
      <c r="J1790" s="8">
        <v>0.18</v>
      </c>
      <c r="K1790" t="str">
        <f>IF(SalesData[[#This Row],[Profit]]&gt;0,"Profit","Loss")</f>
        <v>Loss</v>
      </c>
      <c r="L1790" s="8">
        <f>SalesData[[#This Row],[Profit]]/SalesData[[#This Row],[Sales]]</f>
        <v>-6.221887845216454E-2</v>
      </c>
      <c r="M1790" t="str">
        <f>TEXT(SalesData[[#This Row],[Order_Date]],"mmm")</f>
        <v>Dec</v>
      </c>
      <c r="N1790">
        <f>YEAR(SalesData[[#This Row],[Order_Date]])</f>
        <v>2022</v>
      </c>
    </row>
    <row r="1791" spans="1:14" x14ac:dyDescent="0.3">
      <c r="A1791" t="s">
        <v>3014</v>
      </c>
      <c r="B1791" s="1">
        <v>45019</v>
      </c>
      <c r="C1791" t="s">
        <v>1080</v>
      </c>
      <c r="D1791" t="s">
        <v>28</v>
      </c>
      <c r="E1791" t="s">
        <v>13</v>
      </c>
      <c r="F1791" t="s">
        <v>14</v>
      </c>
      <c r="G1791" t="s">
        <v>954</v>
      </c>
      <c r="H1791" s="8">
        <v>1910.88</v>
      </c>
      <c r="I1791" s="8">
        <v>-863.96</v>
      </c>
      <c r="J1791" s="8">
        <v>0.28999999999999998</v>
      </c>
      <c r="K1791" t="str">
        <f>IF(SalesData[[#This Row],[Profit]]&gt;0,"Profit","Loss")</f>
        <v>Loss</v>
      </c>
      <c r="L1791" s="8">
        <f>SalesData[[#This Row],[Profit]]/SalesData[[#This Row],[Sales]]</f>
        <v>-0.45212676881855479</v>
      </c>
      <c r="M1791" t="str">
        <f>TEXT(SalesData[[#This Row],[Order_Date]],"mmm")</f>
        <v>Apr</v>
      </c>
      <c r="N1791">
        <f>YEAR(SalesData[[#This Row],[Order_Date]])</f>
        <v>2023</v>
      </c>
    </row>
    <row r="1792" spans="1:14" x14ac:dyDescent="0.3">
      <c r="A1792" t="s">
        <v>3015</v>
      </c>
      <c r="B1792" s="1">
        <v>45211</v>
      </c>
      <c r="C1792" t="s">
        <v>433</v>
      </c>
      <c r="D1792" t="s">
        <v>40</v>
      </c>
      <c r="E1792" t="s">
        <v>56</v>
      </c>
      <c r="F1792" t="s">
        <v>95</v>
      </c>
      <c r="G1792" t="s">
        <v>262</v>
      </c>
      <c r="H1792" s="8">
        <v>3472.58</v>
      </c>
      <c r="I1792" s="8">
        <v>248.4</v>
      </c>
      <c r="J1792" s="8">
        <v>0.27</v>
      </c>
      <c r="K1792" t="str">
        <f>IF(SalesData[[#This Row],[Profit]]&gt;0,"Profit","Loss")</f>
        <v>Profit</v>
      </c>
      <c r="L1792" s="8">
        <f>SalesData[[#This Row],[Profit]]/SalesData[[#This Row],[Sales]]</f>
        <v>7.1531829360302723E-2</v>
      </c>
      <c r="M1792" t="str">
        <f>TEXT(SalesData[[#This Row],[Order_Date]],"mmm")</f>
        <v>Oct</v>
      </c>
      <c r="N1792">
        <f>YEAR(SalesData[[#This Row],[Order_Date]])</f>
        <v>2023</v>
      </c>
    </row>
    <row r="1793" spans="1:14" x14ac:dyDescent="0.3">
      <c r="A1793" t="s">
        <v>3016</v>
      </c>
      <c r="B1793" s="1">
        <v>44891</v>
      </c>
      <c r="C1793" t="s">
        <v>2038</v>
      </c>
      <c r="D1793" t="s">
        <v>18</v>
      </c>
      <c r="E1793" t="s">
        <v>19</v>
      </c>
      <c r="F1793" t="s">
        <v>141</v>
      </c>
      <c r="G1793" t="s">
        <v>800</v>
      </c>
      <c r="H1793" s="8">
        <v>3989.71</v>
      </c>
      <c r="I1793" s="8">
        <v>523.1</v>
      </c>
      <c r="J1793" s="8">
        <v>0.21</v>
      </c>
      <c r="K1793" t="str">
        <f>IF(SalesData[[#This Row],[Profit]]&gt;0,"Profit","Loss")</f>
        <v>Profit</v>
      </c>
      <c r="L1793" s="8">
        <f>SalesData[[#This Row],[Profit]]/SalesData[[#This Row],[Sales]]</f>
        <v>0.13111228635665248</v>
      </c>
      <c r="M1793" t="str">
        <f>TEXT(SalesData[[#This Row],[Order_Date]],"mmm")</f>
        <v>Nov</v>
      </c>
      <c r="N1793">
        <f>YEAR(SalesData[[#This Row],[Order_Date]])</f>
        <v>2022</v>
      </c>
    </row>
    <row r="1794" spans="1:14" x14ac:dyDescent="0.3">
      <c r="A1794" t="s">
        <v>3017</v>
      </c>
      <c r="B1794" s="1">
        <v>45043</v>
      </c>
      <c r="C1794" t="s">
        <v>1289</v>
      </c>
      <c r="D1794" t="s">
        <v>40</v>
      </c>
      <c r="E1794" t="s">
        <v>13</v>
      </c>
      <c r="F1794" t="s">
        <v>24</v>
      </c>
      <c r="G1794" t="s">
        <v>1941</v>
      </c>
      <c r="H1794" s="8">
        <v>1261.3900000000001</v>
      </c>
      <c r="I1794" s="8">
        <v>-197.85</v>
      </c>
      <c r="J1794" s="8">
        <v>0.25</v>
      </c>
      <c r="K1794" t="str">
        <f>IF(SalesData[[#This Row],[Profit]]&gt;0,"Profit","Loss")</f>
        <v>Loss</v>
      </c>
      <c r="L1794" s="8">
        <f>SalesData[[#This Row],[Profit]]/SalesData[[#This Row],[Sales]]</f>
        <v>-0.15685077573153425</v>
      </c>
      <c r="M1794" t="str">
        <f>TEXT(SalesData[[#This Row],[Order_Date]],"mmm")</f>
        <v>Apr</v>
      </c>
      <c r="N1794">
        <f>YEAR(SalesData[[#This Row],[Order_Date]])</f>
        <v>2023</v>
      </c>
    </row>
    <row r="1795" spans="1:14" x14ac:dyDescent="0.3">
      <c r="A1795" t="s">
        <v>3018</v>
      </c>
      <c r="B1795" s="1">
        <v>45064</v>
      </c>
      <c r="C1795" t="s">
        <v>736</v>
      </c>
      <c r="D1795" t="s">
        <v>40</v>
      </c>
      <c r="E1795" t="s">
        <v>56</v>
      </c>
      <c r="F1795" t="s">
        <v>95</v>
      </c>
      <c r="G1795" t="s">
        <v>564</v>
      </c>
      <c r="H1795" s="8">
        <v>3775.94</v>
      </c>
      <c r="I1795" s="8">
        <v>-1288.4100000000001</v>
      </c>
      <c r="J1795" s="8">
        <v>0.19</v>
      </c>
      <c r="K1795" t="str">
        <f>IF(SalesData[[#This Row],[Profit]]&gt;0,"Profit","Loss")</f>
        <v>Loss</v>
      </c>
      <c r="L1795" s="8">
        <f>SalesData[[#This Row],[Profit]]/SalesData[[#This Row],[Sales]]</f>
        <v>-0.34121569728332551</v>
      </c>
      <c r="M1795" t="str">
        <f>TEXT(SalesData[[#This Row],[Order_Date]],"mmm")</f>
        <v>May</v>
      </c>
      <c r="N1795">
        <f>YEAR(SalesData[[#This Row],[Order_Date]])</f>
        <v>2023</v>
      </c>
    </row>
    <row r="1796" spans="1:14" x14ac:dyDescent="0.3">
      <c r="A1796" t="s">
        <v>3019</v>
      </c>
      <c r="B1796" s="1">
        <v>44708</v>
      </c>
      <c r="C1796" t="s">
        <v>1457</v>
      </c>
      <c r="D1796" t="s">
        <v>12</v>
      </c>
      <c r="E1796" t="s">
        <v>19</v>
      </c>
      <c r="F1796" t="s">
        <v>29</v>
      </c>
      <c r="G1796" t="s">
        <v>1123</v>
      </c>
      <c r="H1796" s="8">
        <v>3909.42</v>
      </c>
      <c r="I1796" s="8">
        <v>-1072.25</v>
      </c>
      <c r="J1796" s="8">
        <v>0.24</v>
      </c>
      <c r="K1796" t="str">
        <f>IF(SalesData[[#This Row],[Profit]]&gt;0,"Profit","Loss")</f>
        <v>Loss</v>
      </c>
      <c r="L1796" s="8">
        <f>SalesData[[#This Row],[Profit]]/SalesData[[#This Row],[Sales]]</f>
        <v>-0.27427342163287649</v>
      </c>
      <c r="M1796" t="str">
        <f>TEXT(SalesData[[#This Row],[Order_Date]],"mmm")</f>
        <v>May</v>
      </c>
      <c r="N1796">
        <f>YEAR(SalesData[[#This Row],[Order_Date]])</f>
        <v>2022</v>
      </c>
    </row>
    <row r="1797" spans="1:14" x14ac:dyDescent="0.3">
      <c r="A1797" t="s">
        <v>3020</v>
      </c>
      <c r="B1797" s="1">
        <v>45056</v>
      </c>
      <c r="C1797" t="s">
        <v>771</v>
      </c>
      <c r="D1797" t="s">
        <v>18</v>
      </c>
      <c r="E1797" t="s">
        <v>56</v>
      </c>
      <c r="F1797" t="s">
        <v>57</v>
      </c>
      <c r="G1797" t="s">
        <v>957</v>
      </c>
      <c r="H1797" s="8">
        <v>3202.04</v>
      </c>
      <c r="I1797" s="8">
        <v>624.08000000000004</v>
      </c>
      <c r="J1797" s="8">
        <v>0.1</v>
      </c>
      <c r="K1797" t="str">
        <f>IF(SalesData[[#This Row],[Profit]]&gt;0,"Profit","Loss")</f>
        <v>Profit</v>
      </c>
      <c r="L1797" s="8">
        <f>SalesData[[#This Row],[Profit]]/SalesData[[#This Row],[Sales]]</f>
        <v>0.19490075077138325</v>
      </c>
      <c r="M1797" t="str">
        <f>TEXT(SalesData[[#This Row],[Order_Date]],"mmm")</f>
        <v>May</v>
      </c>
      <c r="N1797">
        <f>YEAR(SalesData[[#This Row],[Order_Date]])</f>
        <v>2023</v>
      </c>
    </row>
    <row r="1798" spans="1:14" x14ac:dyDescent="0.3">
      <c r="A1798" t="s">
        <v>3021</v>
      </c>
      <c r="B1798" s="1">
        <v>44766</v>
      </c>
      <c r="C1798" t="s">
        <v>1108</v>
      </c>
      <c r="D1798" t="s">
        <v>18</v>
      </c>
      <c r="E1798" t="s">
        <v>19</v>
      </c>
      <c r="F1798" t="s">
        <v>29</v>
      </c>
      <c r="G1798" t="s">
        <v>2374</v>
      </c>
      <c r="H1798" s="8">
        <v>2475.02</v>
      </c>
      <c r="I1798" s="8">
        <v>593.83000000000004</v>
      </c>
      <c r="J1798" s="8">
        <v>0.09</v>
      </c>
      <c r="K1798" t="str">
        <f>IF(SalesData[[#This Row],[Profit]]&gt;0,"Profit","Loss")</f>
        <v>Profit</v>
      </c>
      <c r="L1798" s="8">
        <f>SalesData[[#This Row],[Profit]]/SalesData[[#This Row],[Sales]]</f>
        <v>0.23992937430808642</v>
      </c>
      <c r="M1798" t="str">
        <f>TEXT(SalesData[[#This Row],[Order_Date]],"mmm")</f>
        <v>Jul</v>
      </c>
      <c r="N1798">
        <f>YEAR(SalesData[[#This Row],[Order_Date]])</f>
        <v>2022</v>
      </c>
    </row>
    <row r="1799" spans="1:14" x14ac:dyDescent="0.3">
      <c r="A1799" t="s">
        <v>3022</v>
      </c>
      <c r="B1799" s="1">
        <v>44761</v>
      </c>
      <c r="C1799" t="s">
        <v>563</v>
      </c>
      <c r="D1799" t="s">
        <v>40</v>
      </c>
      <c r="E1799" t="s">
        <v>13</v>
      </c>
      <c r="F1799" t="s">
        <v>24</v>
      </c>
      <c r="G1799" t="s">
        <v>105</v>
      </c>
      <c r="H1799" s="8">
        <v>689.78</v>
      </c>
      <c r="I1799" s="8">
        <v>14.69</v>
      </c>
      <c r="J1799" s="8">
        <v>0.22</v>
      </c>
      <c r="K1799" t="str">
        <f>IF(SalesData[[#This Row],[Profit]]&gt;0,"Profit","Loss")</f>
        <v>Profit</v>
      </c>
      <c r="L1799" s="8">
        <f>SalesData[[#This Row],[Profit]]/SalesData[[#This Row],[Sales]]</f>
        <v>2.1296645307199397E-2</v>
      </c>
      <c r="M1799" t="str">
        <f>TEXT(SalesData[[#This Row],[Order_Date]],"mmm")</f>
        <v>Jul</v>
      </c>
      <c r="N1799">
        <f>YEAR(SalesData[[#This Row],[Order_Date]])</f>
        <v>2022</v>
      </c>
    </row>
    <row r="1800" spans="1:14" x14ac:dyDescent="0.3">
      <c r="A1800" t="s">
        <v>3023</v>
      </c>
      <c r="B1800" s="1">
        <v>44771</v>
      </c>
      <c r="C1800" t="s">
        <v>3024</v>
      </c>
      <c r="D1800" t="s">
        <v>40</v>
      </c>
      <c r="E1800" t="s">
        <v>19</v>
      </c>
      <c r="F1800" t="s">
        <v>29</v>
      </c>
      <c r="G1800" t="s">
        <v>166</v>
      </c>
      <c r="H1800" s="8">
        <v>3533.17</v>
      </c>
      <c r="I1800" s="8">
        <v>-993.15</v>
      </c>
      <c r="J1800" s="8">
        <v>0.26</v>
      </c>
      <c r="K1800" t="str">
        <f>IF(SalesData[[#This Row],[Profit]]&gt;0,"Profit","Loss")</f>
        <v>Loss</v>
      </c>
      <c r="L1800" s="8">
        <f>SalesData[[#This Row],[Profit]]/SalesData[[#This Row],[Sales]]</f>
        <v>-0.28109318260938476</v>
      </c>
      <c r="M1800" t="str">
        <f>TEXT(SalesData[[#This Row],[Order_Date]],"mmm")</f>
        <v>Jul</v>
      </c>
      <c r="N1800">
        <f>YEAR(SalesData[[#This Row],[Order_Date]])</f>
        <v>2022</v>
      </c>
    </row>
    <row r="1801" spans="1:14" x14ac:dyDescent="0.3">
      <c r="A1801" t="s">
        <v>3025</v>
      </c>
      <c r="B1801" s="1">
        <v>44713</v>
      </c>
      <c r="C1801" t="s">
        <v>716</v>
      </c>
      <c r="D1801" t="s">
        <v>28</v>
      </c>
      <c r="E1801" t="s">
        <v>56</v>
      </c>
      <c r="F1801" t="s">
        <v>73</v>
      </c>
      <c r="G1801" t="s">
        <v>262</v>
      </c>
      <c r="H1801" s="8">
        <v>3255.54</v>
      </c>
      <c r="I1801" s="8">
        <v>-354.27</v>
      </c>
      <c r="J1801" s="8">
        <v>0.13</v>
      </c>
      <c r="K1801" t="str">
        <f>IF(SalesData[[#This Row],[Profit]]&gt;0,"Profit","Loss")</f>
        <v>Loss</v>
      </c>
      <c r="L1801" s="8">
        <f>SalesData[[#This Row],[Profit]]/SalesData[[#This Row],[Sales]]</f>
        <v>-0.10882065648095246</v>
      </c>
      <c r="M1801" t="str">
        <f>TEXT(SalesData[[#This Row],[Order_Date]],"mmm")</f>
        <v>Jun</v>
      </c>
      <c r="N1801">
        <f>YEAR(SalesData[[#This Row],[Order_Date]])</f>
        <v>2022</v>
      </c>
    </row>
    <row r="1802" spans="1:14" x14ac:dyDescent="0.3">
      <c r="A1802" t="s">
        <v>3026</v>
      </c>
      <c r="B1802" s="1">
        <v>45028</v>
      </c>
      <c r="C1802" t="s">
        <v>1482</v>
      </c>
      <c r="D1802" t="s">
        <v>18</v>
      </c>
      <c r="E1802" t="s">
        <v>56</v>
      </c>
      <c r="F1802" t="s">
        <v>73</v>
      </c>
      <c r="G1802" t="s">
        <v>1550</v>
      </c>
      <c r="H1802" s="8">
        <v>2276.2800000000002</v>
      </c>
      <c r="I1802" s="8">
        <v>619.47</v>
      </c>
      <c r="J1802" s="8">
        <v>0.09</v>
      </c>
      <c r="K1802" t="str">
        <f>IF(SalesData[[#This Row],[Profit]]&gt;0,"Profit","Loss")</f>
        <v>Profit</v>
      </c>
      <c r="L1802" s="8">
        <f>SalesData[[#This Row],[Profit]]/SalesData[[#This Row],[Sales]]</f>
        <v>0.2721413885813696</v>
      </c>
      <c r="M1802" t="str">
        <f>TEXT(SalesData[[#This Row],[Order_Date]],"mmm")</f>
        <v>Apr</v>
      </c>
      <c r="N1802">
        <f>YEAR(SalesData[[#This Row],[Order_Date]])</f>
        <v>2023</v>
      </c>
    </row>
    <row r="1803" spans="1:14" x14ac:dyDescent="0.3">
      <c r="A1803" t="s">
        <v>3027</v>
      </c>
      <c r="B1803" s="1">
        <v>44579</v>
      </c>
      <c r="C1803" t="s">
        <v>1816</v>
      </c>
      <c r="D1803" t="s">
        <v>12</v>
      </c>
      <c r="E1803" t="s">
        <v>13</v>
      </c>
      <c r="F1803" t="s">
        <v>36</v>
      </c>
      <c r="G1803" t="s">
        <v>925</v>
      </c>
      <c r="H1803" s="8">
        <v>1495.34</v>
      </c>
      <c r="I1803" s="8">
        <v>-278.61</v>
      </c>
      <c r="J1803" s="8">
        <v>0.18</v>
      </c>
      <c r="K1803" t="str">
        <f>IF(SalesData[[#This Row],[Profit]]&gt;0,"Profit","Loss")</f>
        <v>Loss</v>
      </c>
      <c r="L1803" s="8">
        <f>SalesData[[#This Row],[Profit]]/SalesData[[#This Row],[Sales]]</f>
        <v>-0.18631883050008696</v>
      </c>
      <c r="M1803" t="str">
        <f>TEXT(SalesData[[#This Row],[Order_Date]],"mmm")</f>
        <v>Jan</v>
      </c>
      <c r="N1803">
        <f>YEAR(SalesData[[#This Row],[Order_Date]])</f>
        <v>2022</v>
      </c>
    </row>
    <row r="1804" spans="1:14" x14ac:dyDescent="0.3">
      <c r="A1804" t="s">
        <v>3028</v>
      </c>
      <c r="B1804" s="1">
        <v>44946</v>
      </c>
      <c r="C1804" t="s">
        <v>791</v>
      </c>
      <c r="D1804" t="s">
        <v>12</v>
      </c>
      <c r="E1804" t="s">
        <v>19</v>
      </c>
      <c r="F1804" t="s">
        <v>141</v>
      </c>
      <c r="G1804" t="s">
        <v>389</v>
      </c>
      <c r="H1804" s="8">
        <v>2437.8000000000002</v>
      </c>
      <c r="I1804" s="8">
        <v>631.59</v>
      </c>
      <c r="J1804" s="8">
        <v>0.04</v>
      </c>
      <c r="K1804" t="str">
        <f>IF(SalesData[[#This Row],[Profit]]&gt;0,"Profit","Loss")</f>
        <v>Profit</v>
      </c>
      <c r="L1804" s="8">
        <f>SalesData[[#This Row],[Profit]]/SalesData[[#This Row],[Sales]]</f>
        <v>0.25908195914349003</v>
      </c>
      <c r="M1804" t="str">
        <f>TEXT(SalesData[[#This Row],[Order_Date]],"mmm")</f>
        <v>Jan</v>
      </c>
      <c r="N1804">
        <f>YEAR(SalesData[[#This Row],[Order_Date]])</f>
        <v>2023</v>
      </c>
    </row>
    <row r="1805" spans="1:14" x14ac:dyDescent="0.3">
      <c r="A1805" t="s">
        <v>3029</v>
      </c>
      <c r="B1805" s="1">
        <v>44597</v>
      </c>
      <c r="C1805" t="s">
        <v>2303</v>
      </c>
      <c r="D1805" t="s">
        <v>40</v>
      </c>
      <c r="E1805" t="s">
        <v>19</v>
      </c>
      <c r="F1805" t="s">
        <v>141</v>
      </c>
      <c r="G1805" t="s">
        <v>2847</v>
      </c>
      <c r="H1805" s="8">
        <v>1687.03</v>
      </c>
      <c r="I1805" s="8">
        <v>198.82</v>
      </c>
      <c r="J1805" s="8">
        <v>0.05</v>
      </c>
      <c r="K1805" t="str">
        <f>IF(SalesData[[#This Row],[Profit]]&gt;0,"Profit","Loss")</f>
        <v>Profit</v>
      </c>
      <c r="L1805" s="8">
        <f>SalesData[[#This Row],[Profit]]/SalesData[[#This Row],[Sales]]</f>
        <v>0.11785208324688951</v>
      </c>
      <c r="M1805" t="str">
        <f>TEXT(SalesData[[#This Row],[Order_Date]],"mmm")</f>
        <v>Feb</v>
      </c>
      <c r="N1805">
        <f>YEAR(SalesData[[#This Row],[Order_Date]])</f>
        <v>2022</v>
      </c>
    </row>
    <row r="1806" spans="1:14" x14ac:dyDescent="0.3">
      <c r="A1806" t="s">
        <v>3030</v>
      </c>
      <c r="B1806" s="1">
        <v>45292</v>
      </c>
      <c r="C1806" t="s">
        <v>835</v>
      </c>
      <c r="D1806" t="s">
        <v>28</v>
      </c>
      <c r="E1806" t="s">
        <v>13</v>
      </c>
      <c r="F1806" t="s">
        <v>24</v>
      </c>
      <c r="G1806" t="s">
        <v>843</v>
      </c>
      <c r="H1806" s="8">
        <v>292.97000000000003</v>
      </c>
      <c r="I1806" s="8">
        <v>24.51</v>
      </c>
      <c r="J1806" s="8">
        <v>0.15</v>
      </c>
      <c r="K1806" t="str">
        <f>IF(SalesData[[#This Row],[Profit]]&gt;0,"Profit","Loss")</f>
        <v>Profit</v>
      </c>
      <c r="L1806" s="8">
        <f>SalesData[[#This Row],[Profit]]/SalesData[[#This Row],[Sales]]</f>
        <v>8.3660443048776317E-2</v>
      </c>
      <c r="M1806" t="str">
        <f>TEXT(SalesData[[#This Row],[Order_Date]],"mmm")</f>
        <v>Jan</v>
      </c>
      <c r="N1806">
        <f>YEAR(SalesData[[#This Row],[Order_Date]])</f>
        <v>2024</v>
      </c>
    </row>
    <row r="1807" spans="1:14" x14ac:dyDescent="0.3">
      <c r="A1807" t="s">
        <v>3031</v>
      </c>
      <c r="B1807" s="1">
        <v>44802</v>
      </c>
      <c r="C1807" t="s">
        <v>27</v>
      </c>
      <c r="D1807" t="s">
        <v>40</v>
      </c>
      <c r="E1807" t="s">
        <v>56</v>
      </c>
      <c r="F1807" t="s">
        <v>57</v>
      </c>
      <c r="G1807" t="s">
        <v>64</v>
      </c>
      <c r="H1807" s="8">
        <v>842.69</v>
      </c>
      <c r="I1807" s="8">
        <v>171.97</v>
      </c>
      <c r="J1807" s="8">
        <v>0.16</v>
      </c>
      <c r="K1807" t="str">
        <f>IF(SalesData[[#This Row],[Profit]]&gt;0,"Profit","Loss")</f>
        <v>Profit</v>
      </c>
      <c r="L1807" s="8">
        <f>SalesData[[#This Row],[Profit]]/SalesData[[#This Row],[Sales]]</f>
        <v>0.20407267203835336</v>
      </c>
      <c r="M1807" t="str">
        <f>TEXT(SalesData[[#This Row],[Order_Date]],"mmm")</f>
        <v>Aug</v>
      </c>
      <c r="N1807">
        <f>YEAR(SalesData[[#This Row],[Order_Date]])</f>
        <v>2022</v>
      </c>
    </row>
    <row r="1808" spans="1:14" x14ac:dyDescent="0.3">
      <c r="A1808" t="s">
        <v>3032</v>
      </c>
      <c r="B1808" s="1">
        <v>44972</v>
      </c>
      <c r="C1808" t="s">
        <v>631</v>
      </c>
      <c r="D1808" t="s">
        <v>12</v>
      </c>
      <c r="E1808" t="s">
        <v>19</v>
      </c>
      <c r="F1808" t="s">
        <v>29</v>
      </c>
      <c r="G1808" t="s">
        <v>809</v>
      </c>
      <c r="H1808" s="8">
        <v>497.68</v>
      </c>
      <c r="I1808" s="8">
        <v>-128.53</v>
      </c>
      <c r="J1808" s="8">
        <v>0.1</v>
      </c>
      <c r="K1808" t="str">
        <f>IF(SalesData[[#This Row],[Profit]]&gt;0,"Profit","Loss")</f>
        <v>Loss</v>
      </c>
      <c r="L1808" s="8">
        <f>SalesData[[#This Row],[Profit]]/SalesData[[#This Row],[Sales]]</f>
        <v>-0.25825831859829607</v>
      </c>
      <c r="M1808" t="str">
        <f>TEXT(SalesData[[#This Row],[Order_Date]],"mmm")</f>
        <v>Feb</v>
      </c>
      <c r="N1808">
        <f>YEAR(SalesData[[#This Row],[Order_Date]])</f>
        <v>2023</v>
      </c>
    </row>
    <row r="1809" spans="1:14" x14ac:dyDescent="0.3">
      <c r="A1809" t="s">
        <v>3033</v>
      </c>
      <c r="B1809" s="1">
        <v>44653</v>
      </c>
      <c r="C1809" t="s">
        <v>819</v>
      </c>
      <c r="D1809" t="s">
        <v>28</v>
      </c>
      <c r="E1809" t="s">
        <v>19</v>
      </c>
      <c r="F1809" t="s">
        <v>141</v>
      </c>
      <c r="G1809" t="s">
        <v>935</v>
      </c>
      <c r="H1809" s="8">
        <v>3969.67</v>
      </c>
      <c r="I1809" s="8">
        <v>-322.10000000000002</v>
      </c>
      <c r="J1809" s="8">
        <v>0.21</v>
      </c>
      <c r="K1809" t="str">
        <f>IF(SalesData[[#This Row],[Profit]]&gt;0,"Profit","Loss")</f>
        <v>Loss</v>
      </c>
      <c r="L1809" s="8">
        <f>SalesData[[#This Row],[Profit]]/SalesData[[#This Row],[Sales]]</f>
        <v>-8.1140245914647816E-2</v>
      </c>
      <c r="M1809" t="str">
        <f>TEXT(SalesData[[#This Row],[Order_Date]],"mmm")</f>
        <v>Apr</v>
      </c>
      <c r="N1809">
        <f>YEAR(SalesData[[#This Row],[Order_Date]])</f>
        <v>2022</v>
      </c>
    </row>
    <row r="1810" spans="1:14" x14ac:dyDescent="0.3">
      <c r="A1810" t="s">
        <v>3034</v>
      </c>
      <c r="B1810" s="1">
        <v>44586</v>
      </c>
      <c r="C1810" t="s">
        <v>2071</v>
      </c>
      <c r="D1810" t="s">
        <v>18</v>
      </c>
      <c r="E1810" t="s">
        <v>56</v>
      </c>
      <c r="F1810" t="s">
        <v>95</v>
      </c>
      <c r="G1810" t="s">
        <v>2570</v>
      </c>
      <c r="H1810" s="8">
        <v>1214.24</v>
      </c>
      <c r="I1810" s="8">
        <v>230.84</v>
      </c>
      <c r="J1810" s="8">
        <v>0.02</v>
      </c>
      <c r="K1810" t="str">
        <f>IF(SalesData[[#This Row],[Profit]]&gt;0,"Profit","Loss")</f>
        <v>Profit</v>
      </c>
      <c r="L1810" s="8">
        <f>SalesData[[#This Row],[Profit]]/SalesData[[#This Row],[Sales]]</f>
        <v>0.1901106865199631</v>
      </c>
      <c r="M1810" t="str">
        <f>TEXT(SalesData[[#This Row],[Order_Date]],"mmm")</f>
        <v>Jan</v>
      </c>
      <c r="N1810">
        <f>YEAR(SalesData[[#This Row],[Order_Date]])</f>
        <v>2022</v>
      </c>
    </row>
    <row r="1811" spans="1:14" x14ac:dyDescent="0.3">
      <c r="A1811" t="s">
        <v>3035</v>
      </c>
      <c r="B1811" s="1">
        <v>44702</v>
      </c>
      <c r="C1811" t="s">
        <v>69</v>
      </c>
      <c r="D1811" t="s">
        <v>40</v>
      </c>
      <c r="E1811" t="s">
        <v>56</v>
      </c>
      <c r="F1811" t="s">
        <v>57</v>
      </c>
      <c r="G1811" t="s">
        <v>2847</v>
      </c>
      <c r="H1811" s="8">
        <v>1173.0999999999999</v>
      </c>
      <c r="I1811" s="8">
        <v>-209.31</v>
      </c>
      <c r="J1811" s="8">
        <v>7.0000000000000007E-2</v>
      </c>
      <c r="K1811" t="str">
        <f>IF(SalesData[[#This Row],[Profit]]&gt;0,"Profit","Loss")</f>
        <v>Loss</v>
      </c>
      <c r="L1811" s="8">
        <f>SalesData[[#This Row],[Profit]]/SalesData[[#This Row],[Sales]]</f>
        <v>-0.17842468672747422</v>
      </c>
      <c r="M1811" t="str">
        <f>TEXT(SalesData[[#This Row],[Order_Date]],"mmm")</f>
        <v>May</v>
      </c>
      <c r="N1811">
        <f>YEAR(SalesData[[#This Row],[Order_Date]])</f>
        <v>2022</v>
      </c>
    </row>
    <row r="1812" spans="1:14" x14ac:dyDescent="0.3">
      <c r="A1812" t="s">
        <v>3036</v>
      </c>
      <c r="B1812" s="1">
        <v>45066</v>
      </c>
      <c r="C1812" t="s">
        <v>3037</v>
      </c>
      <c r="D1812" t="s">
        <v>28</v>
      </c>
      <c r="E1812" t="s">
        <v>19</v>
      </c>
      <c r="F1812" t="s">
        <v>141</v>
      </c>
      <c r="G1812" t="s">
        <v>3038</v>
      </c>
      <c r="H1812" s="8">
        <v>3384.29</v>
      </c>
      <c r="I1812" s="8">
        <v>843.78</v>
      </c>
      <c r="J1812" s="8">
        <v>0.01</v>
      </c>
      <c r="K1812" t="str">
        <f>IF(SalesData[[#This Row],[Profit]]&gt;0,"Profit","Loss")</f>
        <v>Profit</v>
      </c>
      <c r="L1812" s="8">
        <f>SalesData[[#This Row],[Profit]]/SalesData[[#This Row],[Sales]]</f>
        <v>0.24932260533228534</v>
      </c>
      <c r="M1812" t="str">
        <f>TEXT(SalesData[[#This Row],[Order_Date]],"mmm")</f>
        <v>May</v>
      </c>
      <c r="N1812">
        <f>YEAR(SalesData[[#This Row],[Order_Date]])</f>
        <v>2023</v>
      </c>
    </row>
    <row r="1813" spans="1:14" x14ac:dyDescent="0.3">
      <c r="A1813" t="s">
        <v>3039</v>
      </c>
      <c r="B1813" s="1">
        <v>45065</v>
      </c>
      <c r="C1813" t="s">
        <v>2052</v>
      </c>
      <c r="D1813" t="s">
        <v>40</v>
      </c>
      <c r="E1813" t="s">
        <v>56</v>
      </c>
      <c r="F1813" t="s">
        <v>57</v>
      </c>
      <c r="G1813" t="s">
        <v>297</v>
      </c>
      <c r="H1813" s="8">
        <v>1080.6099999999999</v>
      </c>
      <c r="I1813" s="8">
        <v>-78.12</v>
      </c>
      <c r="J1813" s="8">
        <v>0.01</v>
      </c>
      <c r="K1813" t="str">
        <f>IF(SalesData[[#This Row],[Profit]]&gt;0,"Profit","Loss")</f>
        <v>Loss</v>
      </c>
      <c r="L1813" s="8">
        <f>SalesData[[#This Row],[Profit]]/SalesData[[#This Row],[Sales]]</f>
        <v>-7.2292501457510122E-2</v>
      </c>
      <c r="M1813" t="str">
        <f>TEXT(SalesData[[#This Row],[Order_Date]],"mmm")</f>
        <v>May</v>
      </c>
      <c r="N1813">
        <f>YEAR(SalesData[[#This Row],[Order_Date]])</f>
        <v>2023</v>
      </c>
    </row>
    <row r="1814" spans="1:14" x14ac:dyDescent="0.3">
      <c r="A1814" t="s">
        <v>3040</v>
      </c>
      <c r="B1814" s="1">
        <v>44968</v>
      </c>
      <c r="C1814" t="s">
        <v>2717</v>
      </c>
      <c r="D1814" t="s">
        <v>18</v>
      </c>
      <c r="E1814" t="s">
        <v>56</v>
      </c>
      <c r="F1814" t="s">
        <v>73</v>
      </c>
      <c r="G1814" t="s">
        <v>806</v>
      </c>
      <c r="H1814" s="8">
        <v>4420.07</v>
      </c>
      <c r="I1814" s="8">
        <v>651.62</v>
      </c>
      <c r="J1814" s="8">
        <v>0.15</v>
      </c>
      <c r="K1814" t="str">
        <f>IF(SalesData[[#This Row],[Profit]]&gt;0,"Profit","Loss")</f>
        <v>Profit</v>
      </c>
      <c r="L1814" s="8">
        <f>SalesData[[#This Row],[Profit]]/SalesData[[#This Row],[Sales]]</f>
        <v>0.14742300461304914</v>
      </c>
      <c r="M1814" t="str">
        <f>TEXT(SalesData[[#This Row],[Order_Date]],"mmm")</f>
        <v>Feb</v>
      </c>
      <c r="N1814">
        <f>YEAR(SalesData[[#This Row],[Order_Date]])</f>
        <v>2023</v>
      </c>
    </row>
    <row r="1815" spans="1:14" x14ac:dyDescent="0.3">
      <c r="A1815" t="s">
        <v>3041</v>
      </c>
      <c r="B1815" s="1">
        <v>45085</v>
      </c>
      <c r="C1815" t="s">
        <v>2392</v>
      </c>
      <c r="D1815" t="s">
        <v>18</v>
      </c>
      <c r="E1815" t="s">
        <v>56</v>
      </c>
      <c r="F1815" t="s">
        <v>73</v>
      </c>
      <c r="G1815" t="s">
        <v>1780</v>
      </c>
      <c r="H1815" s="8">
        <v>3746.84</v>
      </c>
      <c r="I1815" s="8">
        <v>201.42</v>
      </c>
      <c r="J1815" s="8">
        <v>0.08</v>
      </c>
      <c r="K1815" t="str">
        <f>IF(SalesData[[#This Row],[Profit]]&gt;0,"Profit","Loss")</f>
        <v>Profit</v>
      </c>
      <c r="L1815" s="8">
        <f>SalesData[[#This Row],[Profit]]/SalesData[[#This Row],[Sales]]</f>
        <v>5.3757299484365487E-2</v>
      </c>
      <c r="M1815" t="str">
        <f>TEXT(SalesData[[#This Row],[Order_Date]],"mmm")</f>
        <v>Jun</v>
      </c>
      <c r="N1815">
        <f>YEAR(SalesData[[#This Row],[Order_Date]])</f>
        <v>2023</v>
      </c>
    </row>
    <row r="1816" spans="1:14" x14ac:dyDescent="0.3">
      <c r="A1816" t="s">
        <v>3042</v>
      </c>
      <c r="B1816" s="1">
        <v>44964</v>
      </c>
      <c r="C1816" t="s">
        <v>1785</v>
      </c>
      <c r="D1816" t="s">
        <v>40</v>
      </c>
      <c r="E1816" t="s">
        <v>56</v>
      </c>
      <c r="F1816" t="s">
        <v>73</v>
      </c>
      <c r="G1816" t="s">
        <v>1064</v>
      </c>
      <c r="H1816" s="8">
        <v>1355.76</v>
      </c>
      <c r="I1816" s="8">
        <v>377.93</v>
      </c>
      <c r="J1816" s="8">
        <v>0.06</v>
      </c>
      <c r="K1816" t="str">
        <f>IF(SalesData[[#This Row],[Profit]]&gt;0,"Profit","Loss")</f>
        <v>Profit</v>
      </c>
      <c r="L1816" s="8">
        <f>SalesData[[#This Row],[Profit]]/SalesData[[#This Row],[Sales]]</f>
        <v>0.27875877736472532</v>
      </c>
      <c r="M1816" t="str">
        <f>TEXT(SalesData[[#This Row],[Order_Date]],"mmm")</f>
        <v>Feb</v>
      </c>
      <c r="N1816">
        <f>YEAR(SalesData[[#This Row],[Order_Date]])</f>
        <v>2023</v>
      </c>
    </row>
    <row r="1817" spans="1:14" x14ac:dyDescent="0.3">
      <c r="A1817" t="s">
        <v>3043</v>
      </c>
      <c r="B1817" s="1">
        <v>44977</v>
      </c>
      <c r="C1817" t="s">
        <v>2525</v>
      </c>
      <c r="D1817" t="s">
        <v>18</v>
      </c>
      <c r="E1817" t="s">
        <v>56</v>
      </c>
      <c r="F1817" t="s">
        <v>95</v>
      </c>
      <c r="G1817" t="s">
        <v>67</v>
      </c>
      <c r="H1817" s="8">
        <v>3056.5</v>
      </c>
      <c r="I1817" s="8">
        <v>-284</v>
      </c>
      <c r="J1817" s="8">
        <v>0.2</v>
      </c>
      <c r="K1817" t="str">
        <f>IF(SalesData[[#This Row],[Profit]]&gt;0,"Profit","Loss")</f>
        <v>Loss</v>
      </c>
      <c r="L1817" s="8">
        <f>SalesData[[#This Row],[Profit]]/SalesData[[#This Row],[Sales]]</f>
        <v>-9.2916734827416983E-2</v>
      </c>
      <c r="M1817" t="str">
        <f>TEXT(SalesData[[#This Row],[Order_Date]],"mmm")</f>
        <v>Feb</v>
      </c>
      <c r="N1817">
        <f>YEAR(SalesData[[#This Row],[Order_Date]])</f>
        <v>2023</v>
      </c>
    </row>
    <row r="1818" spans="1:14" x14ac:dyDescent="0.3">
      <c r="A1818" t="s">
        <v>3044</v>
      </c>
      <c r="B1818" s="1">
        <v>44766</v>
      </c>
      <c r="C1818" t="s">
        <v>23</v>
      </c>
      <c r="D1818" t="s">
        <v>40</v>
      </c>
      <c r="E1818" t="s">
        <v>56</v>
      </c>
      <c r="F1818" t="s">
        <v>95</v>
      </c>
      <c r="G1818" t="s">
        <v>386</v>
      </c>
      <c r="H1818" s="8">
        <v>4042.72</v>
      </c>
      <c r="I1818" s="8">
        <v>422.63</v>
      </c>
      <c r="J1818" s="8">
        <v>0.22</v>
      </c>
      <c r="K1818" t="str">
        <f>IF(SalesData[[#This Row],[Profit]]&gt;0,"Profit","Loss")</f>
        <v>Profit</v>
      </c>
      <c r="L1818" s="8">
        <f>SalesData[[#This Row],[Profit]]/SalesData[[#This Row],[Sales]]</f>
        <v>0.10454100209759766</v>
      </c>
      <c r="M1818" t="str">
        <f>TEXT(SalesData[[#This Row],[Order_Date]],"mmm")</f>
        <v>Jul</v>
      </c>
      <c r="N1818">
        <f>YEAR(SalesData[[#This Row],[Order_Date]])</f>
        <v>2022</v>
      </c>
    </row>
    <row r="1819" spans="1:14" x14ac:dyDescent="0.3">
      <c r="A1819" t="s">
        <v>3045</v>
      </c>
      <c r="B1819" s="1">
        <v>45036</v>
      </c>
      <c r="C1819" t="s">
        <v>1073</v>
      </c>
      <c r="D1819" t="s">
        <v>18</v>
      </c>
      <c r="E1819" t="s">
        <v>13</v>
      </c>
      <c r="F1819" t="s">
        <v>24</v>
      </c>
      <c r="G1819" t="s">
        <v>1099</v>
      </c>
      <c r="H1819" s="8">
        <v>1150.28</v>
      </c>
      <c r="I1819" s="8">
        <v>-227.73</v>
      </c>
      <c r="J1819" s="8">
        <v>0.18</v>
      </c>
      <c r="K1819" t="str">
        <f>IF(SalesData[[#This Row],[Profit]]&gt;0,"Profit","Loss")</f>
        <v>Loss</v>
      </c>
      <c r="L1819" s="8">
        <f>SalesData[[#This Row],[Profit]]/SalesData[[#This Row],[Sales]]</f>
        <v>-0.19797788364572103</v>
      </c>
      <c r="M1819" t="str">
        <f>TEXT(SalesData[[#This Row],[Order_Date]],"mmm")</f>
        <v>Apr</v>
      </c>
      <c r="N1819">
        <f>YEAR(SalesData[[#This Row],[Order_Date]])</f>
        <v>2023</v>
      </c>
    </row>
    <row r="1820" spans="1:14" x14ac:dyDescent="0.3">
      <c r="A1820" t="s">
        <v>3046</v>
      </c>
      <c r="B1820" s="1">
        <v>44747</v>
      </c>
      <c r="C1820" t="s">
        <v>1687</v>
      </c>
      <c r="D1820" t="s">
        <v>18</v>
      </c>
      <c r="E1820" t="s">
        <v>19</v>
      </c>
      <c r="F1820" t="s">
        <v>20</v>
      </c>
      <c r="G1820" t="s">
        <v>598</v>
      </c>
      <c r="H1820" s="8">
        <v>2604.39</v>
      </c>
      <c r="I1820" s="8">
        <v>-417.08</v>
      </c>
      <c r="J1820" s="8">
        <v>0.09</v>
      </c>
      <c r="K1820" t="str">
        <f>IF(SalesData[[#This Row],[Profit]]&gt;0,"Profit","Loss")</f>
        <v>Loss</v>
      </c>
      <c r="L1820" s="8">
        <f>SalesData[[#This Row],[Profit]]/SalesData[[#This Row],[Sales]]</f>
        <v>-0.16014498596600354</v>
      </c>
      <c r="M1820" t="str">
        <f>TEXT(SalesData[[#This Row],[Order_Date]],"mmm")</f>
        <v>Jul</v>
      </c>
      <c r="N1820">
        <f>YEAR(SalesData[[#This Row],[Order_Date]])</f>
        <v>2022</v>
      </c>
    </row>
    <row r="1821" spans="1:14" x14ac:dyDescent="0.3">
      <c r="A1821" t="s">
        <v>3047</v>
      </c>
      <c r="B1821" s="1">
        <v>44731</v>
      </c>
      <c r="C1821" t="s">
        <v>902</v>
      </c>
      <c r="D1821" t="s">
        <v>28</v>
      </c>
      <c r="E1821" t="s">
        <v>13</v>
      </c>
      <c r="F1821" t="s">
        <v>36</v>
      </c>
      <c r="G1821" t="s">
        <v>1741</v>
      </c>
      <c r="H1821" s="8">
        <v>3627.85</v>
      </c>
      <c r="I1821" s="8">
        <v>-382.91</v>
      </c>
      <c r="J1821" s="8">
        <v>0.14000000000000001</v>
      </c>
      <c r="K1821" t="str">
        <f>IF(SalesData[[#This Row],[Profit]]&gt;0,"Profit","Loss")</f>
        <v>Loss</v>
      </c>
      <c r="L1821" s="8">
        <f>SalesData[[#This Row],[Profit]]/SalesData[[#This Row],[Sales]]</f>
        <v>-0.10554736276306904</v>
      </c>
      <c r="M1821" t="str">
        <f>TEXT(SalesData[[#This Row],[Order_Date]],"mmm")</f>
        <v>Jun</v>
      </c>
      <c r="N1821">
        <f>YEAR(SalesData[[#This Row],[Order_Date]])</f>
        <v>2022</v>
      </c>
    </row>
    <row r="1822" spans="1:14" x14ac:dyDescent="0.3">
      <c r="A1822" t="s">
        <v>3048</v>
      </c>
      <c r="B1822" s="1">
        <v>44641</v>
      </c>
      <c r="C1822" t="s">
        <v>1842</v>
      </c>
      <c r="D1822" t="s">
        <v>12</v>
      </c>
      <c r="E1822" t="s">
        <v>13</v>
      </c>
      <c r="F1822" t="s">
        <v>36</v>
      </c>
      <c r="G1822" t="s">
        <v>2041</v>
      </c>
      <c r="H1822" s="8">
        <v>3995.52</v>
      </c>
      <c r="I1822" s="8">
        <v>650.04999999999995</v>
      </c>
      <c r="J1822" s="8">
        <v>0.2</v>
      </c>
      <c r="K1822" t="str">
        <f>IF(SalesData[[#This Row],[Profit]]&gt;0,"Profit","Loss")</f>
        <v>Profit</v>
      </c>
      <c r="L1822" s="8">
        <f>SalesData[[#This Row],[Profit]]/SalesData[[#This Row],[Sales]]</f>
        <v>0.16269471808425434</v>
      </c>
      <c r="M1822" t="str">
        <f>TEXT(SalesData[[#This Row],[Order_Date]],"mmm")</f>
        <v>Mar</v>
      </c>
      <c r="N1822">
        <f>YEAR(SalesData[[#This Row],[Order_Date]])</f>
        <v>2022</v>
      </c>
    </row>
    <row r="1823" spans="1:14" x14ac:dyDescent="0.3">
      <c r="A1823" t="s">
        <v>3049</v>
      </c>
      <c r="B1823" s="1">
        <v>44562</v>
      </c>
      <c r="C1823" t="s">
        <v>2783</v>
      </c>
      <c r="D1823" t="s">
        <v>28</v>
      </c>
      <c r="E1823" t="s">
        <v>56</v>
      </c>
      <c r="F1823" t="s">
        <v>57</v>
      </c>
      <c r="G1823" t="s">
        <v>441</v>
      </c>
      <c r="H1823" s="8">
        <v>3134.46</v>
      </c>
      <c r="I1823" s="8">
        <v>338.75</v>
      </c>
      <c r="J1823" s="8">
        <v>0.26</v>
      </c>
      <c r="K1823" t="str">
        <f>IF(SalesData[[#This Row],[Profit]]&gt;0,"Profit","Loss")</f>
        <v>Profit</v>
      </c>
      <c r="L1823" s="8">
        <f>SalesData[[#This Row],[Profit]]/SalesData[[#This Row],[Sales]]</f>
        <v>0.10807284189302144</v>
      </c>
      <c r="M1823" t="str">
        <f>TEXT(SalesData[[#This Row],[Order_Date]],"mmm")</f>
        <v>Jan</v>
      </c>
      <c r="N1823">
        <f>YEAR(SalesData[[#This Row],[Order_Date]])</f>
        <v>2022</v>
      </c>
    </row>
    <row r="1824" spans="1:14" x14ac:dyDescent="0.3">
      <c r="A1824" t="s">
        <v>3050</v>
      </c>
      <c r="B1824" s="1">
        <v>45223</v>
      </c>
      <c r="C1824" t="s">
        <v>1155</v>
      </c>
      <c r="D1824" t="s">
        <v>28</v>
      </c>
      <c r="E1824" t="s">
        <v>13</v>
      </c>
      <c r="F1824" t="s">
        <v>24</v>
      </c>
      <c r="G1824" t="s">
        <v>1695</v>
      </c>
      <c r="H1824" s="8">
        <v>4809.92</v>
      </c>
      <c r="I1824" s="8">
        <v>-44.11</v>
      </c>
      <c r="J1824" s="8">
        <v>0.03</v>
      </c>
      <c r="K1824" t="str">
        <f>IF(SalesData[[#This Row],[Profit]]&gt;0,"Profit","Loss")</f>
        <v>Loss</v>
      </c>
      <c r="L1824" s="8">
        <f>SalesData[[#This Row],[Profit]]/SalesData[[#This Row],[Sales]]</f>
        <v>-9.1706306965604421E-3</v>
      </c>
      <c r="M1824" t="str">
        <f>TEXT(SalesData[[#This Row],[Order_Date]],"mmm")</f>
        <v>Oct</v>
      </c>
      <c r="N1824">
        <f>YEAR(SalesData[[#This Row],[Order_Date]])</f>
        <v>2023</v>
      </c>
    </row>
    <row r="1825" spans="1:14" x14ac:dyDescent="0.3">
      <c r="A1825" t="s">
        <v>3051</v>
      </c>
      <c r="B1825" s="1">
        <v>44597</v>
      </c>
      <c r="C1825" t="s">
        <v>1785</v>
      </c>
      <c r="D1825" t="s">
        <v>40</v>
      </c>
      <c r="E1825" t="s">
        <v>19</v>
      </c>
      <c r="F1825" t="s">
        <v>20</v>
      </c>
      <c r="G1825" t="s">
        <v>2490</v>
      </c>
      <c r="H1825" s="8">
        <v>1471.9</v>
      </c>
      <c r="I1825" s="8">
        <v>-326.05</v>
      </c>
      <c r="J1825" s="8">
        <v>0.2</v>
      </c>
      <c r="K1825" t="str">
        <f>IF(SalesData[[#This Row],[Profit]]&gt;0,"Profit","Loss")</f>
        <v>Loss</v>
      </c>
      <c r="L1825" s="8">
        <f>SalesData[[#This Row],[Profit]]/SalesData[[#This Row],[Sales]]</f>
        <v>-0.22151640736463074</v>
      </c>
      <c r="M1825" t="str">
        <f>TEXT(SalesData[[#This Row],[Order_Date]],"mmm")</f>
        <v>Feb</v>
      </c>
      <c r="N1825">
        <f>YEAR(SalesData[[#This Row],[Order_Date]])</f>
        <v>2022</v>
      </c>
    </row>
    <row r="1826" spans="1:14" x14ac:dyDescent="0.3">
      <c r="A1826" t="s">
        <v>3052</v>
      </c>
      <c r="B1826" s="1">
        <v>44771</v>
      </c>
      <c r="C1826" t="s">
        <v>1211</v>
      </c>
      <c r="D1826" t="s">
        <v>12</v>
      </c>
      <c r="E1826" t="s">
        <v>19</v>
      </c>
      <c r="F1826" t="s">
        <v>29</v>
      </c>
      <c r="G1826" t="s">
        <v>328</v>
      </c>
      <c r="H1826" s="8">
        <v>4657.62</v>
      </c>
      <c r="I1826" s="8">
        <v>48.13</v>
      </c>
      <c r="J1826" s="8">
        <v>0.27</v>
      </c>
      <c r="K1826" t="str">
        <f>IF(SalesData[[#This Row],[Profit]]&gt;0,"Profit","Loss")</f>
        <v>Profit</v>
      </c>
      <c r="L1826" s="8">
        <f>SalesData[[#This Row],[Profit]]/SalesData[[#This Row],[Sales]]</f>
        <v>1.0333603857764266E-2</v>
      </c>
      <c r="M1826" t="str">
        <f>TEXT(SalesData[[#This Row],[Order_Date]],"mmm")</f>
        <v>Jul</v>
      </c>
      <c r="N1826">
        <f>YEAR(SalesData[[#This Row],[Order_Date]])</f>
        <v>2022</v>
      </c>
    </row>
    <row r="1827" spans="1:14" x14ac:dyDescent="0.3">
      <c r="A1827" t="s">
        <v>3053</v>
      </c>
      <c r="B1827" s="1">
        <v>45155</v>
      </c>
      <c r="C1827" t="s">
        <v>2679</v>
      </c>
      <c r="D1827" t="s">
        <v>40</v>
      </c>
      <c r="E1827" t="s">
        <v>19</v>
      </c>
      <c r="F1827" t="s">
        <v>20</v>
      </c>
      <c r="G1827" t="s">
        <v>1599</v>
      </c>
      <c r="H1827" s="8">
        <v>170.29</v>
      </c>
      <c r="I1827" s="8">
        <v>-15.18</v>
      </c>
      <c r="J1827" s="8">
        <v>0.03</v>
      </c>
      <c r="K1827" t="str">
        <f>IF(SalesData[[#This Row],[Profit]]&gt;0,"Profit","Loss")</f>
        <v>Loss</v>
      </c>
      <c r="L1827" s="8">
        <f>SalesData[[#This Row],[Profit]]/SalesData[[#This Row],[Sales]]</f>
        <v>-8.9142051793998478E-2</v>
      </c>
      <c r="M1827" t="str">
        <f>TEXT(SalesData[[#This Row],[Order_Date]],"mmm")</f>
        <v>Aug</v>
      </c>
      <c r="N1827">
        <f>YEAR(SalesData[[#This Row],[Order_Date]])</f>
        <v>2023</v>
      </c>
    </row>
    <row r="1828" spans="1:14" x14ac:dyDescent="0.3">
      <c r="A1828" t="s">
        <v>3054</v>
      </c>
      <c r="B1828" s="1">
        <v>44782</v>
      </c>
      <c r="C1828" t="s">
        <v>1612</v>
      </c>
      <c r="D1828" t="s">
        <v>28</v>
      </c>
      <c r="E1828" t="s">
        <v>56</v>
      </c>
      <c r="F1828" t="s">
        <v>73</v>
      </c>
      <c r="G1828" t="s">
        <v>169</v>
      </c>
      <c r="H1828" s="8">
        <v>2859.83</v>
      </c>
      <c r="I1828" s="8">
        <v>557.9</v>
      </c>
      <c r="J1828" s="8">
        <v>0.02</v>
      </c>
      <c r="K1828" t="str">
        <f>IF(SalesData[[#This Row],[Profit]]&gt;0,"Profit","Loss")</f>
        <v>Profit</v>
      </c>
      <c r="L1828" s="8">
        <f>SalesData[[#This Row],[Profit]]/SalesData[[#This Row],[Sales]]</f>
        <v>0.19508152582496163</v>
      </c>
      <c r="M1828" t="str">
        <f>TEXT(SalesData[[#This Row],[Order_Date]],"mmm")</f>
        <v>Aug</v>
      </c>
      <c r="N1828">
        <f>YEAR(SalesData[[#This Row],[Order_Date]])</f>
        <v>2022</v>
      </c>
    </row>
    <row r="1829" spans="1:14" x14ac:dyDescent="0.3">
      <c r="A1829" t="s">
        <v>3055</v>
      </c>
      <c r="B1829" s="1">
        <v>44741</v>
      </c>
      <c r="C1829" t="s">
        <v>2178</v>
      </c>
      <c r="D1829" t="s">
        <v>12</v>
      </c>
      <c r="E1829" t="s">
        <v>19</v>
      </c>
      <c r="F1829" t="s">
        <v>20</v>
      </c>
      <c r="G1829" t="s">
        <v>867</v>
      </c>
      <c r="H1829" s="8">
        <v>282.08999999999997</v>
      </c>
      <c r="I1829" s="8">
        <v>-14.27</v>
      </c>
      <c r="J1829" s="8">
        <v>0.13</v>
      </c>
      <c r="K1829" t="str">
        <f>IF(SalesData[[#This Row],[Profit]]&gt;0,"Profit","Loss")</f>
        <v>Loss</v>
      </c>
      <c r="L1829" s="8">
        <f>SalesData[[#This Row],[Profit]]/SalesData[[#This Row],[Sales]]</f>
        <v>-5.0586692190435677E-2</v>
      </c>
      <c r="M1829" t="str">
        <f>TEXT(SalesData[[#This Row],[Order_Date]],"mmm")</f>
        <v>Jun</v>
      </c>
      <c r="N1829">
        <f>YEAR(SalesData[[#This Row],[Order_Date]])</f>
        <v>2022</v>
      </c>
    </row>
    <row r="1830" spans="1:14" x14ac:dyDescent="0.3">
      <c r="A1830" t="s">
        <v>3056</v>
      </c>
      <c r="B1830" s="1">
        <v>44835</v>
      </c>
      <c r="C1830" t="s">
        <v>3037</v>
      </c>
      <c r="D1830" t="s">
        <v>40</v>
      </c>
      <c r="E1830" t="s">
        <v>56</v>
      </c>
      <c r="F1830" t="s">
        <v>95</v>
      </c>
      <c r="G1830" t="s">
        <v>1954</v>
      </c>
      <c r="H1830" s="8">
        <v>3578.52</v>
      </c>
      <c r="I1830" s="8">
        <v>-1067.76</v>
      </c>
      <c r="J1830" s="8">
        <v>0.22</v>
      </c>
      <c r="K1830" t="str">
        <f>IF(SalesData[[#This Row],[Profit]]&gt;0,"Profit","Loss")</f>
        <v>Loss</v>
      </c>
      <c r="L1830" s="8">
        <f>SalesData[[#This Row],[Profit]]/SalesData[[#This Row],[Sales]]</f>
        <v>-0.29838033600482883</v>
      </c>
      <c r="M1830" t="str">
        <f>TEXT(SalesData[[#This Row],[Order_Date]],"mmm")</f>
        <v>Oct</v>
      </c>
      <c r="N1830">
        <f>YEAR(SalesData[[#This Row],[Order_Date]])</f>
        <v>2022</v>
      </c>
    </row>
    <row r="1831" spans="1:14" x14ac:dyDescent="0.3">
      <c r="A1831" t="s">
        <v>3057</v>
      </c>
      <c r="B1831" s="1">
        <v>44607</v>
      </c>
      <c r="C1831" t="s">
        <v>1934</v>
      </c>
      <c r="D1831" t="s">
        <v>28</v>
      </c>
      <c r="E1831" t="s">
        <v>56</v>
      </c>
      <c r="F1831" t="s">
        <v>57</v>
      </c>
      <c r="G1831" t="s">
        <v>1358</v>
      </c>
      <c r="H1831" s="8">
        <v>3479.41</v>
      </c>
      <c r="I1831" s="8">
        <v>548.02</v>
      </c>
      <c r="J1831" s="8">
        <v>0.24</v>
      </c>
      <c r="K1831" t="str">
        <f>IF(SalesData[[#This Row],[Profit]]&gt;0,"Profit","Loss")</f>
        <v>Profit</v>
      </c>
      <c r="L1831" s="8">
        <f>SalesData[[#This Row],[Profit]]/SalesData[[#This Row],[Sales]]</f>
        <v>0.1575037147102526</v>
      </c>
      <c r="M1831" t="str">
        <f>TEXT(SalesData[[#This Row],[Order_Date]],"mmm")</f>
        <v>Feb</v>
      </c>
      <c r="N1831">
        <f>YEAR(SalesData[[#This Row],[Order_Date]])</f>
        <v>2022</v>
      </c>
    </row>
    <row r="1832" spans="1:14" x14ac:dyDescent="0.3">
      <c r="A1832" t="s">
        <v>3058</v>
      </c>
      <c r="B1832" s="1">
        <v>44855</v>
      </c>
      <c r="C1832" t="s">
        <v>1457</v>
      </c>
      <c r="D1832" t="s">
        <v>12</v>
      </c>
      <c r="E1832" t="s">
        <v>13</v>
      </c>
      <c r="F1832" t="s">
        <v>36</v>
      </c>
      <c r="G1832" t="s">
        <v>862</v>
      </c>
      <c r="H1832" s="8">
        <v>3980.62</v>
      </c>
      <c r="I1832" s="8">
        <v>141.37</v>
      </c>
      <c r="J1832" s="8">
        <v>0.21</v>
      </c>
      <c r="K1832" t="str">
        <f>IF(SalesData[[#This Row],[Profit]]&gt;0,"Profit","Loss")</f>
        <v>Profit</v>
      </c>
      <c r="L1832" s="8">
        <f>SalesData[[#This Row],[Profit]]/SalesData[[#This Row],[Sales]]</f>
        <v>3.5514568082359033E-2</v>
      </c>
      <c r="M1832" t="str">
        <f>TEXT(SalesData[[#This Row],[Order_Date]],"mmm")</f>
        <v>Oct</v>
      </c>
      <c r="N1832">
        <f>YEAR(SalesData[[#This Row],[Order_Date]])</f>
        <v>2022</v>
      </c>
    </row>
    <row r="1833" spans="1:14" x14ac:dyDescent="0.3">
      <c r="A1833" t="s">
        <v>3059</v>
      </c>
      <c r="B1833" s="1">
        <v>44942</v>
      </c>
      <c r="C1833" t="s">
        <v>341</v>
      </c>
      <c r="D1833" t="s">
        <v>18</v>
      </c>
      <c r="E1833" t="s">
        <v>19</v>
      </c>
      <c r="F1833" t="s">
        <v>29</v>
      </c>
      <c r="G1833" t="s">
        <v>512</v>
      </c>
      <c r="H1833" s="8">
        <v>4121.5</v>
      </c>
      <c r="I1833" s="8">
        <v>-560.69000000000005</v>
      </c>
      <c r="J1833" s="8">
        <v>0.16</v>
      </c>
      <c r="K1833" t="str">
        <f>IF(SalesData[[#This Row],[Profit]]&gt;0,"Profit","Loss")</f>
        <v>Loss</v>
      </c>
      <c r="L1833" s="8">
        <f>SalesData[[#This Row],[Profit]]/SalesData[[#This Row],[Sales]]</f>
        <v>-0.13604027659832588</v>
      </c>
      <c r="M1833" t="str">
        <f>TEXT(SalesData[[#This Row],[Order_Date]],"mmm")</f>
        <v>Jan</v>
      </c>
      <c r="N1833">
        <f>YEAR(SalesData[[#This Row],[Order_Date]])</f>
        <v>2023</v>
      </c>
    </row>
    <row r="1834" spans="1:14" x14ac:dyDescent="0.3">
      <c r="A1834" t="s">
        <v>3060</v>
      </c>
      <c r="B1834" s="1">
        <v>45040</v>
      </c>
      <c r="C1834" t="s">
        <v>247</v>
      </c>
      <c r="D1834" t="s">
        <v>40</v>
      </c>
      <c r="E1834" t="s">
        <v>13</v>
      </c>
      <c r="F1834" t="s">
        <v>24</v>
      </c>
      <c r="G1834" t="s">
        <v>1046</v>
      </c>
      <c r="H1834" s="8">
        <v>1799.26</v>
      </c>
      <c r="I1834" s="8">
        <v>-16.07</v>
      </c>
      <c r="J1834" s="8">
        <v>0.05</v>
      </c>
      <c r="K1834" t="str">
        <f>IF(SalesData[[#This Row],[Profit]]&gt;0,"Profit","Loss")</f>
        <v>Loss</v>
      </c>
      <c r="L1834" s="8">
        <f>SalesData[[#This Row],[Profit]]/SalesData[[#This Row],[Sales]]</f>
        <v>-8.9314495959449992E-3</v>
      </c>
      <c r="M1834" t="str">
        <f>TEXT(SalesData[[#This Row],[Order_Date]],"mmm")</f>
        <v>Apr</v>
      </c>
      <c r="N1834">
        <f>YEAR(SalesData[[#This Row],[Order_Date]])</f>
        <v>2023</v>
      </c>
    </row>
    <row r="1835" spans="1:14" x14ac:dyDescent="0.3">
      <c r="A1835" t="s">
        <v>3061</v>
      </c>
      <c r="B1835" s="1">
        <v>44650</v>
      </c>
      <c r="C1835" t="s">
        <v>1928</v>
      </c>
      <c r="D1835" t="s">
        <v>40</v>
      </c>
      <c r="E1835" t="s">
        <v>13</v>
      </c>
      <c r="F1835" t="s">
        <v>36</v>
      </c>
      <c r="G1835" t="s">
        <v>196</v>
      </c>
      <c r="H1835" s="8">
        <v>3410.98</v>
      </c>
      <c r="I1835" s="8">
        <v>876.05</v>
      </c>
      <c r="J1835" s="8">
        <v>0.12</v>
      </c>
      <c r="K1835" t="str">
        <f>IF(SalesData[[#This Row],[Profit]]&gt;0,"Profit","Loss")</f>
        <v>Profit</v>
      </c>
      <c r="L1835" s="8">
        <f>SalesData[[#This Row],[Profit]]/SalesData[[#This Row],[Sales]]</f>
        <v>0.25683234730194837</v>
      </c>
      <c r="M1835" t="str">
        <f>TEXT(SalesData[[#This Row],[Order_Date]],"mmm")</f>
        <v>Mar</v>
      </c>
      <c r="N1835">
        <f>YEAR(SalesData[[#This Row],[Order_Date]])</f>
        <v>2022</v>
      </c>
    </row>
    <row r="1836" spans="1:14" x14ac:dyDescent="0.3">
      <c r="A1836" t="s">
        <v>3062</v>
      </c>
      <c r="B1836" s="1">
        <v>45114</v>
      </c>
      <c r="C1836" t="s">
        <v>3063</v>
      </c>
      <c r="D1836" t="s">
        <v>18</v>
      </c>
      <c r="E1836" t="s">
        <v>56</v>
      </c>
      <c r="F1836" t="s">
        <v>95</v>
      </c>
      <c r="G1836" t="s">
        <v>706</v>
      </c>
      <c r="H1836" s="8">
        <v>4631.12</v>
      </c>
      <c r="I1836" s="8">
        <v>-553.6</v>
      </c>
      <c r="J1836" s="8">
        <v>0.19</v>
      </c>
      <c r="K1836" t="str">
        <f>IF(SalesData[[#This Row],[Profit]]&gt;0,"Profit","Loss")</f>
        <v>Loss</v>
      </c>
      <c r="L1836" s="8">
        <f>SalesData[[#This Row],[Profit]]/SalesData[[#This Row],[Sales]]</f>
        <v>-0.11953911796714402</v>
      </c>
      <c r="M1836" t="str">
        <f>TEXT(SalesData[[#This Row],[Order_Date]],"mmm")</f>
        <v>Jul</v>
      </c>
      <c r="N1836">
        <f>YEAR(SalesData[[#This Row],[Order_Date]])</f>
        <v>2023</v>
      </c>
    </row>
    <row r="1837" spans="1:14" x14ac:dyDescent="0.3">
      <c r="A1837" t="s">
        <v>3064</v>
      </c>
      <c r="B1837" s="1">
        <v>45175</v>
      </c>
      <c r="C1837" t="s">
        <v>530</v>
      </c>
      <c r="D1837" t="s">
        <v>18</v>
      </c>
      <c r="E1837" t="s">
        <v>56</v>
      </c>
      <c r="F1837" t="s">
        <v>95</v>
      </c>
      <c r="G1837" t="s">
        <v>119</v>
      </c>
      <c r="H1837" s="8">
        <v>2581.13</v>
      </c>
      <c r="I1837" s="8">
        <v>-219.3</v>
      </c>
      <c r="J1837" s="8">
        <v>0.26</v>
      </c>
      <c r="K1837" t="str">
        <f>IF(SalesData[[#This Row],[Profit]]&gt;0,"Profit","Loss")</f>
        <v>Loss</v>
      </c>
      <c r="L1837" s="8">
        <f>SalesData[[#This Row],[Profit]]/SalesData[[#This Row],[Sales]]</f>
        <v>-8.4962787616276597E-2</v>
      </c>
      <c r="M1837" t="str">
        <f>TEXT(SalesData[[#This Row],[Order_Date]],"mmm")</f>
        <v>Sep</v>
      </c>
      <c r="N1837">
        <f>YEAR(SalesData[[#This Row],[Order_Date]])</f>
        <v>2023</v>
      </c>
    </row>
    <row r="1838" spans="1:14" x14ac:dyDescent="0.3">
      <c r="A1838" t="s">
        <v>3065</v>
      </c>
      <c r="B1838" s="1">
        <v>44967</v>
      </c>
      <c r="C1838" t="s">
        <v>1923</v>
      </c>
      <c r="D1838" t="s">
        <v>28</v>
      </c>
      <c r="E1838" t="s">
        <v>13</v>
      </c>
      <c r="F1838" t="s">
        <v>14</v>
      </c>
      <c r="G1838" t="s">
        <v>328</v>
      </c>
      <c r="H1838" s="8">
        <v>4888.4399999999996</v>
      </c>
      <c r="I1838" s="8">
        <v>267.94</v>
      </c>
      <c r="J1838" s="8">
        <v>0.24</v>
      </c>
      <c r="K1838" t="str">
        <f>IF(SalesData[[#This Row],[Profit]]&gt;0,"Profit","Loss")</f>
        <v>Profit</v>
      </c>
      <c r="L1838" s="8">
        <f>SalesData[[#This Row],[Profit]]/SalesData[[#This Row],[Sales]]</f>
        <v>5.4810941731922663E-2</v>
      </c>
      <c r="M1838" t="str">
        <f>TEXT(SalesData[[#This Row],[Order_Date]],"mmm")</f>
        <v>Feb</v>
      </c>
      <c r="N1838">
        <f>YEAR(SalesData[[#This Row],[Order_Date]])</f>
        <v>2023</v>
      </c>
    </row>
    <row r="1839" spans="1:14" x14ac:dyDescent="0.3">
      <c r="A1839" t="s">
        <v>3066</v>
      </c>
      <c r="B1839" s="1">
        <v>44822</v>
      </c>
      <c r="C1839" t="s">
        <v>791</v>
      </c>
      <c r="D1839" t="s">
        <v>18</v>
      </c>
      <c r="E1839" t="s">
        <v>56</v>
      </c>
      <c r="F1839" t="s">
        <v>73</v>
      </c>
      <c r="G1839" t="s">
        <v>1184</v>
      </c>
      <c r="H1839" s="8">
        <v>2765.58</v>
      </c>
      <c r="I1839" s="8">
        <v>-40.71</v>
      </c>
      <c r="J1839" s="8">
        <v>0.16</v>
      </c>
      <c r="K1839" t="str">
        <f>IF(SalesData[[#This Row],[Profit]]&gt;0,"Profit","Loss")</f>
        <v>Loss</v>
      </c>
      <c r="L1839" s="8">
        <f>SalesData[[#This Row],[Profit]]/SalesData[[#This Row],[Sales]]</f>
        <v>-1.4720239515761614E-2</v>
      </c>
      <c r="M1839" t="str">
        <f>TEXT(SalesData[[#This Row],[Order_Date]],"mmm")</f>
        <v>Sep</v>
      </c>
      <c r="N1839">
        <f>YEAR(SalesData[[#This Row],[Order_Date]])</f>
        <v>2022</v>
      </c>
    </row>
    <row r="1840" spans="1:14" x14ac:dyDescent="0.3">
      <c r="A1840" t="s">
        <v>3067</v>
      </c>
      <c r="B1840" s="1">
        <v>44944</v>
      </c>
      <c r="C1840" t="s">
        <v>183</v>
      </c>
      <c r="D1840" t="s">
        <v>28</v>
      </c>
      <c r="E1840" t="s">
        <v>56</v>
      </c>
      <c r="F1840" t="s">
        <v>73</v>
      </c>
      <c r="G1840" t="s">
        <v>1326</v>
      </c>
      <c r="H1840" s="8">
        <v>3577.79</v>
      </c>
      <c r="I1840" s="8">
        <v>-822.34</v>
      </c>
      <c r="J1840" s="8">
        <v>0.1</v>
      </c>
      <c r="K1840" t="str">
        <f>IF(SalesData[[#This Row],[Profit]]&gt;0,"Profit","Loss")</f>
        <v>Loss</v>
      </c>
      <c r="L1840" s="8">
        <f>SalesData[[#This Row],[Profit]]/SalesData[[#This Row],[Sales]]</f>
        <v>-0.22984579866342073</v>
      </c>
      <c r="M1840" t="str">
        <f>TEXT(SalesData[[#This Row],[Order_Date]],"mmm")</f>
        <v>Jan</v>
      </c>
      <c r="N1840">
        <f>YEAR(SalesData[[#This Row],[Order_Date]])</f>
        <v>2023</v>
      </c>
    </row>
    <row r="1841" spans="1:14" x14ac:dyDescent="0.3">
      <c r="A1841" t="s">
        <v>3068</v>
      </c>
      <c r="B1841" s="1">
        <v>44670</v>
      </c>
      <c r="C1841" t="s">
        <v>287</v>
      </c>
      <c r="D1841" t="s">
        <v>28</v>
      </c>
      <c r="E1841" t="s">
        <v>13</v>
      </c>
      <c r="F1841" t="s">
        <v>36</v>
      </c>
      <c r="G1841" t="s">
        <v>114</v>
      </c>
      <c r="H1841" s="8">
        <v>1173.45</v>
      </c>
      <c r="I1841" s="8">
        <v>-76.510000000000005</v>
      </c>
      <c r="J1841" s="8">
        <v>0.11</v>
      </c>
      <c r="K1841" t="str">
        <f>IF(SalesData[[#This Row],[Profit]]&gt;0,"Profit","Loss")</f>
        <v>Loss</v>
      </c>
      <c r="L1841" s="8">
        <f>SalesData[[#This Row],[Profit]]/SalesData[[#This Row],[Sales]]</f>
        <v>-6.5200903319272238E-2</v>
      </c>
      <c r="M1841" t="str">
        <f>TEXT(SalesData[[#This Row],[Order_Date]],"mmm")</f>
        <v>Apr</v>
      </c>
      <c r="N1841">
        <f>YEAR(SalesData[[#This Row],[Order_Date]])</f>
        <v>2022</v>
      </c>
    </row>
    <row r="1842" spans="1:14" x14ac:dyDescent="0.3">
      <c r="A1842" t="s">
        <v>3069</v>
      </c>
      <c r="B1842" s="1">
        <v>44672</v>
      </c>
      <c r="C1842" t="s">
        <v>319</v>
      </c>
      <c r="D1842" t="s">
        <v>18</v>
      </c>
      <c r="E1842" t="s">
        <v>13</v>
      </c>
      <c r="F1842" t="s">
        <v>14</v>
      </c>
      <c r="G1842" t="s">
        <v>782</v>
      </c>
      <c r="H1842" s="8">
        <v>3609.39</v>
      </c>
      <c r="I1842" s="8">
        <v>402.69</v>
      </c>
      <c r="J1842" s="8">
        <v>0.27</v>
      </c>
      <c r="K1842" t="str">
        <f>IF(SalesData[[#This Row],[Profit]]&gt;0,"Profit","Loss")</f>
        <v>Profit</v>
      </c>
      <c r="L1842" s="8">
        <f>SalesData[[#This Row],[Profit]]/SalesData[[#This Row],[Sales]]</f>
        <v>0.11156732855136187</v>
      </c>
      <c r="M1842" t="str">
        <f>TEXT(SalesData[[#This Row],[Order_Date]],"mmm")</f>
        <v>Apr</v>
      </c>
      <c r="N1842">
        <f>YEAR(SalesData[[#This Row],[Order_Date]])</f>
        <v>2022</v>
      </c>
    </row>
    <row r="1843" spans="1:14" x14ac:dyDescent="0.3">
      <c r="A1843" t="s">
        <v>3070</v>
      </c>
      <c r="B1843" s="1">
        <v>44776</v>
      </c>
      <c r="C1843" t="s">
        <v>1455</v>
      </c>
      <c r="D1843" t="s">
        <v>12</v>
      </c>
      <c r="E1843" t="s">
        <v>56</v>
      </c>
      <c r="F1843" t="s">
        <v>73</v>
      </c>
      <c r="G1843" t="s">
        <v>2027</v>
      </c>
      <c r="H1843" s="8">
        <v>4755.54</v>
      </c>
      <c r="I1843" s="8">
        <v>-125.2</v>
      </c>
      <c r="J1843" s="8">
        <v>7.0000000000000007E-2</v>
      </c>
      <c r="K1843" t="str">
        <f>IF(SalesData[[#This Row],[Profit]]&gt;0,"Profit","Loss")</f>
        <v>Loss</v>
      </c>
      <c r="L1843" s="8">
        <f>SalesData[[#This Row],[Profit]]/SalesData[[#This Row],[Sales]]</f>
        <v>-2.6327188920711425E-2</v>
      </c>
      <c r="M1843" t="str">
        <f>TEXT(SalesData[[#This Row],[Order_Date]],"mmm")</f>
        <v>Aug</v>
      </c>
      <c r="N1843">
        <f>YEAR(SalesData[[#This Row],[Order_Date]])</f>
        <v>2022</v>
      </c>
    </row>
    <row r="1844" spans="1:14" x14ac:dyDescent="0.3">
      <c r="A1844" t="s">
        <v>3071</v>
      </c>
      <c r="B1844" s="1">
        <v>45258</v>
      </c>
      <c r="C1844" t="s">
        <v>302</v>
      </c>
      <c r="D1844" t="s">
        <v>12</v>
      </c>
      <c r="E1844" t="s">
        <v>56</v>
      </c>
      <c r="F1844" t="s">
        <v>57</v>
      </c>
      <c r="G1844" t="s">
        <v>1882</v>
      </c>
      <c r="H1844" s="8">
        <v>179.48</v>
      </c>
      <c r="I1844" s="8">
        <v>-29.75</v>
      </c>
      <c r="J1844" s="8">
        <v>0.09</v>
      </c>
      <c r="K1844" t="str">
        <f>IF(SalesData[[#This Row],[Profit]]&gt;0,"Profit","Loss")</f>
        <v>Loss</v>
      </c>
      <c r="L1844" s="8">
        <f>SalesData[[#This Row],[Profit]]/SalesData[[#This Row],[Sales]]</f>
        <v>-0.16575663026521062</v>
      </c>
      <c r="M1844" t="str">
        <f>TEXT(SalesData[[#This Row],[Order_Date]],"mmm")</f>
        <v>Nov</v>
      </c>
      <c r="N1844">
        <f>YEAR(SalesData[[#This Row],[Order_Date]])</f>
        <v>2023</v>
      </c>
    </row>
    <row r="1845" spans="1:14" x14ac:dyDescent="0.3">
      <c r="A1845" t="s">
        <v>3072</v>
      </c>
      <c r="B1845" s="1">
        <v>45276</v>
      </c>
      <c r="C1845" t="s">
        <v>2711</v>
      </c>
      <c r="D1845" t="s">
        <v>40</v>
      </c>
      <c r="E1845" t="s">
        <v>19</v>
      </c>
      <c r="F1845" t="s">
        <v>20</v>
      </c>
      <c r="G1845" t="s">
        <v>878</v>
      </c>
      <c r="H1845" s="8">
        <v>2167.4</v>
      </c>
      <c r="I1845" s="8">
        <v>-147.82</v>
      </c>
      <c r="J1845" s="8">
        <v>0.11</v>
      </c>
      <c r="K1845" t="str">
        <f>IF(SalesData[[#This Row],[Profit]]&gt;0,"Profit","Loss")</f>
        <v>Loss</v>
      </c>
      <c r="L1845" s="8">
        <f>SalesData[[#This Row],[Profit]]/SalesData[[#This Row],[Sales]]</f>
        <v>-6.8201531789240558E-2</v>
      </c>
      <c r="M1845" t="str">
        <f>TEXT(SalesData[[#This Row],[Order_Date]],"mmm")</f>
        <v>Dec</v>
      </c>
      <c r="N1845">
        <f>YEAR(SalesData[[#This Row],[Order_Date]])</f>
        <v>2023</v>
      </c>
    </row>
    <row r="1846" spans="1:14" x14ac:dyDescent="0.3">
      <c r="A1846" t="s">
        <v>3073</v>
      </c>
      <c r="B1846" s="1">
        <v>45051</v>
      </c>
      <c r="C1846" t="s">
        <v>3074</v>
      </c>
      <c r="D1846" t="s">
        <v>12</v>
      </c>
      <c r="E1846" t="s">
        <v>19</v>
      </c>
      <c r="F1846" t="s">
        <v>29</v>
      </c>
      <c r="G1846" t="s">
        <v>169</v>
      </c>
      <c r="H1846" s="8">
        <v>1121.4000000000001</v>
      </c>
      <c r="I1846" s="8">
        <v>26.71</v>
      </c>
      <c r="J1846" s="8">
        <v>0.13</v>
      </c>
      <c r="K1846" t="str">
        <f>IF(SalesData[[#This Row],[Profit]]&gt;0,"Profit","Loss")</f>
        <v>Profit</v>
      </c>
      <c r="L1846" s="8">
        <f>SalesData[[#This Row],[Profit]]/SalesData[[#This Row],[Sales]]</f>
        <v>2.381844123417157E-2</v>
      </c>
      <c r="M1846" t="str">
        <f>TEXT(SalesData[[#This Row],[Order_Date]],"mmm")</f>
        <v>May</v>
      </c>
      <c r="N1846">
        <f>YEAR(SalesData[[#This Row],[Order_Date]])</f>
        <v>2023</v>
      </c>
    </row>
    <row r="1847" spans="1:14" x14ac:dyDescent="0.3">
      <c r="A1847" t="s">
        <v>3075</v>
      </c>
      <c r="B1847" s="1">
        <v>45046</v>
      </c>
      <c r="C1847" t="s">
        <v>1603</v>
      </c>
      <c r="D1847" t="s">
        <v>12</v>
      </c>
      <c r="E1847" t="s">
        <v>19</v>
      </c>
      <c r="F1847" t="s">
        <v>20</v>
      </c>
      <c r="G1847" t="s">
        <v>1091</v>
      </c>
      <c r="H1847" s="8">
        <v>2549.9699999999998</v>
      </c>
      <c r="I1847" s="8">
        <v>-399.15</v>
      </c>
      <c r="J1847" s="8">
        <v>0.11</v>
      </c>
      <c r="K1847" t="str">
        <f>IF(SalesData[[#This Row],[Profit]]&gt;0,"Profit","Loss")</f>
        <v>Loss</v>
      </c>
      <c r="L1847" s="8">
        <f>SalesData[[#This Row],[Profit]]/SalesData[[#This Row],[Sales]]</f>
        <v>-0.15653125330886247</v>
      </c>
      <c r="M1847" t="str">
        <f>TEXT(SalesData[[#This Row],[Order_Date]],"mmm")</f>
        <v>Apr</v>
      </c>
      <c r="N1847">
        <f>YEAR(SalesData[[#This Row],[Order_Date]])</f>
        <v>2023</v>
      </c>
    </row>
    <row r="1848" spans="1:14" x14ac:dyDescent="0.3">
      <c r="A1848" t="s">
        <v>3076</v>
      </c>
      <c r="B1848" s="1">
        <v>45064</v>
      </c>
      <c r="C1848" t="s">
        <v>857</v>
      </c>
      <c r="D1848" t="s">
        <v>28</v>
      </c>
      <c r="E1848" t="s">
        <v>13</v>
      </c>
      <c r="F1848" t="s">
        <v>24</v>
      </c>
      <c r="G1848" t="s">
        <v>172</v>
      </c>
      <c r="H1848" s="8">
        <v>3139.14</v>
      </c>
      <c r="I1848" s="8">
        <v>856.41</v>
      </c>
      <c r="J1848" s="8">
        <v>0.11</v>
      </c>
      <c r="K1848" t="str">
        <f>IF(SalesData[[#This Row],[Profit]]&gt;0,"Profit","Loss")</f>
        <v>Profit</v>
      </c>
      <c r="L1848" s="8">
        <f>SalesData[[#This Row],[Profit]]/SalesData[[#This Row],[Sales]]</f>
        <v>0.27281675873009803</v>
      </c>
      <c r="M1848" t="str">
        <f>TEXT(SalesData[[#This Row],[Order_Date]],"mmm")</f>
        <v>May</v>
      </c>
      <c r="N1848">
        <f>YEAR(SalesData[[#This Row],[Order_Date]])</f>
        <v>2023</v>
      </c>
    </row>
    <row r="1849" spans="1:14" x14ac:dyDescent="0.3">
      <c r="A1849" t="s">
        <v>3077</v>
      </c>
      <c r="B1849" s="1">
        <v>45208</v>
      </c>
      <c r="C1849" t="s">
        <v>2384</v>
      </c>
      <c r="D1849" t="s">
        <v>28</v>
      </c>
      <c r="E1849" t="s">
        <v>19</v>
      </c>
      <c r="F1849" t="s">
        <v>20</v>
      </c>
      <c r="G1849" t="s">
        <v>111</v>
      </c>
      <c r="H1849" s="8">
        <v>2426.87</v>
      </c>
      <c r="I1849" s="8">
        <v>-752.87</v>
      </c>
      <c r="J1849" s="8">
        <v>0.16</v>
      </c>
      <c r="K1849" t="str">
        <f>IF(SalesData[[#This Row],[Profit]]&gt;0,"Profit","Loss")</f>
        <v>Loss</v>
      </c>
      <c r="L1849" s="8">
        <f>SalesData[[#This Row],[Profit]]/SalesData[[#This Row],[Sales]]</f>
        <v>-0.31022263244425952</v>
      </c>
      <c r="M1849" t="str">
        <f>TEXT(SalesData[[#This Row],[Order_Date]],"mmm")</f>
        <v>Oct</v>
      </c>
      <c r="N1849">
        <f>YEAR(SalesData[[#This Row],[Order_Date]])</f>
        <v>2023</v>
      </c>
    </row>
    <row r="1850" spans="1:14" x14ac:dyDescent="0.3">
      <c r="A1850" t="s">
        <v>3078</v>
      </c>
      <c r="B1850" s="1">
        <v>44879</v>
      </c>
      <c r="C1850" t="s">
        <v>293</v>
      </c>
      <c r="D1850" t="s">
        <v>28</v>
      </c>
      <c r="E1850" t="s">
        <v>13</v>
      </c>
      <c r="F1850" t="s">
        <v>36</v>
      </c>
      <c r="G1850" t="s">
        <v>1009</v>
      </c>
      <c r="H1850" s="8">
        <v>1282.76</v>
      </c>
      <c r="I1850" s="8">
        <v>-614.95000000000005</v>
      </c>
      <c r="J1850" s="8">
        <v>0.3</v>
      </c>
      <c r="K1850" t="str">
        <f>IF(SalesData[[#This Row],[Profit]]&gt;0,"Profit","Loss")</f>
        <v>Loss</v>
      </c>
      <c r="L1850" s="8">
        <f>SalesData[[#This Row],[Profit]]/SalesData[[#This Row],[Sales]]</f>
        <v>-0.47939598989678511</v>
      </c>
      <c r="M1850" t="str">
        <f>TEXT(SalesData[[#This Row],[Order_Date]],"mmm")</f>
        <v>Nov</v>
      </c>
      <c r="N1850">
        <f>YEAR(SalesData[[#This Row],[Order_Date]])</f>
        <v>2022</v>
      </c>
    </row>
    <row r="1851" spans="1:14" x14ac:dyDescent="0.3">
      <c r="A1851" t="s">
        <v>3079</v>
      </c>
      <c r="B1851" s="1">
        <v>45253</v>
      </c>
      <c r="C1851" t="s">
        <v>577</v>
      </c>
      <c r="D1851" t="s">
        <v>12</v>
      </c>
      <c r="E1851" t="s">
        <v>13</v>
      </c>
      <c r="F1851" t="s">
        <v>36</v>
      </c>
      <c r="G1851" t="s">
        <v>700</v>
      </c>
      <c r="H1851" s="8">
        <v>565.27</v>
      </c>
      <c r="I1851" s="8">
        <v>-30.49</v>
      </c>
      <c r="J1851" s="8">
        <v>0.21</v>
      </c>
      <c r="K1851" t="str">
        <f>IF(SalesData[[#This Row],[Profit]]&gt;0,"Profit","Loss")</f>
        <v>Loss</v>
      </c>
      <c r="L1851" s="8">
        <f>SalesData[[#This Row],[Profit]]/SalesData[[#This Row],[Sales]]</f>
        <v>-5.3938825693916177E-2</v>
      </c>
      <c r="M1851" t="str">
        <f>TEXT(SalesData[[#This Row],[Order_Date]],"mmm")</f>
        <v>Nov</v>
      </c>
      <c r="N1851">
        <f>YEAR(SalesData[[#This Row],[Order_Date]])</f>
        <v>2023</v>
      </c>
    </row>
    <row r="1852" spans="1:14" x14ac:dyDescent="0.3">
      <c r="A1852" t="s">
        <v>3080</v>
      </c>
      <c r="B1852" s="1">
        <v>45140</v>
      </c>
      <c r="C1852" t="s">
        <v>2392</v>
      </c>
      <c r="D1852" t="s">
        <v>12</v>
      </c>
      <c r="E1852" t="s">
        <v>13</v>
      </c>
      <c r="F1852" t="s">
        <v>36</v>
      </c>
      <c r="G1852" t="s">
        <v>1882</v>
      </c>
      <c r="H1852" s="8">
        <v>438.59</v>
      </c>
      <c r="I1852" s="8">
        <v>-37.35</v>
      </c>
      <c r="J1852" s="8">
        <v>0.05</v>
      </c>
      <c r="K1852" t="str">
        <f>IF(SalesData[[#This Row],[Profit]]&gt;0,"Profit","Loss")</f>
        <v>Loss</v>
      </c>
      <c r="L1852" s="8">
        <f>SalesData[[#This Row],[Profit]]/SalesData[[#This Row],[Sales]]</f>
        <v>-8.515926035705329E-2</v>
      </c>
      <c r="M1852" t="str">
        <f>TEXT(SalesData[[#This Row],[Order_Date]],"mmm")</f>
        <v>Aug</v>
      </c>
      <c r="N1852">
        <f>YEAR(SalesData[[#This Row],[Order_Date]])</f>
        <v>2023</v>
      </c>
    </row>
    <row r="1853" spans="1:14" x14ac:dyDescent="0.3">
      <c r="A1853" t="s">
        <v>3081</v>
      </c>
      <c r="B1853" s="1">
        <v>44862</v>
      </c>
      <c r="C1853" t="s">
        <v>1120</v>
      </c>
      <c r="D1853" t="s">
        <v>12</v>
      </c>
      <c r="E1853" t="s">
        <v>13</v>
      </c>
      <c r="F1853" t="s">
        <v>14</v>
      </c>
      <c r="G1853" t="s">
        <v>479</v>
      </c>
      <c r="H1853" s="8">
        <v>3521.26</v>
      </c>
      <c r="I1853" s="8">
        <v>673.82</v>
      </c>
      <c r="J1853" s="8">
        <v>0.15</v>
      </c>
      <c r="K1853" t="str">
        <f>IF(SalesData[[#This Row],[Profit]]&gt;0,"Profit","Loss")</f>
        <v>Profit</v>
      </c>
      <c r="L1853" s="8">
        <f>SalesData[[#This Row],[Profit]]/SalesData[[#This Row],[Sales]]</f>
        <v>0.19135763902693922</v>
      </c>
      <c r="M1853" t="str">
        <f>TEXT(SalesData[[#This Row],[Order_Date]],"mmm")</f>
        <v>Oct</v>
      </c>
      <c r="N1853">
        <f>YEAR(SalesData[[#This Row],[Order_Date]])</f>
        <v>2022</v>
      </c>
    </row>
    <row r="1854" spans="1:14" x14ac:dyDescent="0.3">
      <c r="A1854" t="s">
        <v>3082</v>
      </c>
      <c r="B1854" s="1">
        <v>44640</v>
      </c>
      <c r="C1854" t="s">
        <v>1431</v>
      </c>
      <c r="D1854" t="s">
        <v>28</v>
      </c>
      <c r="E1854" t="s">
        <v>13</v>
      </c>
      <c r="F1854" t="s">
        <v>36</v>
      </c>
      <c r="G1854" t="s">
        <v>2141</v>
      </c>
      <c r="H1854" s="8">
        <v>2190.98</v>
      </c>
      <c r="I1854" s="8">
        <v>374.96</v>
      </c>
      <c r="J1854" s="8">
        <v>0.21</v>
      </c>
      <c r="K1854" t="str">
        <f>IF(SalesData[[#This Row],[Profit]]&gt;0,"Profit","Loss")</f>
        <v>Profit</v>
      </c>
      <c r="L1854" s="8">
        <f>SalesData[[#This Row],[Profit]]/SalesData[[#This Row],[Sales]]</f>
        <v>0.17113802955754959</v>
      </c>
      <c r="M1854" t="str">
        <f>TEXT(SalesData[[#This Row],[Order_Date]],"mmm")</f>
        <v>Mar</v>
      </c>
      <c r="N1854">
        <f>YEAR(SalesData[[#This Row],[Order_Date]])</f>
        <v>2022</v>
      </c>
    </row>
    <row r="1855" spans="1:14" x14ac:dyDescent="0.3">
      <c r="A1855" t="s">
        <v>3083</v>
      </c>
      <c r="B1855" s="1">
        <v>44742</v>
      </c>
      <c r="C1855" t="s">
        <v>322</v>
      </c>
      <c r="D1855" t="s">
        <v>28</v>
      </c>
      <c r="E1855" t="s">
        <v>56</v>
      </c>
      <c r="F1855" t="s">
        <v>57</v>
      </c>
      <c r="G1855" t="s">
        <v>981</v>
      </c>
      <c r="H1855" s="8">
        <v>1997.79</v>
      </c>
      <c r="I1855" s="8">
        <v>-55.29</v>
      </c>
      <c r="J1855" s="8">
        <v>0.22</v>
      </c>
      <c r="K1855" t="str">
        <f>IF(SalesData[[#This Row],[Profit]]&gt;0,"Profit","Loss")</f>
        <v>Loss</v>
      </c>
      <c r="L1855" s="8">
        <f>SalesData[[#This Row],[Profit]]/SalesData[[#This Row],[Sales]]</f>
        <v>-2.7675581517576923E-2</v>
      </c>
      <c r="M1855" t="str">
        <f>TEXT(SalesData[[#This Row],[Order_Date]],"mmm")</f>
        <v>Jun</v>
      </c>
      <c r="N1855">
        <f>YEAR(SalesData[[#This Row],[Order_Date]])</f>
        <v>2022</v>
      </c>
    </row>
    <row r="1856" spans="1:14" x14ac:dyDescent="0.3">
      <c r="A1856" t="s">
        <v>3084</v>
      </c>
      <c r="B1856" s="1">
        <v>45067</v>
      </c>
      <c r="C1856" t="s">
        <v>944</v>
      </c>
      <c r="D1856" t="s">
        <v>28</v>
      </c>
      <c r="E1856" t="s">
        <v>19</v>
      </c>
      <c r="F1856" t="s">
        <v>20</v>
      </c>
      <c r="G1856" t="s">
        <v>2087</v>
      </c>
      <c r="H1856" s="8">
        <v>1194.77</v>
      </c>
      <c r="I1856" s="8">
        <v>-131.26</v>
      </c>
      <c r="J1856" s="8">
        <v>0.26</v>
      </c>
      <c r="K1856" t="str">
        <f>IF(SalesData[[#This Row],[Profit]]&gt;0,"Profit","Loss")</f>
        <v>Loss</v>
      </c>
      <c r="L1856" s="8">
        <f>SalesData[[#This Row],[Profit]]/SalesData[[#This Row],[Sales]]</f>
        <v>-0.10986214920026448</v>
      </c>
      <c r="M1856" t="str">
        <f>TEXT(SalesData[[#This Row],[Order_Date]],"mmm")</f>
        <v>May</v>
      </c>
      <c r="N1856">
        <f>YEAR(SalesData[[#This Row],[Order_Date]])</f>
        <v>2023</v>
      </c>
    </row>
    <row r="1857" spans="1:14" x14ac:dyDescent="0.3">
      <c r="A1857" t="s">
        <v>3085</v>
      </c>
      <c r="B1857" s="1">
        <v>45181</v>
      </c>
      <c r="C1857" t="s">
        <v>1934</v>
      </c>
      <c r="D1857" t="s">
        <v>12</v>
      </c>
      <c r="E1857" t="s">
        <v>13</v>
      </c>
      <c r="F1857" t="s">
        <v>14</v>
      </c>
      <c r="G1857" t="s">
        <v>86</v>
      </c>
      <c r="H1857" s="8">
        <v>597.53</v>
      </c>
      <c r="I1857" s="8">
        <v>122.02</v>
      </c>
      <c r="J1857" s="8">
        <v>0.04</v>
      </c>
      <c r="K1857" t="str">
        <f>IF(SalesData[[#This Row],[Profit]]&gt;0,"Profit","Loss")</f>
        <v>Profit</v>
      </c>
      <c r="L1857" s="8">
        <f>SalesData[[#This Row],[Profit]]/SalesData[[#This Row],[Sales]]</f>
        <v>0.20420732013455392</v>
      </c>
      <c r="M1857" t="str">
        <f>TEXT(SalesData[[#This Row],[Order_Date]],"mmm")</f>
        <v>Sep</v>
      </c>
      <c r="N1857">
        <f>YEAR(SalesData[[#This Row],[Order_Date]])</f>
        <v>2023</v>
      </c>
    </row>
    <row r="1858" spans="1:14" x14ac:dyDescent="0.3">
      <c r="A1858" t="s">
        <v>3086</v>
      </c>
      <c r="B1858" s="1">
        <v>45272</v>
      </c>
      <c r="C1858" t="s">
        <v>664</v>
      </c>
      <c r="D1858" t="s">
        <v>12</v>
      </c>
      <c r="E1858" t="s">
        <v>19</v>
      </c>
      <c r="F1858" t="s">
        <v>29</v>
      </c>
      <c r="G1858" t="s">
        <v>1904</v>
      </c>
      <c r="H1858" s="8">
        <v>3992.25</v>
      </c>
      <c r="I1858" s="8">
        <v>379.44</v>
      </c>
      <c r="J1858" s="8">
        <v>0.13</v>
      </c>
      <c r="K1858" t="str">
        <f>IF(SalesData[[#This Row],[Profit]]&gt;0,"Profit","Loss")</f>
        <v>Profit</v>
      </c>
      <c r="L1858" s="8">
        <f>SalesData[[#This Row],[Profit]]/SalesData[[#This Row],[Sales]]</f>
        <v>9.5044148036821346E-2</v>
      </c>
      <c r="M1858" t="str">
        <f>TEXT(SalesData[[#This Row],[Order_Date]],"mmm")</f>
        <v>Dec</v>
      </c>
      <c r="N1858">
        <f>YEAR(SalesData[[#This Row],[Order_Date]])</f>
        <v>2023</v>
      </c>
    </row>
    <row r="1859" spans="1:14" x14ac:dyDescent="0.3">
      <c r="A1859" t="s">
        <v>3087</v>
      </c>
      <c r="B1859" s="1">
        <v>44628</v>
      </c>
      <c r="C1859" t="s">
        <v>3088</v>
      </c>
      <c r="D1859" t="s">
        <v>40</v>
      </c>
      <c r="E1859" t="s">
        <v>19</v>
      </c>
      <c r="F1859" t="s">
        <v>20</v>
      </c>
      <c r="G1859" t="s">
        <v>989</v>
      </c>
      <c r="H1859" s="8">
        <v>1466.62</v>
      </c>
      <c r="I1859" s="8">
        <v>-171.08</v>
      </c>
      <c r="J1859" s="8">
        <v>0.17</v>
      </c>
      <c r="K1859" t="str">
        <f>IF(SalesData[[#This Row],[Profit]]&gt;0,"Profit","Loss")</f>
        <v>Loss</v>
      </c>
      <c r="L1859" s="8">
        <f>SalesData[[#This Row],[Profit]]/SalesData[[#This Row],[Sales]]</f>
        <v>-0.11664916610983078</v>
      </c>
      <c r="M1859" t="str">
        <f>TEXT(SalesData[[#This Row],[Order_Date]],"mmm")</f>
        <v>Mar</v>
      </c>
      <c r="N1859">
        <f>YEAR(SalesData[[#This Row],[Order_Date]])</f>
        <v>2022</v>
      </c>
    </row>
    <row r="1860" spans="1:14" x14ac:dyDescent="0.3">
      <c r="A1860" t="s">
        <v>3089</v>
      </c>
      <c r="B1860" s="1">
        <v>44702</v>
      </c>
      <c r="C1860" t="s">
        <v>1211</v>
      </c>
      <c r="D1860" t="s">
        <v>12</v>
      </c>
      <c r="E1860" t="s">
        <v>13</v>
      </c>
      <c r="F1860" t="s">
        <v>36</v>
      </c>
      <c r="G1860" t="s">
        <v>1274</v>
      </c>
      <c r="H1860" s="8">
        <v>2425.67</v>
      </c>
      <c r="I1860" s="8">
        <v>-494.98</v>
      </c>
      <c r="J1860" s="8">
        <v>0.15</v>
      </c>
      <c r="K1860" t="str">
        <f>IF(SalesData[[#This Row],[Profit]]&gt;0,"Profit","Loss")</f>
        <v>Loss</v>
      </c>
      <c r="L1860" s="8">
        <f>SalesData[[#This Row],[Profit]]/SalesData[[#This Row],[Sales]]</f>
        <v>-0.20405908470649348</v>
      </c>
      <c r="M1860" t="str">
        <f>TEXT(SalesData[[#This Row],[Order_Date]],"mmm")</f>
        <v>May</v>
      </c>
      <c r="N1860">
        <f>YEAR(SalesData[[#This Row],[Order_Date]])</f>
        <v>2022</v>
      </c>
    </row>
    <row r="1861" spans="1:14" x14ac:dyDescent="0.3">
      <c r="A1861" t="s">
        <v>3090</v>
      </c>
      <c r="B1861" s="1">
        <v>45121</v>
      </c>
      <c r="C1861" t="s">
        <v>72</v>
      </c>
      <c r="D1861" t="s">
        <v>40</v>
      </c>
      <c r="E1861" t="s">
        <v>56</v>
      </c>
      <c r="F1861" t="s">
        <v>73</v>
      </c>
      <c r="G1861" t="s">
        <v>219</v>
      </c>
      <c r="H1861" s="8">
        <v>1015.27</v>
      </c>
      <c r="I1861" s="8">
        <v>137.99</v>
      </c>
      <c r="J1861" s="8">
        <v>0.06</v>
      </c>
      <c r="K1861" t="str">
        <f>IF(SalesData[[#This Row],[Profit]]&gt;0,"Profit","Loss")</f>
        <v>Profit</v>
      </c>
      <c r="L1861" s="8">
        <f>SalesData[[#This Row],[Profit]]/SalesData[[#This Row],[Sales]]</f>
        <v>0.13591458429777301</v>
      </c>
      <c r="M1861" t="str">
        <f>TEXT(SalesData[[#This Row],[Order_Date]],"mmm")</f>
        <v>Jul</v>
      </c>
      <c r="N1861">
        <f>YEAR(SalesData[[#This Row],[Order_Date]])</f>
        <v>2023</v>
      </c>
    </row>
    <row r="1862" spans="1:14" x14ac:dyDescent="0.3">
      <c r="A1862" t="s">
        <v>3091</v>
      </c>
      <c r="B1862" s="1">
        <v>44799</v>
      </c>
      <c r="C1862" t="s">
        <v>3092</v>
      </c>
      <c r="D1862" t="s">
        <v>18</v>
      </c>
      <c r="E1862" t="s">
        <v>56</v>
      </c>
      <c r="F1862" t="s">
        <v>73</v>
      </c>
      <c r="G1862" t="s">
        <v>850</v>
      </c>
      <c r="H1862" s="8">
        <v>1009</v>
      </c>
      <c r="I1862" s="8">
        <v>15.94</v>
      </c>
      <c r="J1862" s="8">
        <v>0.12</v>
      </c>
      <c r="K1862" t="str">
        <f>IF(SalesData[[#This Row],[Profit]]&gt;0,"Profit","Loss")</f>
        <v>Profit</v>
      </c>
      <c r="L1862" s="8">
        <f>SalesData[[#This Row],[Profit]]/SalesData[[#This Row],[Sales]]</f>
        <v>1.5797819623389494E-2</v>
      </c>
      <c r="M1862" t="str">
        <f>TEXT(SalesData[[#This Row],[Order_Date]],"mmm")</f>
        <v>Aug</v>
      </c>
      <c r="N1862">
        <f>YEAR(SalesData[[#This Row],[Order_Date]])</f>
        <v>2022</v>
      </c>
    </row>
    <row r="1863" spans="1:14" x14ac:dyDescent="0.3">
      <c r="A1863" t="s">
        <v>3093</v>
      </c>
      <c r="B1863" s="1">
        <v>44574</v>
      </c>
      <c r="C1863" t="s">
        <v>1503</v>
      </c>
      <c r="D1863" t="s">
        <v>40</v>
      </c>
      <c r="E1863" t="s">
        <v>56</v>
      </c>
      <c r="F1863" t="s">
        <v>73</v>
      </c>
      <c r="G1863" t="s">
        <v>1128</v>
      </c>
      <c r="H1863" s="8">
        <v>3537.22</v>
      </c>
      <c r="I1863" s="8">
        <v>-580.12</v>
      </c>
      <c r="J1863" s="8">
        <v>0</v>
      </c>
      <c r="K1863" t="str">
        <f>IF(SalesData[[#This Row],[Profit]]&gt;0,"Profit","Loss")</f>
        <v>Loss</v>
      </c>
      <c r="L1863" s="8">
        <f>SalesData[[#This Row],[Profit]]/SalesData[[#This Row],[Sales]]</f>
        <v>-0.16400450070959682</v>
      </c>
      <c r="M1863" t="str">
        <f>TEXT(SalesData[[#This Row],[Order_Date]],"mmm")</f>
        <v>Jan</v>
      </c>
      <c r="N1863">
        <f>YEAR(SalesData[[#This Row],[Order_Date]])</f>
        <v>2022</v>
      </c>
    </row>
    <row r="1864" spans="1:14" x14ac:dyDescent="0.3">
      <c r="A1864" t="s">
        <v>3094</v>
      </c>
      <c r="B1864" s="1">
        <v>44811</v>
      </c>
      <c r="C1864" t="s">
        <v>1225</v>
      </c>
      <c r="D1864" t="s">
        <v>18</v>
      </c>
      <c r="E1864" t="s">
        <v>13</v>
      </c>
      <c r="F1864" t="s">
        <v>14</v>
      </c>
      <c r="G1864" t="s">
        <v>1109</v>
      </c>
      <c r="H1864" s="8">
        <v>1586.39</v>
      </c>
      <c r="I1864" s="8">
        <v>-393.87</v>
      </c>
      <c r="J1864" s="8">
        <v>0.24</v>
      </c>
      <c r="K1864" t="str">
        <f>IF(SalesData[[#This Row],[Profit]]&gt;0,"Profit","Loss")</f>
        <v>Loss</v>
      </c>
      <c r="L1864" s="8">
        <f>SalesData[[#This Row],[Profit]]/SalesData[[#This Row],[Sales]]</f>
        <v>-0.24828068759888802</v>
      </c>
      <c r="M1864" t="str">
        <f>TEXT(SalesData[[#This Row],[Order_Date]],"mmm")</f>
        <v>Sep</v>
      </c>
      <c r="N1864">
        <f>YEAR(SalesData[[#This Row],[Order_Date]])</f>
        <v>2022</v>
      </c>
    </row>
    <row r="1865" spans="1:14" x14ac:dyDescent="0.3">
      <c r="A1865" t="s">
        <v>3095</v>
      </c>
      <c r="B1865" s="1">
        <v>45128</v>
      </c>
      <c r="C1865" t="s">
        <v>922</v>
      </c>
      <c r="D1865" t="s">
        <v>12</v>
      </c>
      <c r="E1865" t="s">
        <v>13</v>
      </c>
      <c r="F1865" t="s">
        <v>36</v>
      </c>
      <c r="G1865" t="s">
        <v>1229</v>
      </c>
      <c r="H1865" s="8">
        <v>2443.5500000000002</v>
      </c>
      <c r="I1865" s="8">
        <v>-382.54</v>
      </c>
      <c r="J1865" s="8">
        <v>0.06</v>
      </c>
      <c r="K1865" t="str">
        <f>IF(SalesData[[#This Row],[Profit]]&gt;0,"Profit","Loss")</f>
        <v>Loss</v>
      </c>
      <c r="L1865" s="8">
        <f>SalesData[[#This Row],[Profit]]/SalesData[[#This Row],[Sales]]</f>
        <v>-0.1565509197683698</v>
      </c>
      <c r="M1865" t="str">
        <f>TEXT(SalesData[[#This Row],[Order_Date]],"mmm")</f>
        <v>Jul</v>
      </c>
      <c r="N1865">
        <f>YEAR(SalesData[[#This Row],[Order_Date]])</f>
        <v>2023</v>
      </c>
    </row>
    <row r="1866" spans="1:14" x14ac:dyDescent="0.3">
      <c r="A1866" t="s">
        <v>3096</v>
      </c>
      <c r="B1866" s="1">
        <v>45051</v>
      </c>
      <c r="C1866" t="s">
        <v>1936</v>
      </c>
      <c r="D1866" t="s">
        <v>12</v>
      </c>
      <c r="E1866" t="s">
        <v>13</v>
      </c>
      <c r="F1866" t="s">
        <v>14</v>
      </c>
      <c r="G1866" t="s">
        <v>930</v>
      </c>
      <c r="H1866" s="8">
        <v>4303.4399999999996</v>
      </c>
      <c r="I1866" s="8">
        <v>930.88</v>
      </c>
      <c r="J1866" s="8">
        <v>0.04</v>
      </c>
      <c r="K1866" t="str">
        <f>IF(SalesData[[#This Row],[Profit]]&gt;0,"Profit","Loss")</f>
        <v>Profit</v>
      </c>
      <c r="L1866" s="8">
        <f>SalesData[[#This Row],[Profit]]/SalesData[[#This Row],[Sales]]</f>
        <v>0.21631067239231871</v>
      </c>
      <c r="M1866" t="str">
        <f>TEXT(SalesData[[#This Row],[Order_Date]],"mmm")</f>
        <v>May</v>
      </c>
      <c r="N1866">
        <f>YEAR(SalesData[[#This Row],[Order_Date]])</f>
        <v>2023</v>
      </c>
    </row>
    <row r="1867" spans="1:14" x14ac:dyDescent="0.3">
      <c r="A1867" t="s">
        <v>3097</v>
      </c>
      <c r="B1867" s="1">
        <v>44792</v>
      </c>
      <c r="C1867" t="s">
        <v>2767</v>
      </c>
      <c r="D1867" t="s">
        <v>28</v>
      </c>
      <c r="E1867" t="s">
        <v>56</v>
      </c>
      <c r="F1867" t="s">
        <v>57</v>
      </c>
      <c r="G1867" t="s">
        <v>1386</v>
      </c>
      <c r="H1867" s="8">
        <v>3172.01</v>
      </c>
      <c r="I1867" s="8">
        <v>175.65</v>
      </c>
      <c r="J1867" s="8">
        <v>0.12</v>
      </c>
      <c r="K1867" t="str">
        <f>IF(SalesData[[#This Row],[Profit]]&gt;0,"Profit","Loss")</f>
        <v>Profit</v>
      </c>
      <c r="L1867" s="8">
        <f>SalesData[[#This Row],[Profit]]/SalesData[[#This Row],[Sales]]</f>
        <v>5.53749830549084E-2</v>
      </c>
      <c r="M1867" t="str">
        <f>TEXT(SalesData[[#This Row],[Order_Date]],"mmm")</f>
        <v>Aug</v>
      </c>
      <c r="N1867">
        <f>YEAR(SalesData[[#This Row],[Order_Date]])</f>
        <v>2022</v>
      </c>
    </row>
    <row r="1868" spans="1:14" x14ac:dyDescent="0.3">
      <c r="A1868" t="s">
        <v>3098</v>
      </c>
      <c r="B1868" s="1">
        <v>45249</v>
      </c>
      <c r="C1868" t="s">
        <v>341</v>
      </c>
      <c r="D1868" t="s">
        <v>40</v>
      </c>
      <c r="E1868" t="s">
        <v>19</v>
      </c>
      <c r="F1868" t="s">
        <v>20</v>
      </c>
      <c r="G1868" t="s">
        <v>964</v>
      </c>
      <c r="H1868" s="8">
        <v>4366.28</v>
      </c>
      <c r="I1868" s="8">
        <v>-1805.02</v>
      </c>
      <c r="J1868" s="8">
        <v>0.23</v>
      </c>
      <c r="K1868" t="str">
        <f>IF(SalesData[[#This Row],[Profit]]&gt;0,"Profit","Loss")</f>
        <v>Loss</v>
      </c>
      <c r="L1868" s="8">
        <f>SalesData[[#This Row],[Profit]]/SalesData[[#This Row],[Sales]]</f>
        <v>-0.41339996518775712</v>
      </c>
      <c r="M1868" t="str">
        <f>TEXT(SalesData[[#This Row],[Order_Date]],"mmm")</f>
        <v>Nov</v>
      </c>
      <c r="N1868">
        <f>YEAR(SalesData[[#This Row],[Order_Date]])</f>
        <v>2023</v>
      </c>
    </row>
    <row r="1869" spans="1:14" x14ac:dyDescent="0.3">
      <c r="A1869" t="s">
        <v>3099</v>
      </c>
      <c r="B1869" s="1">
        <v>45052</v>
      </c>
      <c r="C1869" t="s">
        <v>1328</v>
      </c>
      <c r="D1869" t="s">
        <v>28</v>
      </c>
      <c r="E1869" t="s">
        <v>19</v>
      </c>
      <c r="F1869" t="s">
        <v>141</v>
      </c>
      <c r="G1869" t="s">
        <v>528</v>
      </c>
      <c r="H1869" s="8">
        <v>4198.22</v>
      </c>
      <c r="I1869" s="8">
        <v>1152.43</v>
      </c>
      <c r="J1869" s="8">
        <v>7.0000000000000007E-2</v>
      </c>
      <c r="K1869" t="str">
        <f>IF(SalesData[[#This Row],[Profit]]&gt;0,"Profit","Loss")</f>
        <v>Profit</v>
      </c>
      <c r="L1869" s="8">
        <f>SalesData[[#This Row],[Profit]]/SalesData[[#This Row],[Sales]]</f>
        <v>0.27450443283105697</v>
      </c>
      <c r="M1869" t="str">
        <f>TEXT(SalesData[[#This Row],[Order_Date]],"mmm")</f>
        <v>May</v>
      </c>
      <c r="N1869">
        <f>YEAR(SalesData[[#This Row],[Order_Date]])</f>
        <v>2023</v>
      </c>
    </row>
    <row r="1870" spans="1:14" x14ac:dyDescent="0.3">
      <c r="A1870" t="s">
        <v>3100</v>
      </c>
      <c r="B1870" s="1">
        <v>44638</v>
      </c>
      <c r="C1870" t="s">
        <v>3101</v>
      </c>
      <c r="D1870" t="s">
        <v>12</v>
      </c>
      <c r="E1870" t="s">
        <v>13</v>
      </c>
      <c r="F1870" t="s">
        <v>14</v>
      </c>
      <c r="G1870" t="s">
        <v>1489</v>
      </c>
      <c r="H1870" s="8">
        <v>1282.57</v>
      </c>
      <c r="I1870" s="8">
        <v>-79.16</v>
      </c>
      <c r="J1870" s="8">
        <v>0.16</v>
      </c>
      <c r="K1870" t="str">
        <f>IF(SalesData[[#This Row],[Profit]]&gt;0,"Profit","Loss")</f>
        <v>Loss</v>
      </c>
      <c r="L1870" s="8">
        <f>SalesData[[#This Row],[Profit]]/SalesData[[#This Row],[Sales]]</f>
        <v>-6.1719828157527468E-2</v>
      </c>
      <c r="M1870" t="str">
        <f>TEXT(SalesData[[#This Row],[Order_Date]],"mmm")</f>
        <v>Mar</v>
      </c>
      <c r="N1870">
        <f>YEAR(SalesData[[#This Row],[Order_Date]])</f>
        <v>2022</v>
      </c>
    </row>
    <row r="1871" spans="1:14" x14ac:dyDescent="0.3">
      <c r="A1871" t="s">
        <v>3102</v>
      </c>
      <c r="B1871" s="1">
        <v>45218</v>
      </c>
      <c r="C1871" t="s">
        <v>2245</v>
      </c>
      <c r="D1871" t="s">
        <v>40</v>
      </c>
      <c r="E1871" t="s">
        <v>56</v>
      </c>
      <c r="F1871" t="s">
        <v>73</v>
      </c>
      <c r="G1871" t="s">
        <v>257</v>
      </c>
      <c r="H1871" s="8">
        <v>515.73</v>
      </c>
      <c r="I1871" s="8">
        <v>-197.35</v>
      </c>
      <c r="J1871" s="8">
        <v>0.27</v>
      </c>
      <c r="K1871" t="str">
        <f>IF(SalesData[[#This Row],[Profit]]&gt;0,"Profit","Loss")</f>
        <v>Loss</v>
      </c>
      <c r="L1871" s="8">
        <f>SalesData[[#This Row],[Profit]]/SalesData[[#This Row],[Sales]]</f>
        <v>-0.38266147014910901</v>
      </c>
      <c r="M1871" t="str">
        <f>TEXT(SalesData[[#This Row],[Order_Date]],"mmm")</f>
        <v>Oct</v>
      </c>
      <c r="N1871">
        <f>YEAR(SalesData[[#This Row],[Order_Date]])</f>
        <v>2023</v>
      </c>
    </row>
    <row r="1872" spans="1:14" x14ac:dyDescent="0.3">
      <c r="A1872" t="s">
        <v>3103</v>
      </c>
      <c r="B1872" s="1">
        <v>44872</v>
      </c>
      <c r="C1872" t="s">
        <v>1854</v>
      </c>
      <c r="D1872" t="s">
        <v>40</v>
      </c>
      <c r="E1872" t="s">
        <v>19</v>
      </c>
      <c r="F1872" t="s">
        <v>29</v>
      </c>
      <c r="G1872" t="s">
        <v>1355</v>
      </c>
      <c r="H1872" s="8">
        <v>2376.08</v>
      </c>
      <c r="I1872" s="8">
        <v>262</v>
      </c>
      <c r="J1872" s="8">
        <v>0.24</v>
      </c>
      <c r="K1872" t="str">
        <f>IF(SalesData[[#This Row],[Profit]]&gt;0,"Profit","Loss")</f>
        <v>Profit</v>
      </c>
      <c r="L1872" s="8">
        <f>SalesData[[#This Row],[Profit]]/SalesData[[#This Row],[Sales]]</f>
        <v>0.11026564762129222</v>
      </c>
      <c r="M1872" t="str">
        <f>TEXT(SalesData[[#This Row],[Order_Date]],"mmm")</f>
        <v>Nov</v>
      </c>
      <c r="N1872">
        <f>YEAR(SalesData[[#This Row],[Order_Date]])</f>
        <v>2022</v>
      </c>
    </row>
    <row r="1873" spans="1:14" x14ac:dyDescent="0.3">
      <c r="A1873" t="s">
        <v>3104</v>
      </c>
      <c r="B1873" s="1">
        <v>45266</v>
      </c>
      <c r="C1873" t="s">
        <v>299</v>
      </c>
      <c r="D1873" t="s">
        <v>18</v>
      </c>
      <c r="E1873" t="s">
        <v>19</v>
      </c>
      <c r="F1873" t="s">
        <v>29</v>
      </c>
      <c r="G1873" t="s">
        <v>233</v>
      </c>
      <c r="H1873" s="8">
        <v>2606.06</v>
      </c>
      <c r="I1873" s="8">
        <v>528.24</v>
      </c>
      <c r="J1873" s="8">
        <v>0.12</v>
      </c>
      <c r="K1873" t="str">
        <f>IF(SalesData[[#This Row],[Profit]]&gt;0,"Profit","Loss")</f>
        <v>Profit</v>
      </c>
      <c r="L1873" s="8">
        <f>SalesData[[#This Row],[Profit]]/SalesData[[#This Row],[Sales]]</f>
        <v>0.2026967913248352</v>
      </c>
      <c r="M1873" t="str">
        <f>TEXT(SalesData[[#This Row],[Order_Date]],"mmm")</f>
        <v>Dec</v>
      </c>
      <c r="N1873">
        <f>YEAR(SalesData[[#This Row],[Order_Date]])</f>
        <v>2023</v>
      </c>
    </row>
    <row r="1874" spans="1:14" x14ac:dyDescent="0.3">
      <c r="A1874" t="s">
        <v>3105</v>
      </c>
      <c r="B1874" s="1">
        <v>45193</v>
      </c>
      <c r="C1874" t="s">
        <v>519</v>
      </c>
      <c r="D1874" t="s">
        <v>12</v>
      </c>
      <c r="E1874" t="s">
        <v>19</v>
      </c>
      <c r="F1874" t="s">
        <v>20</v>
      </c>
      <c r="G1874" t="s">
        <v>142</v>
      </c>
      <c r="H1874" s="8">
        <v>3487.98</v>
      </c>
      <c r="I1874" s="8">
        <v>-594.20000000000005</v>
      </c>
      <c r="J1874" s="8">
        <v>0.28999999999999998</v>
      </c>
      <c r="K1874" t="str">
        <f>IF(SalesData[[#This Row],[Profit]]&gt;0,"Profit","Loss")</f>
        <v>Loss</v>
      </c>
      <c r="L1874" s="8">
        <f>SalesData[[#This Row],[Profit]]/SalesData[[#This Row],[Sales]]</f>
        <v>-0.17035648140184292</v>
      </c>
      <c r="M1874" t="str">
        <f>TEXT(SalesData[[#This Row],[Order_Date]],"mmm")</f>
        <v>Sep</v>
      </c>
      <c r="N1874">
        <f>YEAR(SalesData[[#This Row],[Order_Date]])</f>
        <v>2023</v>
      </c>
    </row>
    <row r="1875" spans="1:14" x14ac:dyDescent="0.3">
      <c r="A1875" t="s">
        <v>3106</v>
      </c>
      <c r="B1875" s="1">
        <v>44795</v>
      </c>
      <c r="C1875" t="s">
        <v>446</v>
      </c>
      <c r="D1875" t="s">
        <v>40</v>
      </c>
      <c r="E1875" t="s">
        <v>13</v>
      </c>
      <c r="F1875" t="s">
        <v>36</v>
      </c>
      <c r="G1875" t="s">
        <v>1697</v>
      </c>
      <c r="H1875" s="8">
        <v>4677.3900000000003</v>
      </c>
      <c r="I1875" s="8">
        <v>-483.36</v>
      </c>
      <c r="J1875" s="8">
        <v>0.26</v>
      </c>
      <c r="K1875" t="str">
        <f>IF(SalesData[[#This Row],[Profit]]&gt;0,"Profit","Loss")</f>
        <v>Loss</v>
      </c>
      <c r="L1875" s="8">
        <f>SalesData[[#This Row],[Profit]]/SalesData[[#This Row],[Sales]]</f>
        <v>-0.10333968302835556</v>
      </c>
      <c r="M1875" t="str">
        <f>TEXT(SalesData[[#This Row],[Order_Date]],"mmm")</f>
        <v>Aug</v>
      </c>
      <c r="N1875">
        <f>YEAR(SalesData[[#This Row],[Order_Date]])</f>
        <v>2022</v>
      </c>
    </row>
    <row r="1876" spans="1:14" x14ac:dyDescent="0.3">
      <c r="A1876" t="s">
        <v>3107</v>
      </c>
      <c r="B1876" s="1">
        <v>44905</v>
      </c>
      <c r="C1876" t="s">
        <v>324</v>
      </c>
      <c r="D1876" t="s">
        <v>28</v>
      </c>
      <c r="E1876" t="s">
        <v>56</v>
      </c>
      <c r="F1876" t="s">
        <v>73</v>
      </c>
      <c r="G1876" t="s">
        <v>257</v>
      </c>
      <c r="H1876" s="8">
        <v>1037.21</v>
      </c>
      <c r="I1876" s="8">
        <v>-388.84</v>
      </c>
      <c r="J1876" s="8">
        <v>0.28999999999999998</v>
      </c>
      <c r="K1876" t="str">
        <f>IF(SalesData[[#This Row],[Profit]]&gt;0,"Profit","Loss")</f>
        <v>Loss</v>
      </c>
      <c r="L1876" s="8">
        <f>SalesData[[#This Row],[Profit]]/SalesData[[#This Row],[Sales]]</f>
        <v>-0.37489033079125728</v>
      </c>
      <c r="M1876" t="str">
        <f>TEXT(SalesData[[#This Row],[Order_Date]],"mmm")</f>
        <v>Dec</v>
      </c>
      <c r="N1876">
        <f>YEAR(SalesData[[#This Row],[Order_Date]])</f>
        <v>2022</v>
      </c>
    </row>
    <row r="1877" spans="1:14" x14ac:dyDescent="0.3">
      <c r="A1877" t="s">
        <v>3108</v>
      </c>
      <c r="B1877" s="1">
        <v>44704</v>
      </c>
      <c r="C1877" t="s">
        <v>722</v>
      </c>
      <c r="D1877" t="s">
        <v>40</v>
      </c>
      <c r="E1877" t="s">
        <v>19</v>
      </c>
      <c r="F1877" t="s">
        <v>141</v>
      </c>
      <c r="G1877" t="s">
        <v>2550</v>
      </c>
      <c r="H1877" s="8">
        <v>2176.86</v>
      </c>
      <c r="I1877" s="8">
        <v>132.76</v>
      </c>
      <c r="J1877" s="8">
        <v>0.2</v>
      </c>
      <c r="K1877" t="str">
        <f>IF(SalesData[[#This Row],[Profit]]&gt;0,"Profit","Loss")</f>
        <v>Profit</v>
      </c>
      <c r="L1877" s="8">
        <f>SalesData[[#This Row],[Profit]]/SalesData[[#This Row],[Sales]]</f>
        <v>6.0986926122947725E-2</v>
      </c>
      <c r="M1877" t="str">
        <f>TEXT(SalesData[[#This Row],[Order_Date]],"mmm")</f>
        <v>May</v>
      </c>
      <c r="N1877">
        <f>YEAR(SalesData[[#This Row],[Order_Date]])</f>
        <v>2022</v>
      </c>
    </row>
    <row r="1878" spans="1:14" x14ac:dyDescent="0.3">
      <c r="A1878" t="s">
        <v>3109</v>
      </c>
      <c r="B1878" s="1">
        <v>45035</v>
      </c>
      <c r="C1878" t="s">
        <v>1441</v>
      </c>
      <c r="D1878" t="s">
        <v>18</v>
      </c>
      <c r="E1878" t="s">
        <v>13</v>
      </c>
      <c r="F1878" t="s">
        <v>24</v>
      </c>
      <c r="G1878" t="s">
        <v>747</v>
      </c>
      <c r="H1878" s="8">
        <v>1871.29</v>
      </c>
      <c r="I1878" s="8">
        <v>-313.08999999999997</v>
      </c>
      <c r="J1878" s="8">
        <v>0.16</v>
      </c>
      <c r="K1878" t="str">
        <f>IF(SalesData[[#This Row],[Profit]]&gt;0,"Profit","Loss")</f>
        <v>Loss</v>
      </c>
      <c r="L1878" s="8">
        <f>SalesData[[#This Row],[Profit]]/SalesData[[#This Row],[Sales]]</f>
        <v>-0.16731238877993254</v>
      </c>
      <c r="M1878" t="str">
        <f>TEXT(SalesData[[#This Row],[Order_Date]],"mmm")</f>
        <v>Apr</v>
      </c>
      <c r="N1878">
        <f>YEAR(SalesData[[#This Row],[Order_Date]])</f>
        <v>2023</v>
      </c>
    </row>
    <row r="1879" spans="1:14" x14ac:dyDescent="0.3">
      <c r="A1879" t="s">
        <v>3110</v>
      </c>
      <c r="B1879" s="1">
        <v>45210</v>
      </c>
      <c r="C1879" t="s">
        <v>1972</v>
      </c>
      <c r="D1879" t="s">
        <v>18</v>
      </c>
      <c r="E1879" t="s">
        <v>13</v>
      </c>
      <c r="F1879" t="s">
        <v>24</v>
      </c>
      <c r="G1879" t="s">
        <v>1067</v>
      </c>
      <c r="H1879" s="8">
        <v>4393.1099999999997</v>
      </c>
      <c r="I1879" s="8">
        <v>-1171.03</v>
      </c>
      <c r="J1879" s="8">
        <v>0.19</v>
      </c>
      <c r="K1879" t="str">
        <f>IF(SalesData[[#This Row],[Profit]]&gt;0,"Profit","Loss")</f>
        <v>Loss</v>
      </c>
      <c r="L1879" s="8">
        <f>SalesData[[#This Row],[Profit]]/SalesData[[#This Row],[Sales]]</f>
        <v>-0.2665605914716454</v>
      </c>
      <c r="M1879" t="str">
        <f>TEXT(SalesData[[#This Row],[Order_Date]],"mmm")</f>
        <v>Oct</v>
      </c>
      <c r="N1879">
        <f>YEAR(SalesData[[#This Row],[Order_Date]])</f>
        <v>2023</v>
      </c>
    </row>
    <row r="1880" spans="1:14" x14ac:dyDescent="0.3">
      <c r="A1880" t="s">
        <v>3111</v>
      </c>
      <c r="B1880" s="1">
        <v>45143</v>
      </c>
      <c r="C1880" t="s">
        <v>932</v>
      </c>
      <c r="D1880" t="s">
        <v>40</v>
      </c>
      <c r="E1880" t="s">
        <v>13</v>
      </c>
      <c r="F1880" t="s">
        <v>36</v>
      </c>
      <c r="G1880" t="s">
        <v>1229</v>
      </c>
      <c r="H1880" s="8">
        <v>1937.49</v>
      </c>
      <c r="I1880" s="8">
        <v>213.56</v>
      </c>
      <c r="J1880" s="8">
        <v>0.12</v>
      </c>
      <c r="K1880" t="str">
        <f>IF(SalesData[[#This Row],[Profit]]&gt;0,"Profit","Loss")</f>
        <v>Profit</v>
      </c>
      <c r="L1880" s="8">
        <f>SalesData[[#This Row],[Profit]]/SalesData[[#This Row],[Sales]]</f>
        <v>0.11022508503269694</v>
      </c>
      <c r="M1880" t="str">
        <f>TEXT(SalesData[[#This Row],[Order_Date]],"mmm")</f>
        <v>Aug</v>
      </c>
      <c r="N1880">
        <f>YEAR(SalesData[[#This Row],[Order_Date]])</f>
        <v>2023</v>
      </c>
    </row>
    <row r="1881" spans="1:14" x14ac:dyDescent="0.3">
      <c r="A1881" t="s">
        <v>3112</v>
      </c>
      <c r="B1881" s="1">
        <v>45125</v>
      </c>
      <c r="C1881" t="s">
        <v>1519</v>
      </c>
      <c r="D1881" t="s">
        <v>12</v>
      </c>
      <c r="E1881" t="s">
        <v>19</v>
      </c>
      <c r="F1881" t="s">
        <v>141</v>
      </c>
      <c r="G1881" t="s">
        <v>564</v>
      </c>
      <c r="H1881" s="8">
        <v>453.05</v>
      </c>
      <c r="I1881" s="8">
        <v>-6.37</v>
      </c>
      <c r="J1881" s="8">
        <v>0.04</v>
      </c>
      <c r="K1881" t="str">
        <f>IF(SalesData[[#This Row],[Profit]]&gt;0,"Profit","Loss")</f>
        <v>Loss</v>
      </c>
      <c r="L1881" s="8">
        <f>SalesData[[#This Row],[Profit]]/SalesData[[#This Row],[Sales]]</f>
        <v>-1.4060258249641321E-2</v>
      </c>
      <c r="M1881" t="str">
        <f>TEXT(SalesData[[#This Row],[Order_Date]],"mmm")</f>
        <v>Jul</v>
      </c>
      <c r="N1881">
        <f>YEAR(SalesData[[#This Row],[Order_Date]])</f>
        <v>2023</v>
      </c>
    </row>
    <row r="1882" spans="1:14" x14ac:dyDescent="0.3">
      <c r="A1882" t="s">
        <v>3113</v>
      </c>
      <c r="B1882" s="1">
        <v>45159</v>
      </c>
      <c r="C1882" t="s">
        <v>1131</v>
      </c>
      <c r="D1882" t="s">
        <v>28</v>
      </c>
      <c r="E1882" t="s">
        <v>56</v>
      </c>
      <c r="F1882" t="s">
        <v>95</v>
      </c>
      <c r="G1882" t="s">
        <v>1437</v>
      </c>
      <c r="H1882" s="8">
        <v>4646.25</v>
      </c>
      <c r="I1882" s="8">
        <v>1182.53</v>
      </c>
      <c r="J1882" s="8">
        <v>0.14000000000000001</v>
      </c>
      <c r="K1882" t="str">
        <f>IF(SalesData[[#This Row],[Profit]]&gt;0,"Profit","Loss")</f>
        <v>Profit</v>
      </c>
      <c r="L1882" s="8">
        <f>SalesData[[#This Row],[Profit]]/SalesData[[#This Row],[Sales]]</f>
        <v>0.25451277912294862</v>
      </c>
      <c r="M1882" t="str">
        <f>TEXT(SalesData[[#This Row],[Order_Date]],"mmm")</f>
        <v>Aug</v>
      </c>
      <c r="N1882">
        <f>YEAR(SalesData[[#This Row],[Order_Date]])</f>
        <v>2023</v>
      </c>
    </row>
    <row r="1883" spans="1:14" x14ac:dyDescent="0.3">
      <c r="A1883" t="s">
        <v>3114</v>
      </c>
      <c r="B1883" s="1">
        <v>44672</v>
      </c>
      <c r="C1883" t="s">
        <v>433</v>
      </c>
      <c r="D1883" t="s">
        <v>28</v>
      </c>
      <c r="E1883" t="s">
        <v>19</v>
      </c>
      <c r="F1883" t="s">
        <v>20</v>
      </c>
      <c r="G1883" t="s">
        <v>1030</v>
      </c>
      <c r="H1883" s="8">
        <v>4909.7299999999996</v>
      </c>
      <c r="I1883" s="8">
        <v>-472.63</v>
      </c>
      <c r="J1883" s="8">
        <v>0.19</v>
      </c>
      <c r="K1883" t="str">
        <f>IF(SalesData[[#This Row],[Profit]]&gt;0,"Profit","Loss")</f>
        <v>Loss</v>
      </c>
      <c r="L1883" s="8">
        <f>SalesData[[#This Row],[Profit]]/SalesData[[#This Row],[Sales]]</f>
        <v>-9.6263949341409819E-2</v>
      </c>
      <c r="M1883" t="str">
        <f>TEXT(SalesData[[#This Row],[Order_Date]],"mmm")</f>
        <v>Apr</v>
      </c>
      <c r="N1883">
        <f>YEAR(SalesData[[#This Row],[Order_Date]])</f>
        <v>2022</v>
      </c>
    </row>
    <row r="1884" spans="1:14" x14ac:dyDescent="0.3">
      <c r="A1884" t="s">
        <v>3115</v>
      </c>
      <c r="B1884" s="1">
        <v>44617</v>
      </c>
      <c r="C1884" t="s">
        <v>2924</v>
      </c>
      <c r="D1884" t="s">
        <v>12</v>
      </c>
      <c r="E1884" t="s">
        <v>19</v>
      </c>
      <c r="F1884" t="s">
        <v>20</v>
      </c>
      <c r="G1884" t="s">
        <v>257</v>
      </c>
      <c r="H1884" s="8">
        <v>784.66</v>
      </c>
      <c r="I1884" s="8">
        <v>169.55</v>
      </c>
      <c r="J1884" s="8">
        <v>0.04</v>
      </c>
      <c r="K1884" t="str">
        <f>IF(SalesData[[#This Row],[Profit]]&gt;0,"Profit","Loss")</f>
        <v>Profit</v>
      </c>
      <c r="L1884" s="8">
        <f>SalesData[[#This Row],[Profit]]/SalesData[[#This Row],[Sales]]</f>
        <v>0.21608085030459054</v>
      </c>
      <c r="M1884" t="str">
        <f>TEXT(SalesData[[#This Row],[Order_Date]],"mmm")</f>
        <v>Feb</v>
      </c>
      <c r="N1884">
        <f>YEAR(SalesData[[#This Row],[Order_Date]])</f>
        <v>2022</v>
      </c>
    </row>
    <row r="1885" spans="1:14" x14ac:dyDescent="0.3">
      <c r="A1885" t="s">
        <v>3116</v>
      </c>
      <c r="B1885" s="1">
        <v>45265</v>
      </c>
      <c r="C1885" t="s">
        <v>82</v>
      </c>
      <c r="D1885" t="s">
        <v>18</v>
      </c>
      <c r="E1885" t="s">
        <v>56</v>
      </c>
      <c r="F1885" t="s">
        <v>73</v>
      </c>
      <c r="G1885" t="s">
        <v>1176</v>
      </c>
      <c r="H1885" s="8">
        <v>2722.59</v>
      </c>
      <c r="I1885" s="8">
        <v>-496.78</v>
      </c>
      <c r="J1885" s="8">
        <v>0.04</v>
      </c>
      <c r="K1885" t="str">
        <f>IF(SalesData[[#This Row],[Profit]]&gt;0,"Profit","Loss")</f>
        <v>Loss</v>
      </c>
      <c r="L1885" s="8">
        <f>SalesData[[#This Row],[Profit]]/SalesData[[#This Row],[Sales]]</f>
        <v>-0.18246596072122498</v>
      </c>
      <c r="M1885" t="str">
        <f>TEXT(SalesData[[#This Row],[Order_Date]],"mmm")</f>
        <v>Dec</v>
      </c>
      <c r="N1885">
        <f>YEAR(SalesData[[#This Row],[Order_Date]])</f>
        <v>2023</v>
      </c>
    </row>
    <row r="1886" spans="1:14" x14ac:dyDescent="0.3">
      <c r="A1886" t="s">
        <v>3117</v>
      </c>
      <c r="B1886" s="1">
        <v>44845</v>
      </c>
      <c r="C1886" t="s">
        <v>132</v>
      </c>
      <c r="D1886" t="s">
        <v>28</v>
      </c>
      <c r="E1886" t="s">
        <v>13</v>
      </c>
      <c r="F1886" t="s">
        <v>24</v>
      </c>
      <c r="G1886" t="s">
        <v>769</v>
      </c>
      <c r="H1886" s="8">
        <v>393.41</v>
      </c>
      <c r="I1886" s="8">
        <v>140.09</v>
      </c>
      <c r="J1886" s="8">
        <v>0.03</v>
      </c>
      <c r="K1886" t="str">
        <f>IF(SalesData[[#This Row],[Profit]]&gt;0,"Profit","Loss")</f>
        <v>Profit</v>
      </c>
      <c r="L1886" s="8">
        <f>SalesData[[#This Row],[Profit]]/SalesData[[#This Row],[Sales]]</f>
        <v>0.35609160926260136</v>
      </c>
      <c r="M1886" t="str">
        <f>TEXT(SalesData[[#This Row],[Order_Date]],"mmm")</f>
        <v>Oct</v>
      </c>
      <c r="N1886">
        <f>YEAR(SalesData[[#This Row],[Order_Date]])</f>
        <v>2022</v>
      </c>
    </row>
    <row r="1887" spans="1:14" x14ac:dyDescent="0.3">
      <c r="A1887" t="s">
        <v>3118</v>
      </c>
      <c r="B1887" s="1">
        <v>45127</v>
      </c>
      <c r="C1887" t="s">
        <v>837</v>
      </c>
      <c r="D1887" t="s">
        <v>18</v>
      </c>
      <c r="E1887" t="s">
        <v>56</v>
      </c>
      <c r="F1887" t="s">
        <v>57</v>
      </c>
      <c r="G1887" t="s">
        <v>214</v>
      </c>
      <c r="H1887" s="8">
        <v>3129.73</v>
      </c>
      <c r="I1887" s="8">
        <v>-657.11</v>
      </c>
      <c r="J1887" s="8">
        <v>0.17</v>
      </c>
      <c r="K1887" t="str">
        <f>IF(SalesData[[#This Row],[Profit]]&gt;0,"Profit","Loss")</f>
        <v>Loss</v>
      </c>
      <c r="L1887" s="8">
        <f>SalesData[[#This Row],[Profit]]/SalesData[[#This Row],[Sales]]</f>
        <v>-0.20995740846654504</v>
      </c>
      <c r="M1887" t="str">
        <f>TEXT(SalesData[[#This Row],[Order_Date]],"mmm")</f>
        <v>Jul</v>
      </c>
      <c r="N1887">
        <f>YEAR(SalesData[[#This Row],[Order_Date]])</f>
        <v>2023</v>
      </c>
    </row>
    <row r="1888" spans="1:14" x14ac:dyDescent="0.3">
      <c r="A1888" t="s">
        <v>3119</v>
      </c>
      <c r="B1888" s="1">
        <v>44954</v>
      </c>
      <c r="C1888" t="s">
        <v>3120</v>
      </c>
      <c r="D1888" t="s">
        <v>12</v>
      </c>
      <c r="E1888" t="s">
        <v>56</v>
      </c>
      <c r="F1888" t="s">
        <v>73</v>
      </c>
      <c r="G1888" t="s">
        <v>717</v>
      </c>
      <c r="H1888" s="8">
        <v>2962.19</v>
      </c>
      <c r="I1888" s="8">
        <v>-968.32</v>
      </c>
      <c r="J1888" s="8">
        <v>0.23</v>
      </c>
      <c r="K1888" t="str">
        <f>IF(SalesData[[#This Row],[Profit]]&gt;0,"Profit","Loss")</f>
        <v>Loss</v>
      </c>
      <c r="L1888" s="8">
        <f>SalesData[[#This Row],[Profit]]/SalesData[[#This Row],[Sales]]</f>
        <v>-0.32689327828397235</v>
      </c>
      <c r="M1888" t="str">
        <f>TEXT(SalesData[[#This Row],[Order_Date]],"mmm")</f>
        <v>Jan</v>
      </c>
      <c r="N1888">
        <f>YEAR(SalesData[[#This Row],[Order_Date]])</f>
        <v>2023</v>
      </c>
    </row>
    <row r="1889" spans="1:14" x14ac:dyDescent="0.3">
      <c r="A1889" t="s">
        <v>3121</v>
      </c>
      <c r="B1889" s="1">
        <v>45059</v>
      </c>
      <c r="C1889" t="s">
        <v>32</v>
      </c>
      <c r="D1889" t="s">
        <v>12</v>
      </c>
      <c r="E1889" t="s">
        <v>56</v>
      </c>
      <c r="F1889" t="s">
        <v>57</v>
      </c>
      <c r="G1889" t="s">
        <v>954</v>
      </c>
      <c r="H1889" s="8">
        <v>2899.08</v>
      </c>
      <c r="I1889" s="8">
        <v>592.72</v>
      </c>
      <c r="J1889" s="8">
        <v>0.18</v>
      </c>
      <c r="K1889" t="str">
        <f>IF(SalesData[[#This Row],[Profit]]&gt;0,"Profit","Loss")</f>
        <v>Profit</v>
      </c>
      <c r="L1889" s="8">
        <f>SalesData[[#This Row],[Profit]]/SalesData[[#This Row],[Sales]]</f>
        <v>0.20445106723512288</v>
      </c>
      <c r="M1889" t="str">
        <f>TEXT(SalesData[[#This Row],[Order_Date]],"mmm")</f>
        <v>May</v>
      </c>
      <c r="N1889">
        <f>YEAR(SalesData[[#This Row],[Order_Date]])</f>
        <v>2023</v>
      </c>
    </row>
    <row r="1890" spans="1:14" x14ac:dyDescent="0.3">
      <c r="A1890" t="s">
        <v>3122</v>
      </c>
      <c r="B1890" s="1">
        <v>44787</v>
      </c>
      <c r="C1890" t="s">
        <v>2306</v>
      </c>
      <c r="D1890" t="s">
        <v>12</v>
      </c>
      <c r="E1890" t="s">
        <v>19</v>
      </c>
      <c r="F1890" t="s">
        <v>20</v>
      </c>
      <c r="G1890" t="s">
        <v>1074</v>
      </c>
      <c r="H1890" s="8">
        <v>1285.92</v>
      </c>
      <c r="I1890" s="8">
        <v>199.49</v>
      </c>
      <c r="J1890" s="8">
        <v>0.18</v>
      </c>
      <c r="K1890" t="str">
        <f>IF(SalesData[[#This Row],[Profit]]&gt;0,"Profit","Loss")</f>
        <v>Profit</v>
      </c>
      <c r="L1890" s="8">
        <f>SalesData[[#This Row],[Profit]]/SalesData[[#This Row],[Sales]]</f>
        <v>0.15513406743809879</v>
      </c>
      <c r="M1890" t="str">
        <f>TEXT(SalesData[[#This Row],[Order_Date]],"mmm")</f>
        <v>Aug</v>
      </c>
      <c r="N1890">
        <f>YEAR(SalesData[[#This Row],[Order_Date]])</f>
        <v>2022</v>
      </c>
    </row>
    <row r="1891" spans="1:14" x14ac:dyDescent="0.3">
      <c r="A1891" t="s">
        <v>3123</v>
      </c>
      <c r="B1891" s="1">
        <v>44957</v>
      </c>
      <c r="C1891" t="s">
        <v>207</v>
      </c>
      <c r="D1891" t="s">
        <v>18</v>
      </c>
      <c r="E1891" t="s">
        <v>56</v>
      </c>
      <c r="F1891" t="s">
        <v>73</v>
      </c>
      <c r="G1891" t="s">
        <v>2869</v>
      </c>
      <c r="H1891" s="8">
        <v>1611.62</v>
      </c>
      <c r="I1891" s="8">
        <v>-16.39</v>
      </c>
      <c r="J1891" s="8">
        <v>0.17</v>
      </c>
      <c r="K1891" t="str">
        <f>IF(SalesData[[#This Row],[Profit]]&gt;0,"Profit","Loss")</f>
        <v>Loss</v>
      </c>
      <c r="L1891" s="8">
        <f>SalesData[[#This Row],[Profit]]/SalesData[[#This Row],[Sales]]</f>
        <v>-1.0169891165411202E-2</v>
      </c>
      <c r="M1891" t="str">
        <f>TEXT(SalesData[[#This Row],[Order_Date]],"mmm")</f>
        <v>Jan</v>
      </c>
      <c r="N1891">
        <f>YEAR(SalesData[[#This Row],[Order_Date]])</f>
        <v>2023</v>
      </c>
    </row>
    <row r="1892" spans="1:14" x14ac:dyDescent="0.3">
      <c r="A1892" t="s">
        <v>3124</v>
      </c>
      <c r="B1892" s="1">
        <v>44955</v>
      </c>
      <c r="C1892" t="s">
        <v>1328</v>
      </c>
      <c r="D1892" t="s">
        <v>28</v>
      </c>
      <c r="E1892" t="s">
        <v>56</v>
      </c>
      <c r="F1892" t="s">
        <v>57</v>
      </c>
      <c r="G1892" t="s">
        <v>1019</v>
      </c>
      <c r="H1892" s="8">
        <v>2101.8200000000002</v>
      </c>
      <c r="I1892" s="8">
        <v>-503.95</v>
      </c>
      <c r="J1892" s="8">
        <v>0.13</v>
      </c>
      <c r="K1892" t="str">
        <f>IF(SalesData[[#This Row],[Profit]]&gt;0,"Profit","Loss")</f>
        <v>Loss</v>
      </c>
      <c r="L1892" s="8">
        <f>SalesData[[#This Row],[Profit]]/SalesData[[#This Row],[Sales]]</f>
        <v>-0.23976839120381382</v>
      </c>
      <c r="M1892" t="str">
        <f>TEXT(SalesData[[#This Row],[Order_Date]],"mmm")</f>
        <v>Jan</v>
      </c>
      <c r="N1892">
        <f>YEAR(SalesData[[#This Row],[Order_Date]])</f>
        <v>2023</v>
      </c>
    </row>
    <row r="1893" spans="1:14" x14ac:dyDescent="0.3">
      <c r="A1893" t="s">
        <v>3125</v>
      </c>
      <c r="B1893" s="1">
        <v>45098</v>
      </c>
      <c r="C1893" t="s">
        <v>1066</v>
      </c>
      <c r="D1893" t="s">
        <v>40</v>
      </c>
      <c r="E1893" t="s">
        <v>13</v>
      </c>
      <c r="F1893" t="s">
        <v>36</v>
      </c>
      <c r="G1893" t="s">
        <v>1449</v>
      </c>
      <c r="H1893" s="8">
        <v>1105.1300000000001</v>
      </c>
      <c r="I1893" s="8">
        <v>-152.52000000000001</v>
      </c>
      <c r="J1893" s="8">
        <v>0.2</v>
      </c>
      <c r="K1893" t="str">
        <f>IF(SalesData[[#This Row],[Profit]]&gt;0,"Profit","Loss")</f>
        <v>Loss</v>
      </c>
      <c r="L1893" s="8">
        <f>SalesData[[#This Row],[Profit]]/SalesData[[#This Row],[Sales]]</f>
        <v>-0.13801091274329716</v>
      </c>
      <c r="M1893" t="str">
        <f>TEXT(SalesData[[#This Row],[Order_Date]],"mmm")</f>
        <v>Jun</v>
      </c>
      <c r="N1893">
        <f>YEAR(SalesData[[#This Row],[Order_Date]])</f>
        <v>2023</v>
      </c>
    </row>
    <row r="1894" spans="1:14" x14ac:dyDescent="0.3">
      <c r="A1894" t="s">
        <v>3126</v>
      </c>
      <c r="B1894" s="1">
        <v>44943</v>
      </c>
      <c r="C1894" t="s">
        <v>3024</v>
      </c>
      <c r="D1894" t="s">
        <v>12</v>
      </c>
      <c r="E1894" t="s">
        <v>19</v>
      </c>
      <c r="F1894" t="s">
        <v>141</v>
      </c>
      <c r="G1894" t="s">
        <v>1321</v>
      </c>
      <c r="H1894" s="8">
        <v>3116.63</v>
      </c>
      <c r="I1894" s="8">
        <v>-268.24</v>
      </c>
      <c r="J1894" s="8">
        <v>0.25</v>
      </c>
      <c r="K1894" t="str">
        <f>IF(SalesData[[#This Row],[Profit]]&gt;0,"Profit","Loss")</f>
        <v>Loss</v>
      </c>
      <c r="L1894" s="8">
        <f>SalesData[[#This Row],[Profit]]/SalesData[[#This Row],[Sales]]</f>
        <v>-8.6067322717165662E-2</v>
      </c>
      <c r="M1894" t="str">
        <f>TEXT(SalesData[[#This Row],[Order_Date]],"mmm")</f>
        <v>Jan</v>
      </c>
      <c r="N1894">
        <f>YEAR(SalesData[[#This Row],[Order_Date]])</f>
        <v>2023</v>
      </c>
    </row>
    <row r="1895" spans="1:14" x14ac:dyDescent="0.3">
      <c r="A1895" t="s">
        <v>3127</v>
      </c>
      <c r="B1895" s="1">
        <v>44883</v>
      </c>
      <c r="C1895" t="s">
        <v>3128</v>
      </c>
      <c r="D1895" t="s">
        <v>28</v>
      </c>
      <c r="E1895" t="s">
        <v>13</v>
      </c>
      <c r="F1895" t="s">
        <v>24</v>
      </c>
      <c r="G1895" t="s">
        <v>211</v>
      </c>
      <c r="H1895" s="8">
        <v>1950.55</v>
      </c>
      <c r="I1895" s="8">
        <v>-615.83000000000004</v>
      </c>
      <c r="J1895" s="8">
        <v>0.24</v>
      </c>
      <c r="K1895" t="str">
        <f>IF(SalesData[[#This Row],[Profit]]&gt;0,"Profit","Loss")</f>
        <v>Loss</v>
      </c>
      <c r="L1895" s="8">
        <f>SalesData[[#This Row],[Profit]]/SalesData[[#This Row],[Sales]]</f>
        <v>-0.31572120683909671</v>
      </c>
      <c r="M1895" t="str">
        <f>TEXT(SalesData[[#This Row],[Order_Date]],"mmm")</f>
        <v>Nov</v>
      </c>
      <c r="N1895">
        <f>YEAR(SalesData[[#This Row],[Order_Date]])</f>
        <v>2022</v>
      </c>
    </row>
    <row r="1896" spans="1:14" x14ac:dyDescent="0.3">
      <c r="A1896" t="s">
        <v>3129</v>
      </c>
      <c r="B1896" s="1">
        <v>45042</v>
      </c>
      <c r="C1896" t="s">
        <v>3037</v>
      </c>
      <c r="D1896" t="s">
        <v>18</v>
      </c>
      <c r="E1896" t="s">
        <v>56</v>
      </c>
      <c r="F1896" t="s">
        <v>73</v>
      </c>
      <c r="G1896" t="s">
        <v>528</v>
      </c>
      <c r="H1896" s="8">
        <v>1524.33</v>
      </c>
      <c r="I1896" s="8">
        <v>137.59</v>
      </c>
      <c r="J1896" s="8">
        <v>7.0000000000000007E-2</v>
      </c>
      <c r="K1896" t="str">
        <f>IF(SalesData[[#This Row],[Profit]]&gt;0,"Profit","Loss")</f>
        <v>Profit</v>
      </c>
      <c r="L1896" s="8">
        <f>SalesData[[#This Row],[Profit]]/SalesData[[#This Row],[Sales]]</f>
        <v>9.0262607178235685E-2</v>
      </c>
      <c r="M1896" t="str">
        <f>TEXT(SalesData[[#This Row],[Order_Date]],"mmm")</f>
        <v>Apr</v>
      </c>
      <c r="N1896">
        <f>YEAR(SalesData[[#This Row],[Order_Date]])</f>
        <v>2023</v>
      </c>
    </row>
    <row r="1897" spans="1:14" x14ac:dyDescent="0.3">
      <c r="A1897" t="s">
        <v>3130</v>
      </c>
      <c r="B1897" s="1">
        <v>44915</v>
      </c>
      <c r="C1897" t="s">
        <v>1478</v>
      </c>
      <c r="D1897" t="s">
        <v>28</v>
      </c>
      <c r="E1897" t="s">
        <v>13</v>
      </c>
      <c r="F1897" t="s">
        <v>14</v>
      </c>
      <c r="G1897" t="s">
        <v>1449</v>
      </c>
      <c r="H1897" s="8">
        <v>2316</v>
      </c>
      <c r="I1897" s="8">
        <v>-478.67</v>
      </c>
      <c r="J1897" s="8">
        <v>0.24</v>
      </c>
      <c r="K1897" t="str">
        <f>IF(SalesData[[#This Row],[Profit]]&gt;0,"Profit","Loss")</f>
        <v>Loss</v>
      </c>
      <c r="L1897" s="8">
        <f>SalesData[[#This Row],[Profit]]/SalesData[[#This Row],[Sales]]</f>
        <v>-0.20667962003454232</v>
      </c>
      <c r="M1897" t="str">
        <f>TEXT(SalesData[[#This Row],[Order_Date]],"mmm")</f>
        <v>Dec</v>
      </c>
      <c r="N1897">
        <f>YEAR(SalesData[[#This Row],[Order_Date]])</f>
        <v>2022</v>
      </c>
    </row>
    <row r="1898" spans="1:14" x14ac:dyDescent="0.3">
      <c r="A1898" t="s">
        <v>3131</v>
      </c>
      <c r="B1898" s="1">
        <v>44823</v>
      </c>
      <c r="C1898" t="s">
        <v>877</v>
      </c>
      <c r="D1898" t="s">
        <v>18</v>
      </c>
      <c r="E1898" t="s">
        <v>19</v>
      </c>
      <c r="F1898" t="s">
        <v>29</v>
      </c>
      <c r="G1898" t="s">
        <v>2033</v>
      </c>
      <c r="H1898" s="8">
        <v>3648.47</v>
      </c>
      <c r="I1898" s="8">
        <v>-1518.94</v>
      </c>
      <c r="J1898" s="8">
        <v>0.27</v>
      </c>
      <c r="K1898" t="str">
        <f>IF(SalesData[[#This Row],[Profit]]&gt;0,"Profit","Loss")</f>
        <v>Loss</v>
      </c>
      <c r="L1898" s="8">
        <f>SalesData[[#This Row],[Profit]]/SalesData[[#This Row],[Sales]]</f>
        <v>-0.41632245845518812</v>
      </c>
      <c r="M1898" t="str">
        <f>TEXT(SalesData[[#This Row],[Order_Date]],"mmm")</f>
        <v>Sep</v>
      </c>
      <c r="N1898">
        <f>YEAR(SalesData[[#This Row],[Order_Date]])</f>
        <v>2022</v>
      </c>
    </row>
    <row r="1899" spans="1:14" x14ac:dyDescent="0.3">
      <c r="A1899" t="s">
        <v>3132</v>
      </c>
      <c r="B1899" s="1">
        <v>45222</v>
      </c>
      <c r="C1899" t="s">
        <v>1089</v>
      </c>
      <c r="D1899" t="s">
        <v>18</v>
      </c>
      <c r="E1899" t="s">
        <v>19</v>
      </c>
      <c r="F1899" t="s">
        <v>29</v>
      </c>
      <c r="G1899" t="s">
        <v>649</v>
      </c>
      <c r="H1899" s="8">
        <v>2444.8000000000002</v>
      </c>
      <c r="I1899" s="8">
        <v>641</v>
      </c>
      <c r="J1899" s="8">
        <v>0.05</v>
      </c>
      <c r="K1899" t="str">
        <f>IF(SalesData[[#This Row],[Profit]]&gt;0,"Profit","Loss")</f>
        <v>Profit</v>
      </c>
      <c r="L1899" s="8">
        <f>SalesData[[#This Row],[Profit]]/SalesData[[#This Row],[Sales]]</f>
        <v>0.26218913612565442</v>
      </c>
      <c r="M1899" t="str">
        <f>TEXT(SalesData[[#This Row],[Order_Date]],"mmm")</f>
        <v>Oct</v>
      </c>
      <c r="N1899">
        <f>YEAR(SalesData[[#This Row],[Order_Date]])</f>
        <v>2023</v>
      </c>
    </row>
    <row r="1900" spans="1:14" x14ac:dyDescent="0.3">
      <c r="A1900" t="s">
        <v>3133</v>
      </c>
      <c r="B1900" s="1">
        <v>44724</v>
      </c>
      <c r="C1900" t="s">
        <v>27</v>
      </c>
      <c r="D1900" t="s">
        <v>12</v>
      </c>
      <c r="E1900" t="s">
        <v>56</v>
      </c>
      <c r="F1900" t="s">
        <v>95</v>
      </c>
      <c r="G1900" t="s">
        <v>142</v>
      </c>
      <c r="H1900" s="8">
        <v>1886.4</v>
      </c>
      <c r="I1900" s="8">
        <v>-709.32</v>
      </c>
      <c r="J1900" s="8">
        <v>0.23</v>
      </c>
      <c r="K1900" t="str">
        <f>IF(SalesData[[#This Row],[Profit]]&gt;0,"Profit","Loss")</f>
        <v>Loss</v>
      </c>
      <c r="L1900" s="8">
        <f>SalesData[[#This Row],[Profit]]/SalesData[[#This Row],[Sales]]</f>
        <v>-0.37601781170483461</v>
      </c>
      <c r="M1900" t="str">
        <f>TEXT(SalesData[[#This Row],[Order_Date]],"mmm")</f>
        <v>Jun</v>
      </c>
      <c r="N1900">
        <f>YEAR(SalesData[[#This Row],[Order_Date]])</f>
        <v>2022</v>
      </c>
    </row>
    <row r="1901" spans="1:14" x14ac:dyDescent="0.3">
      <c r="A1901" t="s">
        <v>3134</v>
      </c>
      <c r="B1901" s="1">
        <v>45008</v>
      </c>
      <c r="C1901" t="s">
        <v>104</v>
      </c>
      <c r="D1901" t="s">
        <v>18</v>
      </c>
      <c r="E1901" t="s">
        <v>56</v>
      </c>
      <c r="F1901" t="s">
        <v>73</v>
      </c>
      <c r="G1901" t="s">
        <v>816</v>
      </c>
      <c r="H1901" s="8">
        <v>4666.8500000000004</v>
      </c>
      <c r="I1901" s="8">
        <v>-765.87</v>
      </c>
      <c r="J1901" s="8">
        <v>0.14000000000000001</v>
      </c>
      <c r="K1901" t="str">
        <f>IF(SalesData[[#This Row],[Profit]]&gt;0,"Profit","Loss")</f>
        <v>Loss</v>
      </c>
      <c r="L1901" s="8">
        <f>SalesData[[#This Row],[Profit]]/SalesData[[#This Row],[Sales]]</f>
        <v>-0.16410855287827977</v>
      </c>
      <c r="M1901" t="str">
        <f>TEXT(SalesData[[#This Row],[Order_Date]],"mmm")</f>
        <v>Mar</v>
      </c>
      <c r="N1901">
        <f>YEAR(SalesData[[#This Row],[Order_Date]])</f>
        <v>2023</v>
      </c>
    </row>
    <row r="1902" spans="1:14" x14ac:dyDescent="0.3">
      <c r="A1902" t="s">
        <v>3135</v>
      </c>
      <c r="B1902" s="1">
        <v>45197</v>
      </c>
      <c r="C1902" t="s">
        <v>2071</v>
      </c>
      <c r="D1902" t="s">
        <v>18</v>
      </c>
      <c r="E1902" t="s">
        <v>19</v>
      </c>
      <c r="F1902" t="s">
        <v>29</v>
      </c>
      <c r="G1902" t="s">
        <v>686</v>
      </c>
      <c r="H1902" s="8">
        <v>916.48</v>
      </c>
      <c r="I1902" s="8">
        <v>277.77</v>
      </c>
      <c r="J1902" s="8">
        <v>0.02</v>
      </c>
      <c r="K1902" t="str">
        <f>IF(SalesData[[#This Row],[Profit]]&gt;0,"Profit","Loss")</f>
        <v>Profit</v>
      </c>
      <c r="L1902" s="8">
        <f>SalesData[[#This Row],[Profit]]/SalesData[[#This Row],[Sales]]</f>
        <v>0.30308353701117313</v>
      </c>
      <c r="M1902" t="str">
        <f>TEXT(SalesData[[#This Row],[Order_Date]],"mmm")</f>
        <v>Sep</v>
      </c>
      <c r="N1902">
        <f>YEAR(SalesData[[#This Row],[Order_Date]])</f>
        <v>2023</v>
      </c>
    </row>
    <row r="1903" spans="1:14" x14ac:dyDescent="0.3">
      <c r="A1903" t="s">
        <v>3136</v>
      </c>
      <c r="B1903" s="1">
        <v>44762</v>
      </c>
      <c r="C1903" t="s">
        <v>522</v>
      </c>
      <c r="D1903" t="s">
        <v>12</v>
      </c>
      <c r="E1903" t="s">
        <v>13</v>
      </c>
      <c r="F1903" t="s">
        <v>36</v>
      </c>
      <c r="G1903" t="s">
        <v>564</v>
      </c>
      <c r="H1903" s="8">
        <v>4715.88</v>
      </c>
      <c r="I1903" s="8">
        <v>-1548</v>
      </c>
      <c r="J1903" s="8">
        <v>0.27</v>
      </c>
      <c r="K1903" t="str">
        <f>IF(SalesData[[#This Row],[Profit]]&gt;0,"Profit","Loss")</f>
        <v>Loss</v>
      </c>
      <c r="L1903" s="8">
        <f>SalesData[[#This Row],[Profit]]/SalesData[[#This Row],[Sales]]</f>
        <v>-0.32825262729331534</v>
      </c>
      <c r="M1903" t="str">
        <f>TEXT(SalesData[[#This Row],[Order_Date]],"mmm")</f>
        <v>Jul</v>
      </c>
      <c r="N1903">
        <f>YEAR(SalesData[[#This Row],[Order_Date]])</f>
        <v>2022</v>
      </c>
    </row>
    <row r="1904" spans="1:14" x14ac:dyDescent="0.3">
      <c r="A1904" t="s">
        <v>3137</v>
      </c>
      <c r="B1904" s="1">
        <v>45035</v>
      </c>
      <c r="C1904" t="s">
        <v>3138</v>
      </c>
      <c r="D1904" t="s">
        <v>40</v>
      </c>
      <c r="E1904" t="s">
        <v>56</v>
      </c>
      <c r="F1904" t="s">
        <v>95</v>
      </c>
      <c r="G1904" t="s">
        <v>737</v>
      </c>
      <c r="H1904" s="8">
        <v>4104.72</v>
      </c>
      <c r="I1904" s="8">
        <v>-720.45</v>
      </c>
      <c r="J1904" s="8">
        <v>0.05</v>
      </c>
      <c r="K1904" t="str">
        <f>IF(SalesData[[#This Row],[Profit]]&gt;0,"Profit","Loss")</f>
        <v>Loss</v>
      </c>
      <c r="L1904" s="8">
        <f>SalesData[[#This Row],[Profit]]/SalesData[[#This Row],[Sales]]</f>
        <v>-0.1755174530784073</v>
      </c>
      <c r="M1904" t="str">
        <f>TEXT(SalesData[[#This Row],[Order_Date]],"mmm")</f>
        <v>Apr</v>
      </c>
      <c r="N1904">
        <f>YEAR(SalesData[[#This Row],[Order_Date]])</f>
        <v>2023</v>
      </c>
    </row>
    <row r="1905" spans="1:14" x14ac:dyDescent="0.3">
      <c r="A1905" t="s">
        <v>3139</v>
      </c>
      <c r="B1905" s="1">
        <v>44895</v>
      </c>
      <c r="C1905" t="s">
        <v>814</v>
      </c>
      <c r="D1905" t="s">
        <v>40</v>
      </c>
      <c r="E1905" t="s">
        <v>56</v>
      </c>
      <c r="F1905" t="s">
        <v>57</v>
      </c>
      <c r="G1905" t="s">
        <v>1786</v>
      </c>
      <c r="H1905" s="8">
        <v>2714.92</v>
      </c>
      <c r="I1905" s="8">
        <v>575.96</v>
      </c>
      <c r="J1905" s="8">
        <v>0.06</v>
      </c>
      <c r="K1905" t="str">
        <f>IF(SalesData[[#This Row],[Profit]]&gt;0,"Profit","Loss")</f>
        <v>Profit</v>
      </c>
      <c r="L1905" s="8">
        <f>SalesData[[#This Row],[Profit]]/SalesData[[#This Row],[Sales]]</f>
        <v>0.21214621425309033</v>
      </c>
      <c r="M1905" t="str">
        <f>TEXT(SalesData[[#This Row],[Order_Date]],"mmm")</f>
        <v>Nov</v>
      </c>
      <c r="N1905">
        <f>YEAR(SalesData[[#This Row],[Order_Date]])</f>
        <v>2022</v>
      </c>
    </row>
    <row r="1906" spans="1:14" x14ac:dyDescent="0.3">
      <c r="A1906" t="s">
        <v>3140</v>
      </c>
      <c r="B1906" s="1">
        <v>44611</v>
      </c>
      <c r="C1906" t="s">
        <v>553</v>
      </c>
      <c r="D1906" t="s">
        <v>18</v>
      </c>
      <c r="E1906" t="s">
        <v>56</v>
      </c>
      <c r="F1906" t="s">
        <v>73</v>
      </c>
      <c r="G1906" t="s">
        <v>649</v>
      </c>
      <c r="H1906" s="8">
        <v>2572.1</v>
      </c>
      <c r="I1906" s="8">
        <v>-357.6</v>
      </c>
      <c r="J1906" s="8">
        <v>0.02</v>
      </c>
      <c r="K1906" t="str">
        <f>IF(SalesData[[#This Row],[Profit]]&gt;0,"Profit","Loss")</f>
        <v>Loss</v>
      </c>
      <c r="L1906" s="8">
        <f>SalesData[[#This Row],[Profit]]/SalesData[[#This Row],[Sales]]</f>
        <v>-0.13903036429376775</v>
      </c>
      <c r="M1906" t="str">
        <f>TEXT(SalesData[[#This Row],[Order_Date]],"mmm")</f>
        <v>Feb</v>
      </c>
      <c r="N1906">
        <f>YEAR(SalesData[[#This Row],[Order_Date]])</f>
        <v>2022</v>
      </c>
    </row>
    <row r="1907" spans="1:14" x14ac:dyDescent="0.3">
      <c r="A1907" t="s">
        <v>3141</v>
      </c>
      <c r="B1907" s="1">
        <v>44847</v>
      </c>
      <c r="C1907" t="s">
        <v>736</v>
      </c>
      <c r="D1907" t="s">
        <v>18</v>
      </c>
      <c r="E1907" t="s">
        <v>56</v>
      </c>
      <c r="F1907" t="s">
        <v>57</v>
      </c>
      <c r="G1907" t="s">
        <v>41</v>
      </c>
      <c r="H1907" s="8">
        <v>4322.2700000000004</v>
      </c>
      <c r="I1907" s="8">
        <v>-456.78</v>
      </c>
      <c r="J1907" s="8">
        <v>0.25</v>
      </c>
      <c r="K1907" t="str">
        <f>IF(SalesData[[#This Row],[Profit]]&gt;0,"Profit","Loss")</f>
        <v>Loss</v>
      </c>
      <c r="L1907" s="8">
        <f>SalesData[[#This Row],[Profit]]/SalesData[[#This Row],[Sales]]</f>
        <v>-0.10568057988047945</v>
      </c>
      <c r="M1907" t="str">
        <f>TEXT(SalesData[[#This Row],[Order_Date]],"mmm")</f>
        <v>Oct</v>
      </c>
      <c r="N1907">
        <f>YEAR(SalesData[[#This Row],[Order_Date]])</f>
        <v>2022</v>
      </c>
    </row>
    <row r="1908" spans="1:14" x14ac:dyDescent="0.3">
      <c r="A1908" t="s">
        <v>3142</v>
      </c>
      <c r="B1908" s="1">
        <v>44605</v>
      </c>
      <c r="C1908" t="s">
        <v>3143</v>
      </c>
      <c r="D1908" t="s">
        <v>28</v>
      </c>
      <c r="E1908" t="s">
        <v>56</v>
      </c>
      <c r="F1908" t="s">
        <v>73</v>
      </c>
      <c r="G1908" t="s">
        <v>900</v>
      </c>
      <c r="H1908" s="8">
        <v>638.39</v>
      </c>
      <c r="I1908" s="8">
        <v>72.83</v>
      </c>
      <c r="J1908" s="8">
        <v>7.0000000000000007E-2</v>
      </c>
      <c r="K1908" t="str">
        <f>IF(SalesData[[#This Row],[Profit]]&gt;0,"Profit","Loss")</f>
        <v>Profit</v>
      </c>
      <c r="L1908" s="8">
        <f>SalesData[[#This Row],[Profit]]/SalesData[[#This Row],[Sales]]</f>
        <v>0.11408386722849669</v>
      </c>
      <c r="M1908" t="str">
        <f>TEXT(SalesData[[#This Row],[Order_Date]],"mmm")</f>
        <v>Feb</v>
      </c>
      <c r="N1908">
        <f>YEAR(SalesData[[#This Row],[Order_Date]])</f>
        <v>2022</v>
      </c>
    </row>
    <row r="1909" spans="1:14" x14ac:dyDescent="0.3">
      <c r="A1909" t="s">
        <v>3144</v>
      </c>
      <c r="B1909" s="1">
        <v>44966</v>
      </c>
      <c r="C1909" t="s">
        <v>791</v>
      </c>
      <c r="D1909" t="s">
        <v>28</v>
      </c>
      <c r="E1909" t="s">
        <v>56</v>
      </c>
      <c r="F1909" t="s">
        <v>95</v>
      </c>
      <c r="G1909" t="s">
        <v>706</v>
      </c>
      <c r="H1909" s="8">
        <v>2357.79</v>
      </c>
      <c r="I1909" s="8">
        <v>-78.95</v>
      </c>
      <c r="J1909" s="8">
        <v>0.24</v>
      </c>
      <c r="K1909" t="str">
        <f>IF(SalesData[[#This Row],[Profit]]&gt;0,"Profit","Loss")</f>
        <v>Loss</v>
      </c>
      <c r="L1909" s="8">
        <f>SalesData[[#This Row],[Profit]]/SalesData[[#This Row],[Sales]]</f>
        <v>-3.3484746309043641E-2</v>
      </c>
      <c r="M1909" t="str">
        <f>TEXT(SalesData[[#This Row],[Order_Date]],"mmm")</f>
        <v>Feb</v>
      </c>
      <c r="N1909">
        <f>YEAR(SalesData[[#This Row],[Order_Date]])</f>
        <v>2023</v>
      </c>
    </row>
    <row r="1910" spans="1:14" x14ac:dyDescent="0.3">
      <c r="A1910" t="s">
        <v>3145</v>
      </c>
      <c r="B1910" s="1">
        <v>45182</v>
      </c>
      <c r="C1910" t="s">
        <v>929</v>
      </c>
      <c r="D1910" t="s">
        <v>28</v>
      </c>
      <c r="E1910" t="s">
        <v>13</v>
      </c>
      <c r="F1910" t="s">
        <v>36</v>
      </c>
      <c r="G1910" t="s">
        <v>2164</v>
      </c>
      <c r="H1910" s="8">
        <v>4814.3100000000004</v>
      </c>
      <c r="I1910" s="8">
        <v>-1288.5</v>
      </c>
      <c r="J1910" s="8">
        <v>0.28000000000000003</v>
      </c>
      <c r="K1910" t="str">
        <f>IF(SalesData[[#This Row],[Profit]]&gt;0,"Profit","Loss")</f>
        <v>Loss</v>
      </c>
      <c r="L1910" s="8">
        <f>SalesData[[#This Row],[Profit]]/SalesData[[#This Row],[Sales]]</f>
        <v>-0.26763959944415711</v>
      </c>
      <c r="M1910" t="str">
        <f>TEXT(SalesData[[#This Row],[Order_Date]],"mmm")</f>
        <v>Sep</v>
      </c>
      <c r="N1910">
        <f>YEAR(SalesData[[#This Row],[Order_Date]])</f>
        <v>2023</v>
      </c>
    </row>
    <row r="1911" spans="1:14" x14ac:dyDescent="0.3">
      <c r="A1911" t="s">
        <v>3146</v>
      </c>
      <c r="B1911" s="1">
        <v>44691</v>
      </c>
      <c r="C1911" t="s">
        <v>3147</v>
      </c>
      <c r="D1911" t="s">
        <v>18</v>
      </c>
      <c r="E1911" t="s">
        <v>19</v>
      </c>
      <c r="F1911" t="s">
        <v>141</v>
      </c>
      <c r="G1911" t="s">
        <v>2559</v>
      </c>
      <c r="H1911" s="8">
        <v>4690.66</v>
      </c>
      <c r="I1911" s="8">
        <v>1241.8800000000001</v>
      </c>
      <c r="J1911" s="8">
        <v>0.05</v>
      </c>
      <c r="K1911" t="str">
        <f>IF(SalesData[[#This Row],[Profit]]&gt;0,"Profit","Loss")</f>
        <v>Profit</v>
      </c>
      <c r="L1911" s="8">
        <f>SalesData[[#This Row],[Profit]]/SalesData[[#This Row],[Sales]]</f>
        <v>0.26475591920966352</v>
      </c>
      <c r="M1911" t="str">
        <f>TEXT(SalesData[[#This Row],[Order_Date]],"mmm")</f>
        <v>May</v>
      </c>
      <c r="N1911">
        <f>YEAR(SalesData[[#This Row],[Order_Date]])</f>
        <v>2022</v>
      </c>
    </row>
    <row r="1912" spans="1:14" x14ac:dyDescent="0.3">
      <c r="A1912" t="s">
        <v>3148</v>
      </c>
      <c r="B1912" s="1">
        <v>44953</v>
      </c>
      <c r="C1912" t="s">
        <v>243</v>
      </c>
      <c r="D1912" t="s">
        <v>40</v>
      </c>
      <c r="E1912" t="s">
        <v>13</v>
      </c>
      <c r="F1912" t="s">
        <v>36</v>
      </c>
      <c r="G1912" t="s">
        <v>656</v>
      </c>
      <c r="H1912" s="8">
        <v>4225.54</v>
      </c>
      <c r="I1912" s="8">
        <v>1320.48</v>
      </c>
      <c r="J1912" s="8">
        <v>0.03</v>
      </c>
      <c r="K1912" t="str">
        <f>IF(SalesData[[#This Row],[Profit]]&gt;0,"Profit","Loss")</f>
        <v>Profit</v>
      </c>
      <c r="L1912" s="8">
        <f>SalesData[[#This Row],[Profit]]/SalesData[[#This Row],[Sales]]</f>
        <v>0.31249970417982081</v>
      </c>
      <c r="M1912" t="str">
        <f>TEXT(SalesData[[#This Row],[Order_Date]],"mmm")</f>
        <v>Jan</v>
      </c>
      <c r="N1912">
        <f>YEAR(SalesData[[#This Row],[Order_Date]])</f>
        <v>2023</v>
      </c>
    </row>
    <row r="1913" spans="1:14" x14ac:dyDescent="0.3">
      <c r="A1913" t="s">
        <v>3149</v>
      </c>
      <c r="B1913" s="1">
        <v>45215</v>
      </c>
      <c r="C1913" t="s">
        <v>2021</v>
      </c>
      <c r="D1913" t="s">
        <v>18</v>
      </c>
      <c r="E1913" t="s">
        <v>56</v>
      </c>
      <c r="F1913" t="s">
        <v>95</v>
      </c>
      <c r="G1913" t="s">
        <v>288</v>
      </c>
      <c r="H1913" s="8">
        <v>2487.39</v>
      </c>
      <c r="I1913" s="8">
        <v>-747.85</v>
      </c>
      <c r="J1913" s="8">
        <v>0.23</v>
      </c>
      <c r="K1913" t="str">
        <f>IF(SalesData[[#This Row],[Profit]]&gt;0,"Profit","Loss")</f>
        <v>Loss</v>
      </c>
      <c r="L1913" s="8">
        <f>SalesData[[#This Row],[Profit]]/SalesData[[#This Row],[Sales]]</f>
        <v>-0.30065651144372219</v>
      </c>
      <c r="M1913" t="str">
        <f>TEXT(SalesData[[#This Row],[Order_Date]],"mmm")</f>
        <v>Oct</v>
      </c>
      <c r="N1913">
        <f>YEAR(SalesData[[#This Row],[Order_Date]])</f>
        <v>2023</v>
      </c>
    </row>
    <row r="1914" spans="1:14" x14ac:dyDescent="0.3">
      <c r="A1914" t="s">
        <v>3150</v>
      </c>
      <c r="B1914" s="1">
        <v>44707</v>
      </c>
      <c r="C1914" t="s">
        <v>1325</v>
      </c>
      <c r="D1914" t="s">
        <v>18</v>
      </c>
      <c r="E1914" t="s">
        <v>13</v>
      </c>
      <c r="F1914" t="s">
        <v>24</v>
      </c>
      <c r="G1914" t="s">
        <v>1475</v>
      </c>
      <c r="H1914" s="8">
        <v>785.24</v>
      </c>
      <c r="I1914" s="8">
        <v>-158.76</v>
      </c>
      <c r="J1914" s="8">
        <v>0.24</v>
      </c>
      <c r="K1914" t="str">
        <f>IF(SalesData[[#This Row],[Profit]]&gt;0,"Profit","Loss")</f>
        <v>Loss</v>
      </c>
      <c r="L1914" s="8">
        <f>SalesData[[#This Row],[Profit]]/SalesData[[#This Row],[Sales]]</f>
        <v>-0.20218022515409301</v>
      </c>
      <c r="M1914" t="str">
        <f>TEXT(SalesData[[#This Row],[Order_Date]],"mmm")</f>
        <v>May</v>
      </c>
      <c r="N1914">
        <f>YEAR(SalesData[[#This Row],[Order_Date]])</f>
        <v>2022</v>
      </c>
    </row>
    <row r="1915" spans="1:14" x14ac:dyDescent="0.3">
      <c r="A1915" t="s">
        <v>3151</v>
      </c>
      <c r="B1915" s="1">
        <v>44771</v>
      </c>
      <c r="C1915" t="s">
        <v>2693</v>
      </c>
      <c r="D1915" t="s">
        <v>18</v>
      </c>
      <c r="E1915" t="s">
        <v>19</v>
      </c>
      <c r="F1915" t="s">
        <v>29</v>
      </c>
      <c r="G1915" t="s">
        <v>216</v>
      </c>
      <c r="H1915" s="8">
        <v>2485.1999999999998</v>
      </c>
      <c r="I1915" s="8">
        <v>-151.29</v>
      </c>
      <c r="J1915" s="8">
        <v>0.14000000000000001</v>
      </c>
      <c r="K1915" t="str">
        <f>IF(SalesData[[#This Row],[Profit]]&gt;0,"Profit","Loss")</f>
        <v>Loss</v>
      </c>
      <c r="L1915" s="8">
        <f>SalesData[[#This Row],[Profit]]/SalesData[[#This Row],[Sales]]</f>
        <v>-6.0876388218252052E-2</v>
      </c>
      <c r="M1915" t="str">
        <f>TEXT(SalesData[[#This Row],[Order_Date]],"mmm")</f>
        <v>Jul</v>
      </c>
      <c r="N1915">
        <f>YEAR(SalesData[[#This Row],[Order_Date]])</f>
        <v>2022</v>
      </c>
    </row>
    <row r="1916" spans="1:14" x14ac:dyDescent="0.3">
      <c r="A1916" t="s">
        <v>3152</v>
      </c>
      <c r="B1916" s="1">
        <v>44864</v>
      </c>
      <c r="C1916" t="s">
        <v>743</v>
      </c>
      <c r="D1916" t="s">
        <v>12</v>
      </c>
      <c r="E1916" t="s">
        <v>56</v>
      </c>
      <c r="F1916" t="s">
        <v>57</v>
      </c>
      <c r="G1916" t="s">
        <v>497</v>
      </c>
      <c r="H1916" s="8">
        <v>4743.8500000000004</v>
      </c>
      <c r="I1916" s="8">
        <v>396.81</v>
      </c>
      <c r="J1916" s="8">
        <v>0.27</v>
      </c>
      <c r="K1916" t="str">
        <f>IF(SalesData[[#This Row],[Profit]]&gt;0,"Profit","Loss")</f>
        <v>Profit</v>
      </c>
      <c r="L1916" s="8">
        <f>SalesData[[#This Row],[Profit]]/SalesData[[#This Row],[Sales]]</f>
        <v>8.3647248542850217E-2</v>
      </c>
      <c r="M1916" t="str">
        <f>TEXT(SalesData[[#This Row],[Order_Date]],"mmm")</f>
        <v>Oct</v>
      </c>
      <c r="N1916">
        <f>YEAR(SalesData[[#This Row],[Order_Date]])</f>
        <v>2022</v>
      </c>
    </row>
    <row r="1917" spans="1:14" x14ac:dyDescent="0.3">
      <c r="A1917" t="s">
        <v>3153</v>
      </c>
      <c r="B1917" s="1">
        <v>44863</v>
      </c>
      <c r="C1917" t="s">
        <v>1037</v>
      </c>
      <c r="D1917" t="s">
        <v>28</v>
      </c>
      <c r="E1917" t="s">
        <v>19</v>
      </c>
      <c r="F1917" t="s">
        <v>29</v>
      </c>
      <c r="G1917" t="s">
        <v>1176</v>
      </c>
      <c r="H1917" s="8">
        <v>4446.53</v>
      </c>
      <c r="I1917" s="8">
        <v>-1836.98</v>
      </c>
      <c r="J1917" s="8">
        <v>0.26</v>
      </c>
      <c r="K1917" t="str">
        <f>IF(SalesData[[#This Row],[Profit]]&gt;0,"Profit","Loss")</f>
        <v>Loss</v>
      </c>
      <c r="L1917" s="8">
        <f>SalesData[[#This Row],[Profit]]/SalesData[[#This Row],[Sales]]</f>
        <v>-0.41312664032402796</v>
      </c>
      <c r="M1917" t="str">
        <f>TEXT(SalesData[[#This Row],[Order_Date]],"mmm")</f>
        <v>Oct</v>
      </c>
      <c r="N1917">
        <f>YEAR(SalesData[[#This Row],[Order_Date]])</f>
        <v>2022</v>
      </c>
    </row>
    <row r="1918" spans="1:14" x14ac:dyDescent="0.3">
      <c r="A1918" t="s">
        <v>3154</v>
      </c>
      <c r="B1918" s="1">
        <v>44731</v>
      </c>
      <c r="C1918" t="s">
        <v>3155</v>
      </c>
      <c r="D1918" t="s">
        <v>12</v>
      </c>
      <c r="E1918" t="s">
        <v>19</v>
      </c>
      <c r="F1918" t="s">
        <v>20</v>
      </c>
      <c r="G1918" t="s">
        <v>1229</v>
      </c>
      <c r="H1918" s="8">
        <v>1827.16</v>
      </c>
      <c r="I1918" s="8">
        <v>535.71</v>
      </c>
      <c r="J1918" s="8">
        <v>0.06</v>
      </c>
      <c r="K1918" t="str">
        <f>IF(SalesData[[#This Row],[Profit]]&gt;0,"Profit","Loss")</f>
        <v>Profit</v>
      </c>
      <c r="L1918" s="8">
        <f>SalesData[[#This Row],[Profit]]/SalesData[[#This Row],[Sales]]</f>
        <v>0.29319271437640931</v>
      </c>
      <c r="M1918" t="str">
        <f>TEXT(SalesData[[#This Row],[Order_Date]],"mmm")</f>
        <v>Jun</v>
      </c>
      <c r="N1918">
        <f>YEAR(SalesData[[#This Row],[Order_Date]])</f>
        <v>2022</v>
      </c>
    </row>
    <row r="1919" spans="1:14" x14ac:dyDescent="0.3">
      <c r="A1919" t="s">
        <v>3156</v>
      </c>
      <c r="B1919" s="1">
        <v>45207</v>
      </c>
      <c r="C1919" t="s">
        <v>1583</v>
      </c>
      <c r="D1919" t="s">
        <v>40</v>
      </c>
      <c r="E1919" t="s">
        <v>13</v>
      </c>
      <c r="F1919" t="s">
        <v>24</v>
      </c>
      <c r="G1919" t="s">
        <v>166</v>
      </c>
      <c r="H1919" s="8">
        <v>2851.79</v>
      </c>
      <c r="I1919" s="8">
        <v>244.41</v>
      </c>
      <c r="J1919" s="8">
        <v>0.02</v>
      </c>
      <c r="K1919" t="str">
        <f>IF(SalesData[[#This Row],[Profit]]&gt;0,"Profit","Loss")</f>
        <v>Profit</v>
      </c>
      <c r="L1919" s="8">
        <f>SalesData[[#This Row],[Profit]]/SalesData[[#This Row],[Sales]]</f>
        <v>8.5704066568716486E-2</v>
      </c>
      <c r="M1919" t="str">
        <f>TEXT(SalesData[[#This Row],[Order_Date]],"mmm")</f>
        <v>Oct</v>
      </c>
      <c r="N1919">
        <f>YEAR(SalesData[[#This Row],[Order_Date]])</f>
        <v>2023</v>
      </c>
    </row>
    <row r="1920" spans="1:14" x14ac:dyDescent="0.3">
      <c r="A1920" t="s">
        <v>3157</v>
      </c>
      <c r="B1920" s="1">
        <v>44896</v>
      </c>
      <c r="C1920" t="s">
        <v>132</v>
      </c>
      <c r="D1920" t="s">
        <v>40</v>
      </c>
      <c r="E1920" t="s">
        <v>19</v>
      </c>
      <c r="F1920" t="s">
        <v>29</v>
      </c>
      <c r="G1920" t="s">
        <v>1956</v>
      </c>
      <c r="H1920" s="8">
        <v>1736.8</v>
      </c>
      <c r="I1920" s="8">
        <v>-298.45999999999998</v>
      </c>
      <c r="J1920" s="8">
        <v>0.18</v>
      </c>
      <c r="K1920" t="str">
        <f>IF(SalesData[[#This Row],[Profit]]&gt;0,"Profit","Loss")</f>
        <v>Loss</v>
      </c>
      <c r="L1920" s="8">
        <f>SalesData[[#This Row],[Profit]]/SalesData[[#This Row],[Sales]]</f>
        <v>-0.17184477199447259</v>
      </c>
      <c r="M1920" t="str">
        <f>TEXT(SalesData[[#This Row],[Order_Date]],"mmm")</f>
        <v>Dec</v>
      </c>
      <c r="N1920">
        <f>YEAR(SalesData[[#This Row],[Order_Date]])</f>
        <v>2022</v>
      </c>
    </row>
    <row r="1921" spans="1:14" x14ac:dyDescent="0.3">
      <c r="A1921" t="s">
        <v>3158</v>
      </c>
      <c r="B1921" s="1">
        <v>45088</v>
      </c>
      <c r="C1921" t="s">
        <v>3147</v>
      </c>
      <c r="D1921" t="s">
        <v>12</v>
      </c>
      <c r="E1921" t="s">
        <v>13</v>
      </c>
      <c r="F1921" t="s">
        <v>24</v>
      </c>
      <c r="G1921" t="s">
        <v>401</v>
      </c>
      <c r="H1921" s="8">
        <v>704.16</v>
      </c>
      <c r="I1921" s="8">
        <v>-26.4</v>
      </c>
      <c r="J1921" s="8">
        <v>0.13</v>
      </c>
      <c r="K1921" t="str">
        <f>IF(SalesData[[#This Row],[Profit]]&gt;0,"Profit","Loss")</f>
        <v>Loss</v>
      </c>
      <c r="L1921" s="8">
        <f>SalesData[[#This Row],[Profit]]/SalesData[[#This Row],[Sales]]</f>
        <v>-3.7491479209270623E-2</v>
      </c>
      <c r="M1921" t="str">
        <f>TEXT(SalesData[[#This Row],[Order_Date]],"mmm")</f>
        <v>Jun</v>
      </c>
      <c r="N1921">
        <f>YEAR(SalesData[[#This Row],[Order_Date]])</f>
        <v>2023</v>
      </c>
    </row>
    <row r="1922" spans="1:14" x14ac:dyDescent="0.3">
      <c r="A1922" t="s">
        <v>3159</v>
      </c>
      <c r="B1922" s="1">
        <v>45212</v>
      </c>
      <c r="C1922" t="s">
        <v>583</v>
      </c>
      <c r="D1922" t="s">
        <v>18</v>
      </c>
      <c r="E1922" t="s">
        <v>56</v>
      </c>
      <c r="F1922" t="s">
        <v>95</v>
      </c>
      <c r="G1922" t="s">
        <v>2490</v>
      </c>
      <c r="H1922" s="8">
        <v>1717.75</v>
      </c>
      <c r="I1922" s="8">
        <v>49.59</v>
      </c>
      <c r="J1922" s="8">
        <v>0.21</v>
      </c>
      <c r="K1922" t="str">
        <f>IF(SalesData[[#This Row],[Profit]]&gt;0,"Profit","Loss")</f>
        <v>Profit</v>
      </c>
      <c r="L1922" s="8">
        <f>SalesData[[#This Row],[Profit]]/SalesData[[#This Row],[Sales]]</f>
        <v>2.8869160238684327E-2</v>
      </c>
      <c r="M1922" t="str">
        <f>TEXT(SalesData[[#This Row],[Order_Date]],"mmm")</f>
        <v>Oct</v>
      </c>
      <c r="N1922">
        <f>YEAR(SalesData[[#This Row],[Order_Date]])</f>
        <v>2023</v>
      </c>
    </row>
    <row r="1923" spans="1:14" x14ac:dyDescent="0.3">
      <c r="A1923" t="s">
        <v>3160</v>
      </c>
      <c r="B1923" s="1">
        <v>44607</v>
      </c>
      <c r="C1923" t="s">
        <v>2783</v>
      </c>
      <c r="D1923" t="s">
        <v>12</v>
      </c>
      <c r="E1923" t="s">
        <v>56</v>
      </c>
      <c r="F1923" t="s">
        <v>57</v>
      </c>
      <c r="G1923" t="s">
        <v>717</v>
      </c>
      <c r="H1923" s="8">
        <v>3122.68</v>
      </c>
      <c r="I1923" s="8">
        <v>-461.71</v>
      </c>
      <c r="J1923" s="8">
        <v>0.08</v>
      </c>
      <c r="K1923" t="str">
        <f>IF(SalesData[[#This Row],[Profit]]&gt;0,"Profit","Loss")</f>
        <v>Loss</v>
      </c>
      <c r="L1923" s="8">
        <f>SalesData[[#This Row],[Profit]]/SalesData[[#This Row],[Sales]]</f>
        <v>-0.14785696901379583</v>
      </c>
      <c r="M1923" t="str">
        <f>TEXT(SalesData[[#This Row],[Order_Date]],"mmm")</f>
        <v>Feb</v>
      </c>
      <c r="N1923">
        <f>YEAR(SalesData[[#This Row],[Order_Date]])</f>
        <v>2022</v>
      </c>
    </row>
    <row r="1924" spans="1:14" x14ac:dyDescent="0.3">
      <c r="A1924" t="s">
        <v>3161</v>
      </c>
      <c r="B1924" s="1">
        <v>44717</v>
      </c>
      <c r="C1924" t="s">
        <v>1537</v>
      </c>
      <c r="D1924" t="s">
        <v>40</v>
      </c>
      <c r="E1924" t="s">
        <v>56</v>
      </c>
      <c r="F1924" t="s">
        <v>57</v>
      </c>
      <c r="G1924" t="s">
        <v>202</v>
      </c>
      <c r="H1924" s="8">
        <v>2150.04</v>
      </c>
      <c r="I1924" s="8">
        <v>472.33</v>
      </c>
      <c r="J1924" s="8">
        <v>0.06</v>
      </c>
      <c r="K1924" t="str">
        <f>IF(SalesData[[#This Row],[Profit]]&gt;0,"Profit","Loss")</f>
        <v>Profit</v>
      </c>
      <c r="L1924" s="8">
        <f>SalesData[[#This Row],[Profit]]/SalesData[[#This Row],[Sales]]</f>
        <v>0.21968428494353592</v>
      </c>
      <c r="M1924" t="str">
        <f>TEXT(SalesData[[#This Row],[Order_Date]],"mmm")</f>
        <v>Jun</v>
      </c>
      <c r="N1924">
        <f>YEAR(SalesData[[#This Row],[Order_Date]])</f>
        <v>2022</v>
      </c>
    </row>
    <row r="1925" spans="1:14" x14ac:dyDescent="0.3">
      <c r="A1925" t="s">
        <v>3162</v>
      </c>
      <c r="B1925" s="1">
        <v>45056</v>
      </c>
      <c r="C1925" t="s">
        <v>49</v>
      </c>
      <c r="D1925" t="s">
        <v>18</v>
      </c>
      <c r="E1925" t="s">
        <v>56</v>
      </c>
      <c r="F1925" t="s">
        <v>57</v>
      </c>
      <c r="G1925" t="s">
        <v>3163</v>
      </c>
      <c r="H1925" s="8">
        <v>4956.03</v>
      </c>
      <c r="I1925" s="8">
        <v>-1127.6099999999999</v>
      </c>
      <c r="J1925" s="8">
        <v>0.05</v>
      </c>
      <c r="K1925" t="str">
        <f>IF(SalesData[[#This Row],[Profit]]&gt;0,"Profit","Loss")</f>
        <v>Loss</v>
      </c>
      <c r="L1925" s="8">
        <f>SalesData[[#This Row],[Profit]]/SalesData[[#This Row],[Sales]]</f>
        <v>-0.22752283581818511</v>
      </c>
      <c r="M1925" t="str">
        <f>TEXT(SalesData[[#This Row],[Order_Date]],"mmm")</f>
        <v>May</v>
      </c>
      <c r="N1925">
        <f>YEAR(SalesData[[#This Row],[Order_Date]])</f>
        <v>2023</v>
      </c>
    </row>
    <row r="1926" spans="1:14" x14ac:dyDescent="0.3">
      <c r="A1926" t="s">
        <v>3164</v>
      </c>
      <c r="B1926" s="1">
        <v>44912</v>
      </c>
      <c r="C1926" t="s">
        <v>1842</v>
      </c>
      <c r="D1926" t="s">
        <v>40</v>
      </c>
      <c r="E1926" t="s">
        <v>56</v>
      </c>
      <c r="F1926" t="s">
        <v>73</v>
      </c>
      <c r="G1926" t="s">
        <v>119</v>
      </c>
      <c r="H1926" s="8">
        <v>2518.06</v>
      </c>
      <c r="I1926" s="8">
        <v>140.41999999999999</v>
      </c>
      <c r="J1926" s="8">
        <v>0.02</v>
      </c>
      <c r="K1926" t="str">
        <f>IF(SalesData[[#This Row],[Profit]]&gt;0,"Profit","Loss")</f>
        <v>Profit</v>
      </c>
      <c r="L1926" s="8">
        <f>SalesData[[#This Row],[Profit]]/SalesData[[#This Row],[Sales]]</f>
        <v>5.5765152538065015E-2</v>
      </c>
      <c r="M1926" t="str">
        <f>TEXT(SalesData[[#This Row],[Order_Date]],"mmm")</f>
        <v>Dec</v>
      </c>
      <c r="N1926">
        <f>YEAR(SalesData[[#This Row],[Order_Date]])</f>
        <v>2022</v>
      </c>
    </row>
    <row r="1927" spans="1:14" x14ac:dyDescent="0.3">
      <c r="A1927" t="s">
        <v>3165</v>
      </c>
      <c r="B1927" s="1">
        <v>44900</v>
      </c>
      <c r="C1927" t="s">
        <v>519</v>
      </c>
      <c r="D1927" t="s">
        <v>40</v>
      </c>
      <c r="E1927" t="s">
        <v>19</v>
      </c>
      <c r="F1927" t="s">
        <v>29</v>
      </c>
      <c r="G1927" t="s">
        <v>2573</v>
      </c>
      <c r="H1927" s="8">
        <v>2927.51</v>
      </c>
      <c r="I1927" s="8">
        <v>529.28</v>
      </c>
      <c r="J1927" s="8">
        <v>0.16</v>
      </c>
      <c r="K1927" t="str">
        <f>IF(SalesData[[#This Row],[Profit]]&gt;0,"Profit","Loss")</f>
        <v>Profit</v>
      </c>
      <c r="L1927" s="8">
        <f>SalesData[[#This Row],[Profit]]/SalesData[[#This Row],[Sales]]</f>
        <v>0.18079528336367764</v>
      </c>
      <c r="M1927" t="str">
        <f>TEXT(SalesData[[#This Row],[Order_Date]],"mmm")</f>
        <v>Dec</v>
      </c>
      <c r="N1927">
        <f>YEAR(SalesData[[#This Row],[Order_Date]])</f>
        <v>2022</v>
      </c>
    </row>
    <row r="1928" spans="1:14" x14ac:dyDescent="0.3">
      <c r="A1928" t="s">
        <v>3166</v>
      </c>
      <c r="B1928" s="1">
        <v>44847</v>
      </c>
      <c r="C1928" t="s">
        <v>849</v>
      </c>
      <c r="D1928" t="s">
        <v>18</v>
      </c>
      <c r="E1928" t="s">
        <v>56</v>
      </c>
      <c r="F1928" t="s">
        <v>73</v>
      </c>
      <c r="G1928" t="s">
        <v>193</v>
      </c>
      <c r="H1928" s="8">
        <v>3441.59</v>
      </c>
      <c r="I1928" s="8">
        <v>-337.18</v>
      </c>
      <c r="J1928" s="8">
        <v>0.21</v>
      </c>
      <c r="K1928" t="str">
        <f>IF(SalesData[[#This Row],[Profit]]&gt;0,"Profit","Loss")</f>
        <v>Loss</v>
      </c>
      <c r="L1928" s="8">
        <f>SalesData[[#This Row],[Profit]]/SalesData[[#This Row],[Sales]]</f>
        <v>-9.7972158217568037E-2</v>
      </c>
      <c r="M1928" t="str">
        <f>TEXT(SalesData[[#This Row],[Order_Date]],"mmm")</f>
        <v>Oct</v>
      </c>
      <c r="N1928">
        <f>YEAR(SalesData[[#This Row],[Order_Date]])</f>
        <v>2022</v>
      </c>
    </row>
    <row r="1929" spans="1:14" x14ac:dyDescent="0.3">
      <c r="A1929" t="s">
        <v>3167</v>
      </c>
      <c r="B1929" s="1">
        <v>45072</v>
      </c>
      <c r="C1929" t="s">
        <v>400</v>
      </c>
      <c r="D1929" t="s">
        <v>28</v>
      </c>
      <c r="E1929" t="s">
        <v>56</v>
      </c>
      <c r="F1929" t="s">
        <v>95</v>
      </c>
      <c r="G1929" t="s">
        <v>1956</v>
      </c>
      <c r="H1929" s="8">
        <v>2468.64</v>
      </c>
      <c r="I1929" s="8">
        <v>13.09</v>
      </c>
      <c r="J1929" s="8">
        <v>0.1</v>
      </c>
      <c r="K1929" t="str">
        <f>IF(SalesData[[#This Row],[Profit]]&gt;0,"Profit","Loss")</f>
        <v>Profit</v>
      </c>
      <c r="L1929" s="8">
        <f>SalesData[[#This Row],[Profit]]/SalesData[[#This Row],[Sales]]</f>
        <v>5.3025147449607887E-3</v>
      </c>
      <c r="M1929" t="str">
        <f>TEXT(SalesData[[#This Row],[Order_Date]],"mmm")</f>
        <v>May</v>
      </c>
      <c r="N1929">
        <f>YEAR(SalesData[[#This Row],[Order_Date]])</f>
        <v>2023</v>
      </c>
    </row>
    <row r="1930" spans="1:14" x14ac:dyDescent="0.3">
      <c r="A1930" t="s">
        <v>3168</v>
      </c>
      <c r="B1930" s="1">
        <v>45130</v>
      </c>
      <c r="C1930" t="s">
        <v>2836</v>
      </c>
      <c r="D1930" t="s">
        <v>18</v>
      </c>
      <c r="E1930" t="s">
        <v>13</v>
      </c>
      <c r="F1930" t="s">
        <v>36</v>
      </c>
      <c r="G1930" t="s">
        <v>328</v>
      </c>
      <c r="H1930" s="8">
        <v>4028.2</v>
      </c>
      <c r="I1930" s="8">
        <v>863.81</v>
      </c>
      <c r="J1930" s="8">
        <v>0.08</v>
      </c>
      <c r="K1930" t="str">
        <f>IF(SalesData[[#This Row],[Profit]]&gt;0,"Profit","Loss")</f>
        <v>Profit</v>
      </c>
      <c r="L1930" s="8">
        <f>SalesData[[#This Row],[Profit]]/SalesData[[#This Row],[Sales]]</f>
        <v>0.21444069311354946</v>
      </c>
      <c r="M1930" t="str">
        <f>TEXT(SalesData[[#This Row],[Order_Date]],"mmm")</f>
        <v>Jul</v>
      </c>
      <c r="N1930">
        <f>YEAR(SalesData[[#This Row],[Order_Date]])</f>
        <v>2023</v>
      </c>
    </row>
    <row r="1931" spans="1:14" x14ac:dyDescent="0.3">
      <c r="A1931" t="s">
        <v>3169</v>
      </c>
      <c r="B1931" s="1">
        <v>45079</v>
      </c>
      <c r="C1931" t="s">
        <v>419</v>
      </c>
      <c r="D1931" t="s">
        <v>28</v>
      </c>
      <c r="E1931" t="s">
        <v>56</v>
      </c>
      <c r="F1931" t="s">
        <v>95</v>
      </c>
      <c r="G1931" t="s">
        <v>208</v>
      </c>
      <c r="H1931" s="8">
        <v>4535.3599999999997</v>
      </c>
      <c r="I1931" s="8">
        <v>-279.25</v>
      </c>
      <c r="J1931" s="8">
        <v>0.28000000000000003</v>
      </c>
      <c r="K1931" t="str">
        <f>IF(SalesData[[#This Row],[Profit]]&gt;0,"Profit","Loss")</f>
        <v>Loss</v>
      </c>
      <c r="L1931" s="8">
        <f>SalesData[[#This Row],[Profit]]/SalesData[[#This Row],[Sales]]</f>
        <v>-6.1571738516898331E-2</v>
      </c>
      <c r="M1931" t="str">
        <f>TEXT(SalesData[[#This Row],[Order_Date]],"mmm")</f>
        <v>Jun</v>
      </c>
      <c r="N1931">
        <f>YEAR(SalesData[[#This Row],[Order_Date]])</f>
        <v>2023</v>
      </c>
    </row>
    <row r="1932" spans="1:14" x14ac:dyDescent="0.3">
      <c r="A1932" t="s">
        <v>3170</v>
      </c>
      <c r="B1932" s="1">
        <v>45200</v>
      </c>
      <c r="C1932" t="s">
        <v>2086</v>
      </c>
      <c r="D1932" t="s">
        <v>12</v>
      </c>
      <c r="E1932" t="s">
        <v>19</v>
      </c>
      <c r="F1932" t="s">
        <v>29</v>
      </c>
      <c r="G1932" t="s">
        <v>1342</v>
      </c>
      <c r="H1932" s="8">
        <v>2876.21</v>
      </c>
      <c r="I1932" s="8">
        <v>-415.62</v>
      </c>
      <c r="J1932" s="8">
        <v>0.09</v>
      </c>
      <c r="K1932" t="str">
        <f>IF(SalesData[[#This Row],[Profit]]&gt;0,"Profit","Loss")</f>
        <v>Loss</v>
      </c>
      <c r="L1932" s="8">
        <f>SalesData[[#This Row],[Profit]]/SalesData[[#This Row],[Sales]]</f>
        <v>-0.14450266148855612</v>
      </c>
      <c r="M1932" t="str">
        <f>TEXT(SalesData[[#This Row],[Order_Date]],"mmm")</f>
        <v>Oct</v>
      </c>
      <c r="N1932">
        <f>YEAR(SalesData[[#This Row],[Order_Date]])</f>
        <v>2023</v>
      </c>
    </row>
    <row r="1933" spans="1:14" x14ac:dyDescent="0.3">
      <c r="A1933" t="s">
        <v>3171</v>
      </c>
      <c r="B1933" s="1">
        <v>45046</v>
      </c>
      <c r="C1933" t="s">
        <v>464</v>
      </c>
      <c r="D1933" t="s">
        <v>40</v>
      </c>
      <c r="E1933" t="s">
        <v>19</v>
      </c>
      <c r="F1933" t="s">
        <v>20</v>
      </c>
      <c r="G1933" t="s">
        <v>417</v>
      </c>
      <c r="H1933" s="8">
        <v>2234.5500000000002</v>
      </c>
      <c r="I1933" s="8">
        <v>-776.67</v>
      </c>
      <c r="J1933" s="8">
        <v>0.24</v>
      </c>
      <c r="K1933" t="str">
        <f>IF(SalesData[[#This Row],[Profit]]&gt;0,"Profit","Loss")</f>
        <v>Loss</v>
      </c>
      <c r="L1933" s="8">
        <f>SalesData[[#This Row],[Profit]]/SalesData[[#This Row],[Sales]]</f>
        <v>-0.34757333691347247</v>
      </c>
      <c r="M1933" t="str">
        <f>TEXT(SalesData[[#This Row],[Order_Date]],"mmm")</f>
        <v>Apr</v>
      </c>
      <c r="N1933">
        <f>YEAR(SalesData[[#This Row],[Order_Date]])</f>
        <v>2023</v>
      </c>
    </row>
    <row r="1934" spans="1:14" x14ac:dyDescent="0.3">
      <c r="A1934" t="s">
        <v>3172</v>
      </c>
      <c r="B1934" s="1">
        <v>44967</v>
      </c>
      <c r="C1934" t="s">
        <v>430</v>
      </c>
      <c r="D1934" t="s">
        <v>18</v>
      </c>
      <c r="E1934" t="s">
        <v>19</v>
      </c>
      <c r="F1934" t="s">
        <v>20</v>
      </c>
      <c r="G1934" t="s">
        <v>488</v>
      </c>
      <c r="H1934" s="8">
        <v>1609.24</v>
      </c>
      <c r="I1934" s="8">
        <v>400.18</v>
      </c>
      <c r="J1934" s="8">
        <v>0.15</v>
      </c>
      <c r="K1934" t="str">
        <f>IF(SalesData[[#This Row],[Profit]]&gt;0,"Profit","Loss")</f>
        <v>Profit</v>
      </c>
      <c r="L1934" s="8">
        <f>SalesData[[#This Row],[Profit]]/SalesData[[#This Row],[Sales]]</f>
        <v>0.24867639382565684</v>
      </c>
      <c r="M1934" t="str">
        <f>TEXT(SalesData[[#This Row],[Order_Date]],"mmm")</f>
        <v>Feb</v>
      </c>
      <c r="N1934">
        <f>YEAR(SalesData[[#This Row],[Order_Date]])</f>
        <v>2023</v>
      </c>
    </row>
    <row r="1935" spans="1:14" x14ac:dyDescent="0.3">
      <c r="A1935" t="s">
        <v>3173</v>
      </c>
      <c r="B1935" s="1">
        <v>44725</v>
      </c>
      <c r="C1935" t="s">
        <v>1336</v>
      </c>
      <c r="D1935" t="s">
        <v>40</v>
      </c>
      <c r="E1935" t="s">
        <v>19</v>
      </c>
      <c r="F1935" t="s">
        <v>20</v>
      </c>
      <c r="G1935" t="s">
        <v>1703</v>
      </c>
      <c r="H1935" s="8">
        <v>1503.69</v>
      </c>
      <c r="I1935" s="8">
        <v>-422.63</v>
      </c>
      <c r="J1935" s="8">
        <v>0.18</v>
      </c>
      <c r="K1935" t="str">
        <f>IF(SalesData[[#This Row],[Profit]]&gt;0,"Profit","Loss")</f>
        <v>Loss</v>
      </c>
      <c r="L1935" s="8">
        <f>SalesData[[#This Row],[Profit]]/SalesData[[#This Row],[Sales]]</f>
        <v>-0.28106192100765448</v>
      </c>
      <c r="M1935" t="str">
        <f>TEXT(SalesData[[#This Row],[Order_Date]],"mmm")</f>
        <v>Jun</v>
      </c>
      <c r="N1935">
        <f>YEAR(SalesData[[#This Row],[Order_Date]])</f>
        <v>2022</v>
      </c>
    </row>
    <row r="1936" spans="1:14" x14ac:dyDescent="0.3">
      <c r="A1936" t="s">
        <v>3174</v>
      </c>
      <c r="B1936" s="1">
        <v>44715</v>
      </c>
      <c r="C1936" t="s">
        <v>107</v>
      </c>
      <c r="D1936" t="s">
        <v>28</v>
      </c>
      <c r="E1936" t="s">
        <v>19</v>
      </c>
      <c r="F1936" t="s">
        <v>20</v>
      </c>
      <c r="G1936" t="s">
        <v>1818</v>
      </c>
      <c r="H1936" s="8">
        <v>593.23</v>
      </c>
      <c r="I1936" s="8">
        <v>131.97</v>
      </c>
      <c r="J1936" s="8">
        <v>0.02</v>
      </c>
      <c r="K1936" t="str">
        <f>IF(SalesData[[#This Row],[Profit]]&gt;0,"Profit","Loss")</f>
        <v>Profit</v>
      </c>
      <c r="L1936" s="8">
        <f>SalesData[[#This Row],[Profit]]/SalesData[[#This Row],[Sales]]</f>
        <v>0.22246009136422634</v>
      </c>
      <c r="M1936" t="str">
        <f>TEXT(SalesData[[#This Row],[Order_Date]],"mmm")</f>
        <v>Jun</v>
      </c>
      <c r="N1936">
        <f>YEAR(SalesData[[#This Row],[Order_Date]])</f>
        <v>2022</v>
      </c>
    </row>
    <row r="1937" spans="1:14" x14ac:dyDescent="0.3">
      <c r="A1937" t="s">
        <v>3175</v>
      </c>
      <c r="B1937" s="1">
        <v>44743</v>
      </c>
      <c r="C1937" t="s">
        <v>910</v>
      </c>
      <c r="D1937" t="s">
        <v>18</v>
      </c>
      <c r="E1937" t="s">
        <v>56</v>
      </c>
      <c r="F1937" t="s">
        <v>73</v>
      </c>
      <c r="G1937" t="s">
        <v>3176</v>
      </c>
      <c r="H1937" s="8">
        <v>3275.05</v>
      </c>
      <c r="I1937" s="8">
        <v>-1633.42</v>
      </c>
      <c r="J1937" s="8">
        <v>0.3</v>
      </c>
      <c r="K1937" t="str">
        <f>IF(SalesData[[#This Row],[Profit]]&gt;0,"Profit","Loss")</f>
        <v>Loss</v>
      </c>
      <c r="L1937" s="8">
        <f>SalesData[[#This Row],[Profit]]/SalesData[[#This Row],[Sales]]</f>
        <v>-0.49874658402161798</v>
      </c>
      <c r="M1937" t="str">
        <f>TEXT(SalesData[[#This Row],[Order_Date]],"mmm")</f>
        <v>Jul</v>
      </c>
      <c r="N1937">
        <f>YEAR(SalesData[[#This Row],[Order_Date]])</f>
        <v>2022</v>
      </c>
    </row>
    <row r="1938" spans="1:14" x14ac:dyDescent="0.3">
      <c r="A1938" t="s">
        <v>3177</v>
      </c>
      <c r="B1938" s="1">
        <v>45147</v>
      </c>
      <c r="C1938" t="s">
        <v>3088</v>
      </c>
      <c r="D1938" t="s">
        <v>12</v>
      </c>
      <c r="E1938" t="s">
        <v>19</v>
      </c>
      <c r="F1938" t="s">
        <v>141</v>
      </c>
      <c r="G1938" t="s">
        <v>303</v>
      </c>
      <c r="H1938" s="8">
        <v>3459.74</v>
      </c>
      <c r="I1938" s="8">
        <v>-815.29</v>
      </c>
      <c r="J1938" s="8">
        <v>0.25</v>
      </c>
      <c r="K1938" t="str">
        <f>IF(SalesData[[#This Row],[Profit]]&gt;0,"Profit","Loss")</f>
        <v>Loss</v>
      </c>
      <c r="L1938" s="8">
        <f>SalesData[[#This Row],[Profit]]/SalesData[[#This Row],[Sales]]</f>
        <v>-0.23565065582962882</v>
      </c>
      <c r="M1938" t="str">
        <f>TEXT(SalesData[[#This Row],[Order_Date]],"mmm")</f>
        <v>Aug</v>
      </c>
      <c r="N1938">
        <f>YEAR(SalesData[[#This Row],[Order_Date]])</f>
        <v>2023</v>
      </c>
    </row>
    <row r="1939" spans="1:14" x14ac:dyDescent="0.3">
      <c r="A1939" t="s">
        <v>3178</v>
      </c>
      <c r="B1939" s="1">
        <v>44602</v>
      </c>
      <c r="C1939" t="s">
        <v>1328</v>
      </c>
      <c r="D1939" t="s">
        <v>12</v>
      </c>
      <c r="E1939" t="s">
        <v>19</v>
      </c>
      <c r="F1939" t="s">
        <v>29</v>
      </c>
      <c r="G1939" t="s">
        <v>282</v>
      </c>
      <c r="H1939" s="8">
        <v>589.86</v>
      </c>
      <c r="I1939" s="8">
        <v>-265.79000000000002</v>
      </c>
      <c r="J1939" s="8">
        <v>0.3</v>
      </c>
      <c r="K1939" t="str">
        <f>IF(SalesData[[#This Row],[Profit]]&gt;0,"Profit","Loss")</f>
        <v>Loss</v>
      </c>
      <c r="L1939" s="8">
        <f>SalesData[[#This Row],[Profit]]/SalesData[[#This Row],[Sales]]</f>
        <v>-0.45059844708913982</v>
      </c>
      <c r="M1939" t="str">
        <f>TEXT(SalesData[[#This Row],[Order_Date]],"mmm")</f>
        <v>Feb</v>
      </c>
      <c r="N1939">
        <f>YEAR(SalesData[[#This Row],[Order_Date]])</f>
        <v>2022</v>
      </c>
    </row>
    <row r="1940" spans="1:14" x14ac:dyDescent="0.3">
      <c r="A1940" t="s">
        <v>3179</v>
      </c>
      <c r="B1940" s="1">
        <v>44835</v>
      </c>
      <c r="C1940" t="s">
        <v>662</v>
      </c>
      <c r="D1940" t="s">
        <v>40</v>
      </c>
      <c r="E1940" t="s">
        <v>56</v>
      </c>
      <c r="F1940" t="s">
        <v>57</v>
      </c>
      <c r="G1940" t="s">
        <v>254</v>
      </c>
      <c r="H1940" s="8">
        <v>4495.58</v>
      </c>
      <c r="I1940" s="8">
        <v>-700.34</v>
      </c>
      <c r="J1940" s="8">
        <v>0.25</v>
      </c>
      <c r="K1940" t="str">
        <f>IF(SalesData[[#This Row],[Profit]]&gt;0,"Profit","Loss")</f>
        <v>Loss</v>
      </c>
      <c r="L1940" s="8">
        <f>SalesData[[#This Row],[Profit]]/SalesData[[#This Row],[Sales]]</f>
        <v>-0.15578412574128367</v>
      </c>
      <c r="M1940" t="str">
        <f>TEXT(SalesData[[#This Row],[Order_Date]],"mmm")</f>
        <v>Oct</v>
      </c>
      <c r="N1940">
        <f>YEAR(SalesData[[#This Row],[Order_Date]])</f>
        <v>2022</v>
      </c>
    </row>
    <row r="1941" spans="1:14" x14ac:dyDescent="0.3">
      <c r="A1941" t="s">
        <v>3180</v>
      </c>
      <c r="B1941" s="1">
        <v>45182</v>
      </c>
      <c r="C1941" t="s">
        <v>1291</v>
      </c>
      <c r="D1941" t="s">
        <v>18</v>
      </c>
      <c r="E1941" t="s">
        <v>13</v>
      </c>
      <c r="F1941" t="s">
        <v>14</v>
      </c>
      <c r="G1941" t="s">
        <v>1870</v>
      </c>
      <c r="H1941" s="8">
        <v>4175.83</v>
      </c>
      <c r="I1941" s="8">
        <v>-1048.28</v>
      </c>
      <c r="J1941" s="8">
        <v>0.09</v>
      </c>
      <c r="K1941" t="str">
        <f>IF(SalesData[[#This Row],[Profit]]&gt;0,"Profit","Loss")</f>
        <v>Loss</v>
      </c>
      <c r="L1941" s="8">
        <f>SalesData[[#This Row],[Profit]]/SalesData[[#This Row],[Sales]]</f>
        <v>-0.25103512355627505</v>
      </c>
      <c r="M1941" t="str">
        <f>TEXT(SalesData[[#This Row],[Order_Date]],"mmm")</f>
        <v>Sep</v>
      </c>
      <c r="N1941">
        <f>YEAR(SalesData[[#This Row],[Order_Date]])</f>
        <v>2023</v>
      </c>
    </row>
    <row r="1942" spans="1:14" x14ac:dyDescent="0.3">
      <c r="A1942" t="s">
        <v>3181</v>
      </c>
      <c r="B1942" s="1">
        <v>44594</v>
      </c>
      <c r="C1942" t="s">
        <v>1519</v>
      </c>
      <c r="D1942" t="s">
        <v>40</v>
      </c>
      <c r="E1942" t="s">
        <v>13</v>
      </c>
      <c r="F1942" t="s">
        <v>24</v>
      </c>
      <c r="G1942" t="s">
        <v>181</v>
      </c>
      <c r="H1942" s="8">
        <v>570.99</v>
      </c>
      <c r="I1942" s="8">
        <v>19.079999999999998</v>
      </c>
      <c r="J1942" s="8">
        <v>0.18</v>
      </c>
      <c r="K1942" t="str">
        <f>IF(SalesData[[#This Row],[Profit]]&gt;0,"Profit","Loss")</f>
        <v>Profit</v>
      </c>
      <c r="L1942" s="8">
        <f>SalesData[[#This Row],[Profit]]/SalesData[[#This Row],[Sales]]</f>
        <v>3.3415646508695419E-2</v>
      </c>
      <c r="M1942" t="str">
        <f>TEXT(SalesData[[#This Row],[Order_Date]],"mmm")</f>
        <v>Feb</v>
      </c>
      <c r="N1942">
        <f>YEAR(SalesData[[#This Row],[Order_Date]])</f>
        <v>2022</v>
      </c>
    </row>
    <row r="1943" spans="1:14" x14ac:dyDescent="0.3">
      <c r="A1943" t="s">
        <v>3182</v>
      </c>
      <c r="B1943" s="1">
        <v>44875</v>
      </c>
      <c r="C1943" t="s">
        <v>1834</v>
      </c>
      <c r="D1943" t="s">
        <v>28</v>
      </c>
      <c r="E1943" t="s">
        <v>56</v>
      </c>
      <c r="F1943" t="s">
        <v>73</v>
      </c>
      <c r="G1943" t="s">
        <v>1904</v>
      </c>
      <c r="H1943" s="8">
        <v>2416.04</v>
      </c>
      <c r="I1943" s="8">
        <v>558.16</v>
      </c>
      <c r="J1943" s="8">
        <v>0.14000000000000001</v>
      </c>
      <c r="K1943" t="str">
        <f>IF(SalesData[[#This Row],[Profit]]&gt;0,"Profit","Loss")</f>
        <v>Profit</v>
      </c>
      <c r="L1943" s="8">
        <f>SalesData[[#This Row],[Profit]]/SalesData[[#This Row],[Sales]]</f>
        <v>0.23102266518766246</v>
      </c>
      <c r="M1943" t="str">
        <f>TEXT(SalesData[[#This Row],[Order_Date]],"mmm")</f>
        <v>Nov</v>
      </c>
      <c r="N1943">
        <f>YEAR(SalesData[[#This Row],[Order_Date]])</f>
        <v>2022</v>
      </c>
    </row>
    <row r="1944" spans="1:14" x14ac:dyDescent="0.3">
      <c r="A1944" t="s">
        <v>3183</v>
      </c>
      <c r="B1944" s="1">
        <v>45282</v>
      </c>
      <c r="C1944" t="s">
        <v>2918</v>
      </c>
      <c r="D1944" t="s">
        <v>12</v>
      </c>
      <c r="E1944" t="s">
        <v>56</v>
      </c>
      <c r="F1944" t="s">
        <v>95</v>
      </c>
      <c r="G1944" t="s">
        <v>33</v>
      </c>
      <c r="H1944" s="8">
        <v>3364.65</v>
      </c>
      <c r="I1944" s="8">
        <v>56.43</v>
      </c>
      <c r="J1944" s="8">
        <v>0.06</v>
      </c>
      <c r="K1944" t="str">
        <f>IF(SalesData[[#This Row],[Profit]]&gt;0,"Profit","Loss")</f>
        <v>Profit</v>
      </c>
      <c r="L1944" s="8">
        <f>SalesData[[#This Row],[Profit]]/SalesData[[#This Row],[Sales]]</f>
        <v>1.6771432392670857E-2</v>
      </c>
      <c r="M1944" t="str">
        <f>TEXT(SalesData[[#This Row],[Order_Date]],"mmm")</f>
        <v>Dec</v>
      </c>
      <c r="N1944">
        <f>YEAR(SalesData[[#This Row],[Order_Date]])</f>
        <v>2023</v>
      </c>
    </row>
    <row r="1945" spans="1:14" x14ac:dyDescent="0.3">
      <c r="A1945" t="s">
        <v>3184</v>
      </c>
      <c r="B1945" s="1">
        <v>44691</v>
      </c>
      <c r="C1945" t="s">
        <v>284</v>
      </c>
      <c r="D1945" t="s">
        <v>12</v>
      </c>
      <c r="E1945" t="s">
        <v>56</v>
      </c>
      <c r="F1945" t="s">
        <v>73</v>
      </c>
      <c r="G1945" t="s">
        <v>1967</v>
      </c>
      <c r="H1945" s="8">
        <v>4388.1899999999996</v>
      </c>
      <c r="I1945" s="8">
        <v>1575.08</v>
      </c>
      <c r="J1945" s="8">
        <v>0.04</v>
      </c>
      <c r="K1945" t="str">
        <f>IF(SalesData[[#This Row],[Profit]]&gt;0,"Profit","Loss")</f>
        <v>Profit</v>
      </c>
      <c r="L1945" s="8">
        <f>SalesData[[#This Row],[Profit]]/SalesData[[#This Row],[Sales]]</f>
        <v>0.35893614451516459</v>
      </c>
      <c r="M1945" t="str">
        <f>TEXT(SalesData[[#This Row],[Order_Date]],"mmm")</f>
        <v>May</v>
      </c>
      <c r="N1945">
        <f>YEAR(SalesData[[#This Row],[Order_Date]])</f>
        <v>2022</v>
      </c>
    </row>
    <row r="1946" spans="1:14" x14ac:dyDescent="0.3">
      <c r="A1946" t="s">
        <v>3185</v>
      </c>
      <c r="B1946" s="1">
        <v>44981</v>
      </c>
      <c r="C1946" t="s">
        <v>1021</v>
      </c>
      <c r="D1946" t="s">
        <v>40</v>
      </c>
      <c r="E1946" t="s">
        <v>19</v>
      </c>
      <c r="F1946" t="s">
        <v>141</v>
      </c>
      <c r="G1946" t="s">
        <v>1886</v>
      </c>
      <c r="H1946" s="8">
        <v>1667.76</v>
      </c>
      <c r="I1946" s="8">
        <v>31.62</v>
      </c>
      <c r="J1946" s="8">
        <v>7.0000000000000007E-2</v>
      </c>
      <c r="K1946" t="str">
        <f>IF(SalesData[[#This Row],[Profit]]&gt;0,"Profit","Loss")</f>
        <v>Profit</v>
      </c>
      <c r="L1946" s="8">
        <f>SalesData[[#This Row],[Profit]]/SalesData[[#This Row],[Sales]]</f>
        <v>1.8959562526982301E-2</v>
      </c>
      <c r="M1946" t="str">
        <f>TEXT(SalesData[[#This Row],[Order_Date]],"mmm")</f>
        <v>Feb</v>
      </c>
      <c r="N1946">
        <f>YEAR(SalesData[[#This Row],[Order_Date]])</f>
        <v>2023</v>
      </c>
    </row>
    <row r="1947" spans="1:14" x14ac:dyDescent="0.3">
      <c r="A1947" t="s">
        <v>3186</v>
      </c>
      <c r="B1947" s="1">
        <v>44962</v>
      </c>
      <c r="C1947" t="s">
        <v>35</v>
      </c>
      <c r="D1947" t="s">
        <v>40</v>
      </c>
      <c r="E1947" t="s">
        <v>13</v>
      </c>
      <c r="F1947" t="s">
        <v>14</v>
      </c>
      <c r="G1947" t="s">
        <v>520</v>
      </c>
      <c r="H1947" s="8">
        <v>4488.3900000000003</v>
      </c>
      <c r="I1947" s="8">
        <v>-814.53</v>
      </c>
      <c r="J1947" s="8">
        <v>0.2</v>
      </c>
      <c r="K1947" t="str">
        <f>IF(SalesData[[#This Row],[Profit]]&gt;0,"Profit","Loss")</f>
        <v>Loss</v>
      </c>
      <c r="L1947" s="8">
        <f>SalesData[[#This Row],[Profit]]/SalesData[[#This Row],[Sales]]</f>
        <v>-0.18147487183600353</v>
      </c>
      <c r="M1947" t="str">
        <f>TEXT(SalesData[[#This Row],[Order_Date]],"mmm")</f>
        <v>Feb</v>
      </c>
      <c r="N1947">
        <f>YEAR(SalesData[[#This Row],[Order_Date]])</f>
        <v>2023</v>
      </c>
    </row>
    <row r="1948" spans="1:14" x14ac:dyDescent="0.3">
      <c r="A1948" t="s">
        <v>3187</v>
      </c>
      <c r="B1948" s="1">
        <v>45071</v>
      </c>
      <c r="C1948" t="s">
        <v>2693</v>
      </c>
      <c r="D1948" t="s">
        <v>28</v>
      </c>
      <c r="E1948" t="s">
        <v>56</v>
      </c>
      <c r="F1948" t="s">
        <v>57</v>
      </c>
      <c r="G1948" t="s">
        <v>957</v>
      </c>
      <c r="H1948" s="8">
        <v>4221.49</v>
      </c>
      <c r="I1948" s="8">
        <v>-870.74</v>
      </c>
      <c r="J1948" s="8">
        <v>0.24</v>
      </c>
      <c r="K1948" t="str">
        <f>IF(SalesData[[#This Row],[Profit]]&gt;0,"Profit","Loss")</f>
        <v>Loss</v>
      </c>
      <c r="L1948" s="8">
        <f>SalesData[[#This Row],[Profit]]/SalesData[[#This Row],[Sales]]</f>
        <v>-0.20626366519878053</v>
      </c>
      <c r="M1948" t="str">
        <f>TEXT(SalesData[[#This Row],[Order_Date]],"mmm")</f>
        <v>May</v>
      </c>
      <c r="N1948">
        <f>YEAR(SalesData[[#This Row],[Order_Date]])</f>
        <v>2023</v>
      </c>
    </row>
    <row r="1949" spans="1:14" x14ac:dyDescent="0.3">
      <c r="A1949" t="s">
        <v>3188</v>
      </c>
      <c r="B1949" s="1">
        <v>45286</v>
      </c>
      <c r="C1949" t="s">
        <v>2511</v>
      </c>
      <c r="D1949" t="s">
        <v>40</v>
      </c>
      <c r="E1949" t="s">
        <v>13</v>
      </c>
      <c r="F1949" t="s">
        <v>36</v>
      </c>
      <c r="G1949" t="s">
        <v>2374</v>
      </c>
      <c r="H1949" s="8">
        <v>2303.1</v>
      </c>
      <c r="I1949" s="8">
        <v>16.510000000000002</v>
      </c>
      <c r="J1949" s="8">
        <v>0.24</v>
      </c>
      <c r="K1949" t="str">
        <f>IF(SalesData[[#This Row],[Profit]]&gt;0,"Profit","Loss")</f>
        <v>Profit</v>
      </c>
      <c r="L1949" s="8">
        <f>SalesData[[#This Row],[Profit]]/SalesData[[#This Row],[Sales]]</f>
        <v>7.1685988450349535E-3</v>
      </c>
      <c r="M1949" t="str">
        <f>TEXT(SalesData[[#This Row],[Order_Date]],"mmm")</f>
        <v>Dec</v>
      </c>
      <c r="N1949">
        <f>YEAR(SalesData[[#This Row],[Order_Date]])</f>
        <v>2023</v>
      </c>
    </row>
    <row r="1950" spans="1:14" x14ac:dyDescent="0.3">
      <c r="A1950" t="s">
        <v>3189</v>
      </c>
      <c r="B1950" s="1">
        <v>44818</v>
      </c>
      <c r="C1950" t="s">
        <v>3190</v>
      </c>
      <c r="D1950" t="s">
        <v>12</v>
      </c>
      <c r="E1950" t="s">
        <v>13</v>
      </c>
      <c r="F1950" t="s">
        <v>24</v>
      </c>
      <c r="G1950" t="s">
        <v>222</v>
      </c>
      <c r="H1950" s="8">
        <v>1001.41</v>
      </c>
      <c r="I1950" s="8">
        <v>-362</v>
      </c>
      <c r="J1950" s="8">
        <v>0.26</v>
      </c>
      <c r="K1950" t="str">
        <f>IF(SalesData[[#This Row],[Profit]]&gt;0,"Profit","Loss")</f>
        <v>Loss</v>
      </c>
      <c r="L1950" s="8">
        <f>SalesData[[#This Row],[Profit]]/SalesData[[#This Row],[Sales]]</f>
        <v>-0.36149029867886284</v>
      </c>
      <c r="M1950" t="str">
        <f>TEXT(SalesData[[#This Row],[Order_Date]],"mmm")</f>
        <v>Sep</v>
      </c>
      <c r="N1950">
        <f>YEAR(SalesData[[#This Row],[Order_Date]])</f>
        <v>2022</v>
      </c>
    </row>
    <row r="1951" spans="1:14" x14ac:dyDescent="0.3">
      <c r="A1951" t="s">
        <v>3191</v>
      </c>
      <c r="B1951" s="1">
        <v>45069</v>
      </c>
      <c r="C1951" t="s">
        <v>2455</v>
      </c>
      <c r="D1951" t="s">
        <v>18</v>
      </c>
      <c r="E1951" t="s">
        <v>19</v>
      </c>
      <c r="F1951" t="s">
        <v>20</v>
      </c>
      <c r="G1951" t="s">
        <v>534</v>
      </c>
      <c r="H1951" s="8">
        <v>305.92</v>
      </c>
      <c r="I1951" s="8">
        <v>20.7</v>
      </c>
      <c r="J1951" s="8">
        <v>0.04</v>
      </c>
      <c r="K1951" t="str">
        <f>IF(SalesData[[#This Row],[Profit]]&gt;0,"Profit","Loss")</f>
        <v>Profit</v>
      </c>
      <c r="L1951" s="8">
        <f>SalesData[[#This Row],[Profit]]/SalesData[[#This Row],[Sales]]</f>
        <v>6.7664748953974896E-2</v>
      </c>
      <c r="M1951" t="str">
        <f>TEXT(SalesData[[#This Row],[Order_Date]],"mmm")</f>
        <v>May</v>
      </c>
      <c r="N1951">
        <f>YEAR(SalesData[[#This Row],[Order_Date]])</f>
        <v>2023</v>
      </c>
    </row>
    <row r="1952" spans="1:14" x14ac:dyDescent="0.3">
      <c r="A1952" t="s">
        <v>3192</v>
      </c>
      <c r="B1952" s="1">
        <v>44913</v>
      </c>
      <c r="C1952" t="s">
        <v>1328</v>
      </c>
      <c r="D1952" t="s">
        <v>40</v>
      </c>
      <c r="E1952" t="s">
        <v>56</v>
      </c>
      <c r="F1952" t="s">
        <v>95</v>
      </c>
      <c r="G1952" t="s">
        <v>2853</v>
      </c>
      <c r="H1952" s="8">
        <v>288.39999999999998</v>
      </c>
      <c r="I1952" s="8">
        <v>4.74</v>
      </c>
      <c r="J1952" s="8">
        <v>0</v>
      </c>
      <c r="K1952" t="str">
        <f>IF(SalesData[[#This Row],[Profit]]&gt;0,"Profit","Loss")</f>
        <v>Profit</v>
      </c>
      <c r="L1952" s="8">
        <f>SalesData[[#This Row],[Profit]]/SalesData[[#This Row],[Sales]]</f>
        <v>1.6435506241331485E-2</v>
      </c>
      <c r="M1952" t="str">
        <f>TEXT(SalesData[[#This Row],[Order_Date]],"mmm")</f>
        <v>Dec</v>
      </c>
      <c r="N1952">
        <f>YEAR(SalesData[[#This Row],[Order_Date]])</f>
        <v>2022</v>
      </c>
    </row>
    <row r="1953" spans="1:14" x14ac:dyDescent="0.3">
      <c r="A1953" t="s">
        <v>3193</v>
      </c>
      <c r="B1953" s="1">
        <v>44778</v>
      </c>
      <c r="C1953" t="s">
        <v>198</v>
      </c>
      <c r="D1953" t="s">
        <v>40</v>
      </c>
      <c r="E1953" t="s">
        <v>56</v>
      </c>
      <c r="F1953" t="s">
        <v>57</v>
      </c>
      <c r="G1953" t="s">
        <v>502</v>
      </c>
      <c r="H1953" s="8">
        <v>2465.71</v>
      </c>
      <c r="I1953" s="8">
        <v>-368.26</v>
      </c>
      <c r="J1953" s="8">
        <v>0.25</v>
      </c>
      <c r="K1953" t="str">
        <f>IF(SalesData[[#This Row],[Profit]]&gt;0,"Profit","Loss")</f>
        <v>Loss</v>
      </c>
      <c r="L1953" s="8">
        <f>SalesData[[#This Row],[Profit]]/SalesData[[#This Row],[Sales]]</f>
        <v>-0.1493525191526984</v>
      </c>
      <c r="M1953" t="str">
        <f>TEXT(SalesData[[#This Row],[Order_Date]],"mmm")</f>
        <v>Aug</v>
      </c>
      <c r="N1953">
        <f>YEAR(SalesData[[#This Row],[Order_Date]])</f>
        <v>2022</v>
      </c>
    </row>
    <row r="1954" spans="1:14" x14ac:dyDescent="0.3">
      <c r="A1954" t="s">
        <v>3194</v>
      </c>
      <c r="B1954" s="1">
        <v>45103</v>
      </c>
      <c r="C1954" t="s">
        <v>3195</v>
      </c>
      <c r="D1954" t="s">
        <v>18</v>
      </c>
      <c r="E1954" t="s">
        <v>13</v>
      </c>
      <c r="F1954" t="s">
        <v>24</v>
      </c>
      <c r="G1954" t="s">
        <v>1001</v>
      </c>
      <c r="H1954" s="8">
        <v>3745.86</v>
      </c>
      <c r="I1954" s="8">
        <v>-170.76</v>
      </c>
      <c r="J1954" s="8">
        <v>0.08</v>
      </c>
      <c r="K1954" t="str">
        <f>IF(SalesData[[#This Row],[Profit]]&gt;0,"Profit","Loss")</f>
        <v>Loss</v>
      </c>
      <c r="L1954" s="8">
        <f>SalesData[[#This Row],[Profit]]/SalesData[[#This Row],[Sales]]</f>
        <v>-4.5586327305345099E-2</v>
      </c>
      <c r="M1954" t="str">
        <f>TEXT(SalesData[[#This Row],[Order_Date]],"mmm")</f>
        <v>Jun</v>
      </c>
      <c r="N1954">
        <f>YEAR(SalesData[[#This Row],[Order_Date]])</f>
        <v>2023</v>
      </c>
    </row>
    <row r="1955" spans="1:14" x14ac:dyDescent="0.3">
      <c r="A1955" t="s">
        <v>3196</v>
      </c>
      <c r="B1955" s="1">
        <v>45113</v>
      </c>
      <c r="C1955" t="s">
        <v>472</v>
      </c>
      <c r="D1955" t="s">
        <v>28</v>
      </c>
      <c r="E1955" t="s">
        <v>13</v>
      </c>
      <c r="F1955" t="s">
        <v>14</v>
      </c>
      <c r="G1955" t="s">
        <v>981</v>
      </c>
      <c r="H1955" s="8">
        <v>2329.27</v>
      </c>
      <c r="I1955" s="8">
        <v>-213.65</v>
      </c>
      <c r="J1955" s="8">
        <v>0.22</v>
      </c>
      <c r="K1955" t="str">
        <f>IF(SalesData[[#This Row],[Profit]]&gt;0,"Profit","Loss")</f>
        <v>Loss</v>
      </c>
      <c r="L1955" s="8">
        <f>SalesData[[#This Row],[Profit]]/SalesData[[#This Row],[Sales]]</f>
        <v>-9.1724016537370084E-2</v>
      </c>
      <c r="M1955" t="str">
        <f>TEXT(SalesData[[#This Row],[Order_Date]],"mmm")</f>
        <v>Jul</v>
      </c>
      <c r="N1955">
        <f>YEAR(SalesData[[#This Row],[Order_Date]])</f>
        <v>2023</v>
      </c>
    </row>
    <row r="1956" spans="1:14" x14ac:dyDescent="0.3">
      <c r="A1956" t="s">
        <v>3197</v>
      </c>
      <c r="B1956" s="1">
        <v>44626</v>
      </c>
      <c r="C1956" t="s">
        <v>3198</v>
      </c>
      <c r="D1956" t="s">
        <v>28</v>
      </c>
      <c r="E1956" t="s">
        <v>19</v>
      </c>
      <c r="F1956" t="s">
        <v>29</v>
      </c>
      <c r="G1956" t="s">
        <v>83</v>
      </c>
      <c r="H1956" s="8">
        <v>187.78</v>
      </c>
      <c r="I1956" s="8">
        <v>37.380000000000003</v>
      </c>
      <c r="J1956" s="8">
        <v>0.18</v>
      </c>
      <c r="K1956" t="str">
        <f>IF(SalesData[[#This Row],[Profit]]&gt;0,"Profit","Loss")</f>
        <v>Profit</v>
      </c>
      <c r="L1956" s="8">
        <f>SalesData[[#This Row],[Profit]]/SalesData[[#This Row],[Sales]]</f>
        <v>0.19906273298540847</v>
      </c>
      <c r="M1956" t="str">
        <f>TEXT(SalesData[[#This Row],[Order_Date]],"mmm")</f>
        <v>Mar</v>
      </c>
      <c r="N1956">
        <f>YEAR(SalesData[[#This Row],[Order_Date]])</f>
        <v>2022</v>
      </c>
    </row>
    <row r="1957" spans="1:14" x14ac:dyDescent="0.3">
      <c r="A1957" t="s">
        <v>3199</v>
      </c>
      <c r="B1957" s="1">
        <v>44790</v>
      </c>
      <c r="C1957" t="s">
        <v>1945</v>
      </c>
      <c r="D1957" t="s">
        <v>40</v>
      </c>
      <c r="E1957" t="s">
        <v>19</v>
      </c>
      <c r="F1957" t="s">
        <v>141</v>
      </c>
      <c r="G1957" t="s">
        <v>850</v>
      </c>
      <c r="H1957" s="8">
        <v>2902.3</v>
      </c>
      <c r="I1957" s="8">
        <v>60.6</v>
      </c>
      <c r="J1957" s="8">
        <v>0.28000000000000003</v>
      </c>
      <c r="K1957" t="str">
        <f>IF(SalesData[[#This Row],[Profit]]&gt;0,"Profit","Loss")</f>
        <v>Profit</v>
      </c>
      <c r="L1957" s="8">
        <f>SalesData[[#This Row],[Profit]]/SalesData[[#This Row],[Sales]]</f>
        <v>2.0879991730696344E-2</v>
      </c>
      <c r="M1957" t="str">
        <f>TEXT(SalesData[[#This Row],[Order_Date]],"mmm")</f>
        <v>Aug</v>
      </c>
      <c r="N1957">
        <f>YEAR(SalesData[[#This Row],[Order_Date]])</f>
        <v>2022</v>
      </c>
    </row>
    <row r="1958" spans="1:14" x14ac:dyDescent="0.3">
      <c r="A1958" t="s">
        <v>3200</v>
      </c>
      <c r="B1958" s="1">
        <v>44966</v>
      </c>
      <c r="C1958" t="s">
        <v>356</v>
      </c>
      <c r="D1958" t="s">
        <v>12</v>
      </c>
      <c r="E1958" t="s">
        <v>13</v>
      </c>
      <c r="F1958" t="s">
        <v>14</v>
      </c>
      <c r="G1958" t="s">
        <v>1033</v>
      </c>
      <c r="H1958" s="8">
        <v>4102.01</v>
      </c>
      <c r="I1958" s="8">
        <v>-214.38</v>
      </c>
      <c r="J1958" s="8">
        <v>0.2</v>
      </c>
      <c r="K1958" t="str">
        <f>IF(SalesData[[#This Row],[Profit]]&gt;0,"Profit","Loss")</f>
        <v>Loss</v>
      </c>
      <c r="L1958" s="8">
        <f>SalesData[[#This Row],[Profit]]/SalesData[[#This Row],[Sales]]</f>
        <v>-5.2262183661180732E-2</v>
      </c>
      <c r="M1958" t="str">
        <f>TEXT(SalesData[[#This Row],[Order_Date]],"mmm")</f>
        <v>Feb</v>
      </c>
      <c r="N1958">
        <f>YEAR(SalesData[[#This Row],[Order_Date]])</f>
        <v>2023</v>
      </c>
    </row>
    <row r="1959" spans="1:14" x14ac:dyDescent="0.3">
      <c r="A1959" t="s">
        <v>3201</v>
      </c>
      <c r="B1959" s="1">
        <v>44564</v>
      </c>
      <c r="C1959" t="s">
        <v>150</v>
      </c>
      <c r="D1959" t="s">
        <v>12</v>
      </c>
      <c r="E1959" t="s">
        <v>56</v>
      </c>
      <c r="F1959" t="s">
        <v>57</v>
      </c>
      <c r="G1959" t="s">
        <v>2374</v>
      </c>
      <c r="H1959" s="8">
        <v>1186.82</v>
      </c>
      <c r="I1959" s="8">
        <v>-363.89</v>
      </c>
      <c r="J1959" s="8">
        <v>0.25</v>
      </c>
      <c r="K1959" t="str">
        <f>IF(SalesData[[#This Row],[Profit]]&gt;0,"Profit","Loss")</f>
        <v>Loss</v>
      </c>
      <c r="L1959" s="8">
        <f>SalesData[[#This Row],[Profit]]/SalesData[[#This Row],[Sales]]</f>
        <v>-0.30660925835425762</v>
      </c>
      <c r="M1959" t="str">
        <f>TEXT(SalesData[[#This Row],[Order_Date]],"mmm")</f>
        <v>Jan</v>
      </c>
      <c r="N1959">
        <f>YEAR(SalesData[[#This Row],[Order_Date]])</f>
        <v>2022</v>
      </c>
    </row>
    <row r="1960" spans="1:14" x14ac:dyDescent="0.3">
      <c r="A1960" t="s">
        <v>3202</v>
      </c>
      <c r="B1960" s="1">
        <v>44578</v>
      </c>
      <c r="C1960" t="s">
        <v>2293</v>
      </c>
      <c r="D1960" t="s">
        <v>40</v>
      </c>
      <c r="E1960" t="s">
        <v>56</v>
      </c>
      <c r="F1960" t="s">
        <v>95</v>
      </c>
      <c r="G1960" t="s">
        <v>618</v>
      </c>
      <c r="H1960" s="8">
        <v>2722.76</v>
      </c>
      <c r="I1960" s="8">
        <v>255.8</v>
      </c>
      <c r="J1960" s="8">
        <v>0.27</v>
      </c>
      <c r="K1960" t="str">
        <f>IF(SalesData[[#This Row],[Profit]]&gt;0,"Profit","Loss")</f>
        <v>Profit</v>
      </c>
      <c r="L1960" s="8">
        <f>SalesData[[#This Row],[Profit]]/SalesData[[#This Row],[Sales]]</f>
        <v>9.3948787259986191E-2</v>
      </c>
      <c r="M1960" t="str">
        <f>TEXT(SalesData[[#This Row],[Order_Date]],"mmm")</f>
        <v>Jan</v>
      </c>
      <c r="N1960">
        <f>YEAR(SalesData[[#This Row],[Order_Date]])</f>
        <v>2022</v>
      </c>
    </row>
    <row r="1961" spans="1:14" x14ac:dyDescent="0.3">
      <c r="A1961" t="s">
        <v>3203</v>
      </c>
      <c r="B1961" s="1">
        <v>45239</v>
      </c>
      <c r="C1961" t="s">
        <v>293</v>
      </c>
      <c r="D1961" t="s">
        <v>40</v>
      </c>
      <c r="E1961" t="s">
        <v>13</v>
      </c>
      <c r="F1961" t="s">
        <v>24</v>
      </c>
      <c r="G1961" t="s">
        <v>1352</v>
      </c>
      <c r="H1961" s="8">
        <v>350.86</v>
      </c>
      <c r="I1961" s="8">
        <v>-130.5</v>
      </c>
      <c r="J1961" s="8">
        <v>0.3</v>
      </c>
      <c r="K1961" t="str">
        <f>IF(SalesData[[#This Row],[Profit]]&gt;0,"Profit","Loss")</f>
        <v>Loss</v>
      </c>
      <c r="L1961" s="8">
        <f>SalesData[[#This Row],[Profit]]/SalesData[[#This Row],[Sales]]</f>
        <v>-0.37194322521803569</v>
      </c>
      <c r="M1961" t="str">
        <f>TEXT(SalesData[[#This Row],[Order_Date]],"mmm")</f>
        <v>Nov</v>
      </c>
      <c r="N1961">
        <f>YEAR(SalesData[[#This Row],[Order_Date]])</f>
        <v>2023</v>
      </c>
    </row>
    <row r="1962" spans="1:14" x14ac:dyDescent="0.3">
      <c r="A1962" t="s">
        <v>3204</v>
      </c>
      <c r="B1962" s="1">
        <v>44743</v>
      </c>
      <c r="C1962" t="s">
        <v>631</v>
      </c>
      <c r="D1962" t="s">
        <v>18</v>
      </c>
      <c r="E1962" t="s">
        <v>56</v>
      </c>
      <c r="F1962" t="s">
        <v>57</v>
      </c>
      <c r="G1962" t="s">
        <v>354</v>
      </c>
      <c r="H1962" s="8">
        <v>4635.58</v>
      </c>
      <c r="I1962" s="8">
        <v>535.1</v>
      </c>
      <c r="J1962" s="8">
        <v>0.12</v>
      </c>
      <c r="K1962" t="str">
        <f>IF(SalesData[[#This Row],[Profit]]&gt;0,"Profit","Loss")</f>
        <v>Profit</v>
      </c>
      <c r="L1962" s="8">
        <f>SalesData[[#This Row],[Profit]]/SalesData[[#This Row],[Sales]]</f>
        <v>0.11543323597047188</v>
      </c>
      <c r="M1962" t="str">
        <f>TEXT(SalesData[[#This Row],[Order_Date]],"mmm")</f>
        <v>Jul</v>
      </c>
      <c r="N1962">
        <f>YEAR(SalesData[[#This Row],[Order_Date]])</f>
        <v>2022</v>
      </c>
    </row>
    <row r="1963" spans="1:14" x14ac:dyDescent="0.3">
      <c r="A1963" t="s">
        <v>3205</v>
      </c>
      <c r="B1963" s="1">
        <v>44583</v>
      </c>
      <c r="C1963" t="s">
        <v>3206</v>
      </c>
      <c r="D1963" t="s">
        <v>18</v>
      </c>
      <c r="E1963" t="s">
        <v>13</v>
      </c>
      <c r="F1963" t="s">
        <v>36</v>
      </c>
      <c r="G1963" t="s">
        <v>882</v>
      </c>
      <c r="H1963" s="8">
        <v>490.42</v>
      </c>
      <c r="I1963" s="8">
        <v>87.27</v>
      </c>
      <c r="J1963" s="8">
        <v>0.19</v>
      </c>
      <c r="K1963" t="str">
        <f>IF(SalesData[[#This Row],[Profit]]&gt;0,"Profit","Loss")</f>
        <v>Profit</v>
      </c>
      <c r="L1963" s="8">
        <f>SalesData[[#This Row],[Profit]]/SalesData[[#This Row],[Sales]]</f>
        <v>0.17794951266261572</v>
      </c>
      <c r="M1963" t="str">
        <f>TEXT(SalesData[[#This Row],[Order_Date]],"mmm")</f>
        <v>Jan</v>
      </c>
      <c r="N1963">
        <f>YEAR(SalesData[[#This Row],[Order_Date]])</f>
        <v>2022</v>
      </c>
    </row>
    <row r="1964" spans="1:14" x14ac:dyDescent="0.3">
      <c r="A1964" t="s">
        <v>3207</v>
      </c>
      <c r="B1964" s="1">
        <v>44987</v>
      </c>
      <c r="C1964" t="s">
        <v>1677</v>
      </c>
      <c r="D1964" t="s">
        <v>28</v>
      </c>
      <c r="E1964" t="s">
        <v>13</v>
      </c>
      <c r="F1964" t="s">
        <v>24</v>
      </c>
      <c r="G1964" t="s">
        <v>125</v>
      </c>
      <c r="H1964" s="8">
        <v>1365.15</v>
      </c>
      <c r="I1964" s="8">
        <v>4.21</v>
      </c>
      <c r="J1964" s="8">
        <v>0.2</v>
      </c>
      <c r="K1964" t="str">
        <f>IF(SalesData[[#This Row],[Profit]]&gt;0,"Profit","Loss")</f>
        <v>Profit</v>
      </c>
      <c r="L1964" s="8">
        <f>SalesData[[#This Row],[Profit]]/SalesData[[#This Row],[Sales]]</f>
        <v>3.0839101930190821E-3</v>
      </c>
      <c r="M1964" t="str">
        <f>TEXT(SalesData[[#This Row],[Order_Date]],"mmm")</f>
        <v>Mar</v>
      </c>
      <c r="N1964">
        <f>YEAR(SalesData[[#This Row],[Order_Date]])</f>
        <v>2023</v>
      </c>
    </row>
    <row r="1965" spans="1:14" x14ac:dyDescent="0.3">
      <c r="A1965" t="s">
        <v>3208</v>
      </c>
      <c r="B1965" s="1">
        <v>45117</v>
      </c>
      <c r="C1965" t="s">
        <v>1215</v>
      </c>
      <c r="D1965" t="s">
        <v>12</v>
      </c>
      <c r="E1965" t="s">
        <v>13</v>
      </c>
      <c r="F1965" t="s">
        <v>14</v>
      </c>
      <c r="G1965" t="s">
        <v>730</v>
      </c>
      <c r="H1965" s="8">
        <v>1871.01</v>
      </c>
      <c r="I1965" s="8">
        <v>-480.35</v>
      </c>
      <c r="J1965" s="8">
        <v>0.23</v>
      </c>
      <c r="K1965" t="str">
        <f>IF(SalesData[[#This Row],[Profit]]&gt;0,"Profit","Loss")</f>
        <v>Loss</v>
      </c>
      <c r="L1965" s="8">
        <f>SalesData[[#This Row],[Profit]]/SalesData[[#This Row],[Sales]]</f>
        <v>-0.25673299447891784</v>
      </c>
      <c r="M1965" t="str">
        <f>TEXT(SalesData[[#This Row],[Order_Date]],"mmm")</f>
        <v>Jul</v>
      </c>
      <c r="N1965">
        <f>YEAR(SalesData[[#This Row],[Order_Date]])</f>
        <v>2023</v>
      </c>
    </row>
    <row r="1966" spans="1:14" x14ac:dyDescent="0.3">
      <c r="A1966" t="s">
        <v>3209</v>
      </c>
      <c r="B1966" s="1">
        <v>44838</v>
      </c>
      <c r="C1966" t="s">
        <v>159</v>
      </c>
      <c r="D1966" t="s">
        <v>12</v>
      </c>
      <c r="E1966" t="s">
        <v>56</v>
      </c>
      <c r="F1966" t="s">
        <v>57</v>
      </c>
      <c r="G1966" t="s">
        <v>312</v>
      </c>
      <c r="H1966" s="8">
        <v>4279.8500000000004</v>
      </c>
      <c r="I1966" s="8">
        <v>-240.82</v>
      </c>
      <c r="J1966" s="8">
        <v>0</v>
      </c>
      <c r="K1966" t="str">
        <f>IF(SalesData[[#This Row],[Profit]]&gt;0,"Profit","Loss")</f>
        <v>Loss</v>
      </c>
      <c r="L1966" s="8">
        <f>SalesData[[#This Row],[Profit]]/SalesData[[#This Row],[Sales]]</f>
        <v>-5.6268327160998624E-2</v>
      </c>
      <c r="M1966" t="str">
        <f>TEXT(SalesData[[#This Row],[Order_Date]],"mmm")</f>
        <v>Oct</v>
      </c>
      <c r="N1966">
        <f>YEAR(SalesData[[#This Row],[Order_Date]])</f>
        <v>2022</v>
      </c>
    </row>
    <row r="1967" spans="1:14" x14ac:dyDescent="0.3">
      <c r="A1967" t="s">
        <v>3210</v>
      </c>
      <c r="B1967" s="1">
        <v>45038</v>
      </c>
      <c r="C1967" t="s">
        <v>174</v>
      </c>
      <c r="D1967" t="s">
        <v>12</v>
      </c>
      <c r="E1967" t="s">
        <v>19</v>
      </c>
      <c r="F1967" t="s">
        <v>29</v>
      </c>
      <c r="G1967" t="s">
        <v>1313</v>
      </c>
      <c r="H1967" s="8">
        <v>695.05</v>
      </c>
      <c r="I1967" s="8">
        <v>26.22</v>
      </c>
      <c r="J1967" s="8">
        <v>0.23</v>
      </c>
      <c r="K1967" t="str">
        <f>IF(SalesData[[#This Row],[Profit]]&gt;0,"Profit","Loss")</f>
        <v>Profit</v>
      </c>
      <c r="L1967" s="8">
        <f>SalesData[[#This Row],[Profit]]/SalesData[[#This Row],[Sales]]</f>
        <v>3.7723904755053592E-2</v>
      </c>
      <c r="M1967" t="str">
        <f>TEXT(SalesData[[#This Row],[Order_Date]],"mmm")</f>
        <v>Apr</v>
      </c>
      <c r="N1967">
        <f>YEAR(SalesData[[#This Row],[Order_Date]])</f>
        <v>2023</v>
      </c>
    </row>
    <row r="1968" spans="1:14" x14ac:dyDescent="0.3">
      <c r="A1968" t="s">
        <v>3211</v>
      </c>
      <c r="B1968" s="1">
        <v>44923</v>
      </c>
      <c r="C1968" t="s">
        <v>3212</v>
      </c>
      <c r="D1968" t="s">
        <v>28</v>
      </c>
      <c r="E1968" t="s">
        <v>13</v>
      </c>
      <c r="F1968" t="s">
        <v>24</v>
      </c>
      <c r="G1968" t="s">
        <v>1877</v>
      </c>
      <c r="H1968" s="8">
        <v>1463.67</v>
      </c>
      <c r="I1968" s="8">
        <v>370.89</v>
      </c>
      <c r="J1968" s="8">
        <v>0.02</v>
      </c>
      <c r="K1968" t="str">
        <f>IF(SalesData[[#This Row],[Profit]]&gt;0,"Profit","Loss")</f>
        <v>Profit</v>
      </c>
      <c r="L1968" s="8">
        <f>SalesData[[#This Row],[Profit]]/SalesData[[#This Row],[Sales]]</f>
        <v>0.25339728217426055</v>
      </c>
      <c r="M1968" t="str">
        <f>TEXT(SalesData[[#This Row],[Order_Date]],"mmm")</f>
        <v>Dec</v>
      </c>
      <c r="N1968">
        <f>YEAR(SalesData[[#This Row],[Order_Date]])</f>
        <v>2022</v>
      </c>
    </row>
    <row r="1969" spans="1:14" x14ac:dyDescent="0.3">
      <c r="A1969" t="s">
        <v>3213</v>
      </c>
      <c r="B1969" s="1">
        <v>45197</v>
      </c>
      <c r="C1969" t="s">
        <v>2212</v>
      </c>
      <c r="D1969" t="s">
        <v>12</v>
      </c>
      <c r="E1969" t="s">
        <v>56</v>
      </c>
      <c r="F1969" t="s">
        <v>73</v>
      </c>
      <c r="G1969" t="s">
        <v>843</v>
      </c>
      <c r="H1969" s="8">
        <v>4730.21</v>
      </c>
      <c r="I1969" s="8">
        <v>598.62</v>
      </c>
      <c r="J1969" s="8">
        <v>0.22</v>
      </c>
      <c r="K1969" t="str">
        <f>IF(SalesData[[#This Row],[Profit]]&gt;0,"Profit","Loss")</f>
        <v>Profit</v>
      </c>
      <c r="L1969" s="8">
        <f>SalesData[[#This Row],[Profit]]/SalesData[[#This Row],[Sales]]</f>
        <v>0.12655252092401817</v>
      </c>
      <c r="M1969" t="str">
        <f>TEXT(SalesData[[#This Row],[Order_Date]],"mmm")</f>
        <v>Sep</v>
      </c>
      <c r="N1969">
        <f>YEAR(SalesData[[#This Row],[Order_Date]])</f>
        <v>2023</v>
      </c>
    </row>
    <row r="1970" spans="1:14" x14ac:dyDescent="0.3">
      <c r="A1970" t="s">
        <v>3214</v>
      </c>
      <c r="B1970" s="1">
        <v>44760</v>
      </c>
      <c r="C1970" t="s">
        <v>779</v>
      </c>
      <c r="D1970" t="s">
        <v>40</v>
      </c>
      <c r="E1970" t="s">
        <v>56</v>
      </c>
      <c r="F1970" t="s">
        <v>57</v>
      </c>
      <c r="G1970" t="s">
        <v>826</v>
      </c>
      <c r="H1970" s="8">
        <v>1776.3</v>
      </c>
      <c r="I1970" s="8">
        <v>95.42</v>
      </c>
      <c r="J1970" s="8">
        <v>0.16</v>
      </c>
      <c r="K1970" t="str">
        <f>IF(SalesData[[#This Row],[Profit]]&gt;0,"Profit","Loss")</f>
        <v>Profit</v>
      </c>
      <c r="L1970" s="8">
        <f>SalesData[[#This Row],[Profit]]/SalesData[[#This Row],[Sales]]</f>
        <v>5.3718403422845243E-2</v>
      </c>
      <c r="M1970" t="str">
        <f>TEXT(SalesData[[#This Row],[Order_Date]],"mmm")</f>
        <v>Jul</v>
      </c>
      <c r="N1970">
        <f>YEAR(SalesData[[#This Row],[Order_Date]])</f>
        <v>2022</v>
      </c>
    </row>
    <row r="1971" spans="1:14" x14ac:dyDescent="0.3">
      <c r="A1971" t="s">
        <v>3215</v>
      </c>
      <c r="B1971" s="1">
        <v>44974</v>
      </c>
      <c r="C1971" t="s">
        <v>2717</v>
      </c>
      <c r="D1971" t="s">
        <v>18</v>
      </c>
      <c r="E1971" t="s">
        <v>19</v>
      </c>
      <c r="F1971" t="s">
        <v>29</v>
      </c>
      <c r="G1971" t="s">
        <v>2550</v>
      </c>
      <c r="H1971" s="8">
        <v>3984.06</v>
      </c>
      <c r="I1971" s="8">
        <v>615</v>
      </c>
      <c r="J1971" s="8">
        <v>0.13</v>
      </c>
      <c r="K1971" t="str">
        <f>IF(SalesData[[#This Row],[Profit]]&gt;0,"Profit","Loss")</f>
        <v>Profit</v>
      </c>
      <c r="L1971" s="8">
        <f>SalesData[[#This Row],[Profit]]/SalesData[[#This Row],[Sales]]</f>
        <v>0.1543651451032364</v>
      </c>
      <c r="M1971" t="str">
        <f>TEXT(SalesData[[#This Row],[Order_Date]],"mmm")</f>
        <v>Feb</v>
      </c>
      <c r="N1971">
        <f>YEAR(SalesData[[#This Row],[Order_Date]])</f>
        <v>2023</v>
      </c>
    </row>
    <row r="1972" spans="1:14" x14ac:dyDescent="0.3">
      <c r="A1972" t="s">
        <v>3216</v>
      </c>
      <c r="B1972" s="1">
        <v>44794</v>
      </c>
      <c r="C1972" t="s">
        <v>2533</v>
      </c>
      <c r="D1972" t="s">
        <v>28</v>
      </c>
      <c r="E1972" t="s">
        <v>13</v>
      </c>
      <c r="F1972" t="s">
        <v>24</v>
      </c>
      <c r="G1972" t="s">
        <v>1466</v>
      </c>
      <c r="H1972" s="8">
        <v>2468.77</v>
      </c>
      <c r="I1972" s="8">
        <v>94.83</v>
      </c>
      <c r="J1972" s="8">
        <v>0.18</v>
      </c>
      <c r="K1972" t="str">
        <f>IF(SalesData[[#This Row],[Profit]]&gt;0,"Profit","Loss")</f>
        <v>Profit</v>
      </c>
      <c r="L1972" s="8">
        <f>SalesData[[#This Row],[Profit]]/SalesData[[#This Row],[Sales]]</f>
        <v>3.8411840714201811E-2</v>
      </c>
      <c r="M1972" t="str">
        <f>TEXT(SalesData[[#This Row],[Order_Date]],"mmm")</f>
        <v>Aug</v>
      </c>
      <c r="N1972">
        <f>YEAR(SalesData[[#This Row],[Order_Date]])</f>
        <v>2022</v>
      </c>
    </row>
    <row r="1973" spans="1:14" x14ac:dyDescent="0.3">
      <c r="A1973" t="s">
        <v>3217</v>
      </c>
      <c r="B1973" s="1">
        <v>44599</v>
      </c>
      <c r="C1973" t="s">
        <v>880</v>
      </c>
      <c r="D1973" t="s">
        <v>18</v>
      </c>
      <c r="E1973" t="s">
        <v>19</v>
      </c>
      <c r="F1973" t="s">
        <v>29</v>
      </c>
      <c r="G1973" t="s">
        <v>1074</v>
      </c>
      <c r="H1973" s="8">
        <v>1678.85</v>
      </c>
      <c r="I1973" s="8">
        <v>386.11</v>
      </c>
      <c r="J1973" s="8">
        <v>0.11</v>
      </c>
      <c r="K1973" t="str">
        <f>IF(SalesData[[#This Row],[Profit]]&gt;0,"Profit","Loss")</f>
        <v>Profit</v>
      </c>
      <c r="L1973" s="8">
        <f>SalesData[[#This Row],[Profit]]/SalesData[[#This Row],[Sales]]</f>
        <v>0.22998481103136079</v>
      </c>
      <c r="M1973" t="str">
        <f>TEXT(SalesData[[#This Row],[Order_Date]],"mmm")</f>
        <v>Feb</v>
      </c>
      <c r="N1973">
        <f>YEAR(SalesData[[#This Row],[Order_Date]])</f>
        <v>2022</v>
      </c>
    </row>
    <row r="1974" spans="1:14" x14ac:dyDescent="0.3">
      <c r="A1974" t="s">
        <v>3218</v>
      </c>
      <c r="B1974" s="1">
        <v>44908</v>
      </c>
      <c r="C1974" t="s">
        <v>3190</v>
      </c>
      <c r="D1974" t="s">
        <v>12</v>
      </c>
      <c r="E1974" t="s">
        <v>13</v>
      </c>
      <c r="F1974" t="s">
        <v>36</v>
      </c>
      <c r="G1974" t="s">
        <v>108</v>
      </c>
      <c r="H1974" s="8">
        <v>183.89</v>
      </c>
      <c r="I1974" s="8">
        <v>-32.450000000000003</v>
      </c>
      <c r="J1974" s="8">
        <v>0.2</v>
      </c>
      <c r="K1974" t="str">
        <f>IF(SalesData[[#This Row],[Profit]]&gt;0,"Profit","Loss")</f>
        <v>Loss</v>
      </c>
      <c r="L1974" s="8">
        <f>SalesData[[#This Row],[Profit]]/SalesData[[#This Row],[Sales]]</f>
        <v>-0.17646419054869761</v>
      </c>
      <c r="M1974" t="str">
        <f>TEXT(SalesData[[#This Row],[Order_Date]],"mmm")</f>
        <v>Dec</v>
      </c>
      <c r="N1974">
        <f>YEAR(SalesData[[#This Row],[Order_Date]])</f>
        <v>2022</v>
      </c>
    </row>
    <row r="1975" spans="1:14" x14ac:dyDescent="0.3">
      <c r="A1975" t="s">
        <v>3219</v>
      </c>
      <c r="B1975" s="1">
        <v>45136</v>
      </c>
      <c r="C1975" t="s">
        <v>2212</v>
      </c>
      <c r="D1975" t="s">
        <v>12</v>
      </c>
      <c r="E1975" t="s">
        <v>19</v>
      </c>
      <c r="F1975" t="s">
        <v>29</v>
      </c>
      <c r="G1975" t="s">
        <v>1703</v>
      </c>
      <c r="H1975" s="8">
        <v>517.6</v>
      </c>
      <c r="I1975" s="8">
        <v>-48.25</v>
      </c>
      <c r="J1975" s="8">
        <v>0.25</v>
      </c>
      <c r="K1975" t="str">
        <f>IF(SalesData[[#This Row],[Profit]]&gt;0,"Profit","Loss")</f>
        <v>Loss</v>
      </c>
      <c r="L1975" s="8">
        <f>SalesData[[#This Row],[Profit]]/SalesData[[#This Row],[Sales]]</f>
        <v>-9.321870170015456E-2</v>
      </c>
      <c r="M1975" t="str">
        <f>TEXT(SalesData[[#This Row],[Order_Date]],"mmm")</f>
        <v>Jul</v>
      </c>
      <c r="N1975">
        <f>YEAR(SalesData[[#This Row],[Order_Date]])</f>
        <v>2023</v>
      </c>
    </row>
    <row r="1976" spans="1:14" x14ac:dyDescent="0.3">
      <c r="A1976" t="s">
        <v>3220</v>
      </c>
      <c r="B1976" s="1">
        <v>44910</v>
      </c>
      <c r="C1976" t="s">
        <v>1785</v>
      </c>
      <c r="D1976" t="s">
        <v>12</v>
      </c>
      <c r="E1976" t="s">
        <v>56</v>
      </c>
      <c r="F1976" t="s">
        <v>95</v>
      </c>
      <c r="G1976" t="s">
        <v>766</v>
      </c>
      <c r="H1976" s="8">
        <v>2522.29</v>
      </c>
      <c r="I1976" s="8">
        <v>-162.58000000000001</v>
      </c>
      <c r="J1976" s="8">
        <v>0.3</v>
      </c>
      <c r="K1976" t="str">
        <f>IF(SalesData[[#This Row],[Profit]]&gt;0,"Profit","Loss")</f>
        <v>Loss</v>
      </c>
      <c r="L1976" s="8">
        <f>SalesData[[#This Row],[Profit]]/SalesData[[#This Row],[Sales]]</f>
        <v>-6.4457298724571718E-2</v>
      </c>
      <c r="M1976" t="str">
        <f>TEXT(SalesData[[#This Row],[Order_Date]],"mmm")</f>
        <v>Dec</v>
      </c>
      <c r="N1976">
        <f>YEAR(SalesData[[#This Row],[Order_Date]])</f>
        <v>2022</v>
      </c>
    </row>
    <row r="1977" spans="1:14" x14ac:dyDescent="0.3">
      <c r="A1977" t="s">
        <v>3221</v>
      </c>
      <c r="B1977" s="1">
        <v>44601</v>
      </c>
      <c r="C1977" t="s">
        <v>808</v>
      </c>
      <c r="D1977" t="s">
        <v>12</v>
      </c>
      <c r="E1977" t="s">
        <v>13</v>
      </c>
      <c r="F1977" t="s">
        <v>36</v>
      </c>
      <c r="G1977" t="s">
        <v>417</v>
      </c>
      <c r="H1977" s="8">
        <v>1305.58</v>
      </c>
      <c r="I1977" s="8">
        <v>-136.58000000000001</v>
      </c>
      <c r="J1977" s="8">
        <v>0.16</v>
      </c>
      <c r="K1977" t="str">
        <f>IF(SalesData[[#This Row],[Profit]]&gt;0,"Profit","Loss")</f>
        <v>Loss</v>
      </c>
      <c r="L1977" s="8">
        <f>SalesData[[#This Row],[Profit]]/SalesData[[#This Row],[Sales]]</f>
        <v>-0.10461250938280306</v>
      </c>
      <c r="M1977" t="str">
        <f>TEXT(SalesData[[#This Row],[Order_Date]],"mmm")</f>
        <v>Feb</v>
      </c>
      <c r="N1977">
        <f>YEAR(SalesData[[#This Row],[Order_Date]])</f>
        <v>2022</v>
      </c>
    </row>
    <row r="1978" spans="1:14" x14ac:dyDescent="0.3">
      <c r="A1978" t="s">
        <v>3222</v>
      </c>
      <c r="B1978" s="1">
        <v>44950</v>
      </c>
      <c r="C1978" t="s">
        <v>60</v>
      </c>
      <c r="D1978" t="s">
        <v>40</v>
      </c>
      <c r="E1978" t="s">
        <v>19</v>
      </c>
      <c r="F1978" t="s">
        <v>141</v>
      </c>
      <c r="G1978" t="s">
        <v>1578</v>
      </c>
      <c r="H1978" s="8">
        <v>4823.9799999999996</v>
      </c>
      <c r="I1978" s="8">
        <v>-410.19</v>
      </c>
      <c r="J1978" s="8">
        <v>0.04</v>
      </c>
      <c r="K1978" t="str">
        <f>IF(SalesData[[#This Row],[Profit]]&gt;0,"Profit","Loss")</f>
        <v>Loss</v>
      </c>
      <c r="L1978" s="8">
        <f>SalesData[[#This Row],[Profit]]/SalesData[[#This Row],[Sales]]</f>
        <v>-8.5031447062384177E-2</v>
      </c>
      <c r="M1978" t="str">
        <f>TEXT(SalesData[[#This Row],[Order_Date]],"mmm")</f>
        <v>Jan</v>
      </c>
      <c r="N1978">
        <f>YEAR(SalesData[[#This Row],[Order_Date]])</f>
        <v>2023</v>
      </c>
    </row>
    <row r="1979" spans="1:14" x14ac:dyDescent="0.3">
      <c r="A1979" t="s">
        <v>3223</v>
      </c>
      <c r="B1979" s="1">
        <v>44869</v>
      </c>
      <c r="C1979" t="s">
        <v>696</v>
      </c>
      <c r="D1979" t="s">
        <v>12</v>
      </c>
      <c r="E1979" t="s">
        <v>19</v>
      </c>
      <c r="F1979" t="s">
        <v>20</v>
      </c>
      <c r="G1979" t="s">
        <v>1529</v>
      </c>
      <c r="H1979" s="8">
        <v>4878.13</v>
      </c>
      <c r="I1979" s="8">
        <v>-53.79</v>
      </c>
      <c r="J1979" s="8">
        <v>0.11</v>
      </c>
      <c r="K1979" t="str">
        <f>IF(SalesData[[#This Row],[Profit]]&gt;0,"Profit","Loss")</f>
        <v>Loss</v>
      </c>
      <c r="L1979" s="8">
        <f>SalesData[[#This Row],[Profit]]/SalesData[[#This Row],[Sales]]</f>
        <v>-1.1026766404339368E-2</v>
      </c>
      <c r="M1979" t="str">
        <f>TEXT(SalesData[[#This Row],[Order_Date]],"mmm")</f>
        <v>Nov</v>
      </c>
      <c r="N1979">
        <f>YEAR(SalesData[[#This Row],[Order_Date]])</f>
        <v>2022</v>
      </c>
    </row>
    <row r="1980" spans="1:14" x14ac:dyDescent="0.3">
      <c r="A1980" t="s">
        <v>3224</v>
      </c>
      <c r="B1980" s="1">
        <v>45099</v>
      </c>
      <c r="C1980" t="s">
        <v>522</v>
      </c>
      <c r="D1980" t="s">
        <v>12</v>
      </c>
      <c r="E1980" t="s">
        <v>19</v>
      </c>
      <c r="F1980" t="s">
        <v>29</v>
      </c>
      <c r="G1980" t="s">
        <v>58</v>
      </c>
      <c r="H1980" s="8">
        <v>1005.4</v>
      </c>
      <c r="I1980" s="8">
        <v>-148.34</v>
      </c>
      <c r="J1980" s="8">
        <v>0.03</v>
      </c>
      <c r="K1980" t="str">
        <f>IF(SalesData[[#This Row],[Profit]]&gt;0,"Profit","Loss")</f>
        <v>Loss</v>
      </c>
      <c r="L1980" s="8">
        <f>SalesData[[#This Row],[Profit]]/SalesData[[#This Row],[Sales]]</f>
        <v>-0.14754326636164711</v>
      </c>
      <c r="M1980" t="str">
        <f>TEXT(SalesData[[#This Row],[Order_Date]],"mmm")</f>
        <v>Jun</v>
      </c>
      <c r="N1980">
        <f>YEAR(SalesData[[#This Row],[Order_Date]])</f>
        <v>2023</v>
      </c>
    </row>
    <row r="1981" spans="1:14" x14ac:dyDescent="0.3">
      <c r="A1981" t="s">
        <v>3225</v>
      </c>
      <c r="B1981" s="1">
        <v>44688</v>
      </c>
      <c r="C1981" t="s">
        <v>1792</v>
      </c>
      <c r="D1981" t="s">
        <v>18</v>
      </c>
      <c r="E1981" t="s">
        <v>56</v>
      </c>
      <c r="F1981" t="s">
        <v>57</v>
      </c>
      <c r="G1981" t="s">
        <v>669</v>
      </c>
      <c r="H1981" s="8">
        <v>4875.7299999999996</v>
      </c>
      <c r="I1981" s="8">
        <v>-1165.3599999999999</v>
      </c>
      <c r="J1981" s="8">
        <v>0.23</v>
      </c>
      <c r="K1981" t="str">
        <f>IF(SalesData[[#This Row],[Profit]]&gt;0,"Profit","Loss")</f>
        <v>Loss</v>
      </c>
      <c r="L1981" s="8">
        <f>SalesData[[#This Row],[Profit]]/SalesData[[#This Row],[Sales]]</f>
        <v>-0.23901241455125694</v>
      </c>
      <c r="M1981" t="str">
        <f>TEXT(SalesData[[#This Row],[Order_Date]],"mmm")</f>
        <v>May</v>
      </c>
      <c r="N1981">
        <f>YEAR(SalesData[[#This Row],[Order_Date]])</f>
        <v>2022</v>
      </c>
    </row>
    <row r="1982" spans="1:14" x14ac:dyDescent="0.3">
      <c r="A1982" t="s">
        <v>3226</v>
      </c>
      <c r="B1982" s="1">
        <v>45116</v>
      </c>
      <c r="C1982" t="s">
        <v>1396</v>
      </c>
      <c r="D1982" t="s">
        <v>40</v>
      </c>
      <c r="E1982" t="s">
        <v>56</v>
      </c>
      <c r="F1982" t="s">
        <v>57</v>
      </c>
      <c r="G1982" t="s">
        <v>1697</v>
      </c>
      <c r="H1982" s="8">
        <v>340.49</v>
      </c>
      <c r="I1982" s="8">
        <v>56.65</v>
      </c>
      <c r="J1982" s="8">
        <v>0.09</v>
      </c>
      <c r="K1982" t="str">
        <f>IF(SalesData[[#This Row],[Profit]]&gt;0,"Profit","Loss")</f>
        <v>Profit</v>
      </c>
      <c r="L1982" s="8">
        <f>SalesData[[#This Row],[Profit]]/SalesData[[#This Row],[Sales]]</f>
        <v>0.16637786719140063</v>
      </c>
      <c r="M1982" t="str">
        <f>TEXT(SalesData[[#This Row],[Order_Date]],"mmm")</f>
        <v>Jul</v>
      </c>
      <c r="N1982">
        <f>YEAR(SalesData[[#This Row],[Order_Date]])</f>
        <v>2023</v>
      </c>
    </row>
    <row r="1983" spans="1:14" x14ac:dyDescent="0.3">
      <c r="A1983" t="s">
        <v>3227</v>
      </c>
      <c r="B1983" s="1">
        <v>44603</v>
      </c>
      <c r="C1983" t="s">
        <v>1800</v>
      </c>
      <c r="D1983" t="s">
        <v>28</v>
      </c>
      <c r="E1983" t="s">
        <v>13</v>
      </c>
      <c r="F1983" t="s">
        <v>24</v>
      </c>
      <c r="G1983" t="s">
        <v>450</v>
      </c>
      <c r="H1983" s="8">
        <v>1557.98</v>
      </c>
      <c r="I1983" s="8">
        <v>-29.01</v>
      </c>
      <c r="J1983" s="8">
        <v>0.27</v>
      </c>
      <c r="K1983" t="str">
        <f>IF(SalesData[[#This Row],[Profit]]&gt;0,"Profit","Loss")</f>
        <v>Loss</v>
      </c>
      <c r="L1983" s="8">
        <f>SalesData[[#This Row],[Profit]]/SalesData[[#This Row],[Sales]]</f>
        <v>-1.8620264701729162E-2</v>
      </c>
      <c r="M1983" t="str">
        <f>TEXT(SalesData[[#This Row],[Order_Date]],"mmm")</f>
        <v>Feb</v>
      </c>
      <c r="N1983">
        <f>YEAR(SalesData[[#This Row],[Order_Date]])</f>
        <v>2022</v>
      </c>
    </row>
    <row r="1984" spans="1:14" x14ac:dyDescent="0.3">
      <c r="A1984" t="s">
        <v>3228</v>
      </c>
      <c r="B1984" s="1">
        <v>45164</v>
      </c>
      <c r="C1984" t="s">
        <v>1153</v>
      </c>
      <c r="D1984" t="s">
        <v>12</v>
      </c>
      <c r="E1984" t="s">
        <v>13</v>
      </c>
      <c r="F1984" t="s">
        <v>36</v>
      </c>
      <c r="G1984" t="s">
        <v>1287</v>
      </c>
      <c r="H1984" s="8">
        <v>1418.34</v>
      </c>
      <c r="I1984" s="8">
        <v>-253.53</v>
      </c>
      <c r="J1984" s="8">
        <v>0.02</v>
      </c>
      <c r="K1984" t="str">
        <f>IF(SalesData[[#This Row],[Profit]]&gt;0,"Profit","Loss")</f>
        <v>Loss</v>
      </c>
      <c r="L1984" s="8">
        <f>SalesData[[#This Row],[Profit]]/SalesData[[#This Row],[Sales]]</f>
        <v>-0.17875121621049961</v>
      </c>
      <c r="M1984" t="str">
        <f>TEXT(SalesData[[#This Row],[Order_Date]],"mmm")</f>
        <v>Aug</v>
      </c>
      <c r="N1984">
        <f>YEAR(SalesData[[#This Row],[Order_Date]])</f>
        <v>2023</v>
      </c>
    </row>
    <row r="1985" spans="1:14" x14ac:dyDescent="0.3">
      <c r="A1985" t="s">
        <v>3229</v>
      </c>
      <c r="B1985" s="1">
        <v>44832</v>
      </c>
      <c r="C1985" t="s">
        <v>3230</v>
      </c>
      <c r="D1985" t="s">
        <v>18</v>
      </c>
      <c r="E1985" t="s">
        <v>19</v>
      </c>
      <c r="F1985" t="s">
        <v>20</v>
      </c>
      <c r="G1985" t="s">
        <v>3231</v>
      </c>
      <c r="H1985" s="8">
        <v>2399.19</v>
      </c>
      <c r="I1985" s="8">
        <v>36.42</v>
      </c>
      <c r="J1985" s="8">
        <v>0.11</v>
      </c>
      <c r="K1985" t="str">
        <f>IF(SalesData[[#This Row],[Profit]]&gt;0,"Profit","Loss")</f>
        <v>Profit</v>
      </c>
      <c r="L1985" s="8">
        <f>SalesData[[#This Row],[Profit]]/SalesData[[#This Row],[Sales]]</f>
        <v>1.518012329161092E-2</v>
      </c>
      <c r="M1985" t="str">
        <f>TEXT(SalesData[[#This Row],[Order_Date]],"mmm")</f>
        <v>Sep</v>
      </c>
      <c r="N1985">
        <f>YEAR(SalesData[[#This Row],[Order_Date]])</f>
        <v>2022</v>
      </c>
    </row>
    <row r="1986" spans="1:14" x14ac:dyDescent="0.3">
      <c r="A1986" t="s">
        <v>3232</v>
      </c>
      <c r="B1986" s="1">
        <v>44668</v>
      </c>
      <c r="C1986" t="s">
        <v>1169</v>
      </c>
      <c r="D1986" t="s">
        <v>12</v>
      </c>
      <c r="E1986" t="s">
        <v>19</v>
      </c>
      <c r="F1986" t="s">
        <v>20</v>
      </c>
      <c r="G1986" t="s">
        <v>233</v>
      </c>
      <c r="H1986" s="8">
        <v>1007.13</v>
      </c>
      <c r="I1986" s="8">
        <v>-60.01</v>
      </c>
      <c r="J1986" s="8">
        <v>0.28000000000000003</v>
      </c>
      <c r="K1986" t="str">
        <f>IF(SalesData[[#This Row],[Profit]]&gt;0,"Profit","Loss")</f>
        <v>Loss</v>
      </c>
      <c r="L1986" s="8">
        <f>SalesData[[#This Row],[Profit]]/SalesData[[#This Row],[Sales]]</f>
        <v>-5.9585157824709814E-2</v>
      </c>
      <c r="M1986" t="str">
        <f>TEXT(SalesData[[#This Row],[Order_Date]],"mmm")</f>
        <v>Apr</v>
      </c>
      <c r="N1986">
        <f>YEAR(SalesData[[#This Row],[Order_Date]])</f>
        <v>2022</v>
      </c>
    </row>
    <row r="1987" spans="1:14" x14ac:dyDescent="0.3">
      <c r="A1987" t="s">
        <v>3233</v>
      </c>
      <c r="B1987" s="1">
        <v>45260</v>
      </c>
      <c r="C1987" t="s">
        <v>3234</v>
      </c>
      <c r="D1987" t="s">
        <v>18</v>
      </c>
      <c r="E1987" t="s">
        <v>56</v>
      </c>
      <c r="F1987" t="s">
        <v>73</v>
      </c>
      <c r="G1987" t="s">
        <v>3235</v>
      </c>
      <c r="H1987" s="8">
        <v>3569.99</v>
      </c>
      <c r="I1987" s="8">
        <v>1158.02</v>
      </c>
      <c r="J1987" s="8">
        <v>0.05</v>
      </c>
      <c r="K1987" t="str">
        <f>IF(SalesData[[#This Row],[Profit]]&gt;0,"Profit","Loss")</f>
        <v>Profit</v>
      </c>
      <c r="L1987" s="8">
        <f>SalesData[[#This Row],[Profit]]/SalesData[[#This Row],[Sales]]</f>
        <v>0.32437625875702736</v>
      </c>
      <c r="M1987" t="str">
        <f>TEXT(SalesData[[#This Row],[Order_Date]],"mmm")</f>
        <v>Nov</v>
      </c>
      <c r="N1987">
        <f>YEAR(SalesData[[#This Row],[Order_Date]])</f>
        <v>2023</v>
      </c>
    </row>
    <row r="1988" spans="1:14" x14ac:dyDescent="0.3">
      <c r="A1988" t="s">
        <v>3236</v>
      </c>
      <c r="B1988" s="1">
        <v>44754</v>
      </c>
      <c r="C1988" t="s">
        <v>842</v>
      </c>
      <c r="D1988" t="s">
        <v>18</v>
      </c>
      <c r="E1988" t="s">
        <v>56</v>
      </c>
      <c r="F1988" t="s">
        <v>73</v>
      </c>
      <c r="G1988" t="s">
        <v>1386</v>
      </c>
      <c r="H1988" s="8">
        <v>2662.58</v>
      </c>
      <c r="I1988" s="8">
        <v>523.99</v>
      </c>
      <c r="J1988" s="8">
        <v>0.08</v>
      </c>
      <c r="K1988" t="str">
        <f>IF(SalesData[[#This Row],[Profit]]&gt;0,"Profit","Loss")</f>
        <v>Profit</v>
      </c>
      <c r="L1988" s="8">
        <f>SalesData[[#This Row],[Profit]]/SalesData[[#This Row],[Sales]]</f>
        <v>0.19679784269392844</v>
      </c>
      <c r="M1988" t="str">
        <f>TEXT(SalesData[[#This Row],[Order_Date]],"mmm")</f>
        <v>Jul</v>
      </c>
      <c r="N1988">
        <f>YEAR(SalesData[[#This Row],[Order_Date]])</f>
        <v>2022</v>
      </c>
    </row>
    <row r="1989" spans="1:14" x14ac:dyDescent="0.3">
      <c r="A1989" t="s">
        <v>3237</v>
      </c>
      <c r="B1989" s="1">
        <v>44861</v>
      </c>
      <c r="C1989" t="s">
        <v>1118</v>
      </c>
      <c r="D1989" t="s">
        <v>18</v>
      </c>
      <c r="E1989" t="s">
        <v>19</v>
      </c>
      <c r="F1989" t="s">
        <v>20</v>
      </c>
      <c r="G1989" t="s">
        <v>488</v>
      </c>
      <c r="H1989" s="8">
        <v>3104.96</v>
      </c>
      <c r="I1989" s="8">
        <v>543.41999999999996</v>
      </c>
      <c r="J1989" s="8">
        <v>0.12</v>
      </c>
      <c r="K1989" t="str">
        <f>IF(SalesData[[#This Row],[Profit]]&gt;0,"Profit","Loss")</f>
        <v>Profit</v>
      </c>
      <c r="L1989" s="8">
        <f>SalesData[[#This Row],[Profit]]/SalesData[[#This Row],[Sales]]</f>
        <v>0.17501674739771203</v>
      </c>
      <c r="M1989" t="str">
        <f>TEXT(SalesData[[#This Row],[Order_Date]],"mmm")</f>
        <v>Oct</v>
      </c>
      <c r="N1989">
        <f>YEAR(SalesData[[#This Row],[Order_Date]])</f>
        <v>2022</v>
      </c>
    </row>
    <row r="1990" spans="1:14" x14ac:dyDescent="0.3">
      <c r="A1990" t="s">
        <v>3238</v>
      </c>
      <c r="B1990" s="1">
        <v>44689</v>
      </c>
      <c r="C1990" t="s">
        <v>1451</v>
      </c>
      <c r="D1990" t="s">
        <v>28</v>
      </c>
      <c r="E1990" t="s">
        <v>13</v>
      </c>
      <c r="F1990" t="s">
        <v>36</v>
      </c>
      <c r="G1990" t="s">
        <v>374</v>
      </c>
      <c r="H1990" s="8">
        <v>4562.66</v>
      </c>
      <c r="I1990" s="8">
        <v>-641.42999999999995</v>
      </c>
      <c r="J1990" s="8">
        <v>0.09</v>
      </c>
      <c r="K1990" t="str">
        <f>IF(SalesData[[#This Row],[Profit]]&gt;0,"Profit","Loss")</f>
        <v>Loss</v>
      </c>
      <c r="L1990" s="8">
        <f>SalesData[[#This Row],[Profit]]/SalesData[[#This Row],[Sales]]</f>
        <v>-0.14058246724498427</v>
      </c>
      <c r="M1990" t="str">
        <f>TEXT(SalesData[[#This Row],[Order_Date]],"mmm")</f>
        <v>May</v>
      </c>
      <c r="N1990">
        <f>YEAR(SalesData[[#This Row],[Order_Date]])</f>
        <v>2022</v>
      </c>
    </row>
    <row r="1991" spans="1:14" x14ac:dyDescent="0.3">
      <c r="A1991" t="s">
        <v>3239</v>
      </c>
      <c r="B1991" s="1">
        <v>44757</v>
      </c>
      <c r="C1991" t="s">
        <v>397</v>
      </c>
      <c r="D1991" t="s">
        <v>40</v>
      </c>
      <c r="E1991" t="s">
        <v>13</v>
      </c>
      <c r="F1991" t="s">
        <v>24</v>
      </c>
      <c r="G1991" t="s">
        <v>265</v>
      </c>
      <c r="H1991" s="8">
        <v>2538.62</v>
      </c>
      <c r="I1991" s="8">
        <v>-626.21</v>
      </c>
      <c r="J1991" s="8">
        <v>0.28999999999999998</v>
      </c>
      <c r="K1991" t="str">
        <f>IF(SalesData[[#This Row],[Profit]]&gt;0,"Profit","Loss")</f>
        <v>Loss</v>
      </c>
      <c r="L1991" s="8">
        <f>SalesData[[#This Row],[Profit]]/SalesData[[#This Row],[Sales]]</f>
        <v>-0.24667338947932343</v>
      </c>
      <c r="M1991" t="str">
        <f>TEXT(SalesData[[#This Row],[Order_Date]],"mmm")</f>
        <v>Jul</v>
      </c>
      <c r="N1991">
        <f>YEAR(SalesData[[#This Row],[Order_Date]])</f>
        <v>2022</v>
      </c>
    </row>
    <row r="1992" spans="1:14" x14ac:dyDescent="0.3">
      <c r="A1992" t="s">
        <v>3240</v>
      </c>
      <c r="B1992" s="1">
        <v>45249</v>
      </c>
      <c r="C1992" t="s">
        <v>1364</v>
      </c>
      <c r="D1992" t="s">
        <v>18</v>
      </c>
      <c r="E1992" t="s">
        <v>56</v>
      </c>
      <c r="F1992" t="s">
        <v>73</v>
      </c>
      <c r="G1992" t="s">
        <v>438</v>
      </c>
      <c r="H1992" s="8">
        <v>1003.35</v>
      </c>
      <c r="I1992" s="8">
        <v>-319.08</v>
      </c>
      <c r="J1992" s="8">
        <v>0.19</v>
      </c>
      <c r="K1992" t="str">
        <f>IF(SalesData[[#This Row],[Profit]]&gt;0,"Profit","Loss")</f>
        <v>Loss</v>
      </c>
      <c r="L1992" s="8">
        <f>SalesData[[#This Row],[Profit]]/SalesData[[#This Row],[Sales]]</f>
        <v>-0.31801465091941994</v>
      </c>
      <c r="M1992" t="str">
        <f>TEXT(SalesData[[#This Row],[Order_Date]],"mmm")</f>
        <v>Nov</v>
      </c>
      <c r="N1992">
        <f>YEAR(SalesData[[#This Row],[Order_Date]])</f>
        <v>2023</v>
      </c>
    </row>
    <row r="1993" spans="1:14" x14ac:dyDescent="0.3">
      <c r="A1993" t="s">
        <v>3241</v>
      </c>
      <c r="B1993" s="1">
        <v>45262</v>
      </c>
      <c r="C1993" t="s">
        <v>1398</v>
      </c>
      <c r="D1993" t="s">
        <v>18</v>
      </c>
      <c r="E1993" t="s">
        <v>56</v>
      </c>
      <c r="F1993" t="s">
        <v>57</v>
      </c>
      <c r="G1993" t="s">
        <v>1565</v>
      </c>
      <c r="H1993" s="8">
        <v>4990.91</v>
      </c>
      <c r="I1993" s="8">
        <v>93.59</v>
      </c>
      <c r="J1993" s="8">
        <v>0.22</v>
      </c>
      <c r="K1993" t="str">
        <f>IF(SalesData[[#This Row],[Profit]]&gt;0,"Profit","Loss")</f>
        <v>Profit</v>
      </c>
      <c r="L1993" s="8">
        <f>SalesData[[#This Row],[Profit]]/SalesData[[#This Row],[Sales]]</f>
        <v>1.8752091301987014E-2</v>
      </c>
      <c r="M1993" t="str">
        <f>TEXT(SalesData[[#This Row],[Order_Date]],"mmm")</f>
        <v>Dec</v>
      </c>
      <c r="N1993">
        <f>YEAR(SalesData[[#This Row],[Order_Date]])</f>
        <v>2023</v>
      </c>
    </row>
    <row r="1994" spans="1:14" x14ac:dyDescent="0.3">
      <c r="A1994" t="s">
        <v>3242</v>
      </c>
      <c r="B1994" s="1">
        <v>44675</v>
      </c>
      <c r="C1994" t="s">
        <v>1545</v>
      </c>
      <c r="D1994" t="s">
        <v>12</v>
      </c>
      <c r="E1994" t="s">
        <v>56</v>
      </c>
      <c r="F1994" t="s">
        <v>95</v>
      </c>
      <c r="G1994" t="s">
        <v>1220</v>
      </c>
      <c r="H1994" s="8">
        <v>4801.0600000000004</v>
      </c>
      <c r="I1994" s="8">
        <v>101.36</v>
      </c>
      <c r="J1994" s="8">
        <v>0.17</v>
      </c>
      <c r="K1994" t="str">
        <f>IF(SalesData[[#This Row],[Profit]]&gt;0,"Profit","Loss")</f>
        <v>Profit</v>
      </c>
      <c r="L1994" s="8">
        <f>SalesData[[#This Row],[Profit]]/SalesData[[#This Row],[Sales]]</f>
        <v>2.111200443235452E-2</v>
      </c>
      <c r="M1994" t="str">
        <f>TEXT(SalesData[[#This Row],[Order_Date]],"mmm")</f>
        <v>Apr</v>
      </c>
      <c r="N1994">
        <f>YEAR(SalesData[[#This Row],[Order_Date]])</f>
        <v>2022</v>
      </c>
    </row>
    <row r="1995" spans="1:14" x14ac:dyDescent="0.3">
      <c r="A1995" t="s">
        <v>3243</v>
      </c>
      <c r="B1995" s="1">
        <v>44688</v>
      </c>
      <c r="C1995" t="s">
        <v>664</v>
      </c>
      <c r="D1995" t="s">
        <v>40</v>
      </c>
      <c r="E1995" t="s">
        <v>56</v>
      </c>
      <c r="F1995" t="s">
        <v>95</v>
      </c>
      <c r="G1995" t="s">
        <v>674</v>
      </c>
      <c r="H1995" s="8">
        <v>1111.03</v>
      </c>
      <c r="I1995" s="8">
        <v>216.19</v>
      </c>
      <c r="J1995" s="8">
        <v>0.04</v>
      </c>
      <c r="K1995" t="str">
        <f>IF(SalesData[[#This Row],[Profit]]&gt;0,"Profit","Loss")</f>
        <v>Profit</v>
      </c>
      <c r="L1995" s="8">
        <f>SalesData[[#This Row],[Profit]]/SalesData[[#This Row],[Sales]]</f>
        <v>0.19458520471994456</v>
      </c>
      <c r="M1995" t="str">
        <f>TEXT(SalesData[[#This Row],[Order_Date]],"mmm")</f>
        <v>May</v>
      </c>
      <c r="N1995">
        <f>YEAR(SalesData[[#This Row],[Order_Date]])</f>
        <v>2022</v>
      </c>
    </row>
    <row r="1996" spans="1:14" x14ac:dyDescent="0.3">
      <c r="A1996" t="s">
        <v>3244</v>
      </c>
      <c r="B1996" s="1">
        <v>45212</v>
      </c>
      <c r="C1996" t="s">
        <v>1297</v>
      </c>
      <c r="D1996" t="s">
        <v>18</v>
      </c>
      <c r="E1996" t="s">
        <v>19</v>
      </c>
      <c r="F1996" t="s">
        <v>141</v>
      </c>
      <c r="G1996" t="s">
        <v>1993</v>
      </c>
      <c r="H1996" s="8">
        <v>2642.44</v>
      </c>
      <c r="I1996" s="8">
        <v>311.47000000000003</v>
      </c>
      <c r="J1996" s="8">
        <v>0.08</v>
      </c>
      <c r="K1996" t="str">
        <f>IF(SalesData[[#This Row],[Profit]]&gt;0,"Profit","Loss")</f>
        <v>Profit</v>
      </c>
      <c r="L1996" s="8">
        <f>SalesData[[#This Row],[Profit]]/SalesData[[#This Row],[Sales]]</f>
        <v>0.11787211819379059</v>
      </c>
      <c r="M1996" t="str">
        <f>TEXT(SalesData[[#This Row],[Order_Date]],"mmm")</f>
        <v>Oct</v>
      </c>
      <c r="N1996">
        <f>YEAR(SalesData[[#This Row],[Order_Date]])</f>
        <v>2023</v>
      </c>
    </row>
    <row r="1997" spans="1:14" x14ac:dyDescent="0.3">
      <c r="A1997" t="s">
        <v>3245</v>
      </c>
      <c r="B1997" s="1">
        <v>45063</v>
      </c>
      <c r="C1997" t="s">
        <v>2242</v>
      </c>
      <c r="D1997" t="s">
        <v>40</v>
      </c>
      <c r="E1997" t="s">
        <v>19</v>
      </c>
      <c r="F1997" t="s">
        <v>20</v>
      </c>
      <c r="G1997" t="s">
        <v>491</v>
      </c>
      <c r="H1997" s="8">
        <v>4362.76</v>
      </c>
      <c r="I1997" s="8">
        <v>-273.19</v>
      </c>
      <c r="J1997" s="8">
        <v>0.26</v>
      </c>
      <c r="K1997" t="str">
        <f>IF(SalesData[[#This Row],[Profit]]&gt;0,"Profit","Loss")</f>
        <v>Loss</v>
      </c>
      <c r="L1997" s="8">
        <f>SalesData[[#This Row],[Profit]]/SalesData[[#This Row],[Sales]]</f>
        <v>-6.2618617572362451E-2</v>
      </c>
      <c r="M1997" t="str">
        <f>TEXT(SalesData[[#This Row],[Order_Date]],"mmm")</f>
        <v>May</v>
      </c>
      <c r="N1997">
        <f>YEAR(SalesData[[#This Row],[Order_Date]])</f>
        <v>2023</v>
      </c>
    </row>
    <row r="1998" spans="1:14" x14ac:dyDescent="0.3">
      <c r="A1998" t="s">
        <v>3246</v>
      </c>
      <c r="B1998" s="1">
        <v>44623</v>
      </c>
      <c r="C1998" t="s">
        <v>2840</v>
      </c>
      <c r="D1998" t="s">
        <v>28</v>
      </c>
      <c r="E1998" t="s">
        <v>56</v>
      </c>
      <c r="F1998" t="s">
        <v>95</v>
      </c>
      <c r="G1998" t="s">
        <v>809</v>
      </c>
      <c r="H1998" s="8">
        <v>114.98</v>
      </c>
      <c r="I1998" s="8">
        <v>-34.86</v>
      </c>
      <c r="J1998" s="8">
        <v>0.14000000000000001</v>
      </c>
      <c r="K1998" t="str">
        <f>IF(SalesData[[#This Row],[Profit]]&gt;0,"Profit","Loss")</f>
        <v>Loss</v>
      </c>
      <c r="L1998" s="8">
        <f>SalesData[[#This Row],[Profit]]/SalesData[[#This Row],[Sales]]</f>
        <v>-0.30318316228909375</v>
      </c>
      <c r="M1998" t="str">
        <f>TEXT(SalesData[[#This Row],[Order_Date]],"mmm")</f>
        <v>Mar</v>
      </c>
      <c r="N1998">
        <f>YEAR(SalesData[[#This Row],[Order_Date]])</f>
        <v>2022</v>
      </c>
    </row>
    <row r="1999" spans="1:14" x14ac:dyDescent="0.3">
      <c r="A1999" t="s">
        <v>3247</v>
      </c>
      <c r="B1999" s="1">
        <v>44848</v>
      </c>
      <c r="C1999" t="s">
        <v>2047</v>
      </c>
      <c r="D1999" t="s">
        <v>28</v>
      </c>
      <c r="E1999" t="s">
        <v>19</v>
      </c>
      <c r="F1999" t="s">
        <v>20</v>
      </c>
      <c r="G1999" t="s">
        <v>618</v>
      </c>
      <c r="H1999" s="8">
        <v>2125.6799999999998</v>
      </c>
      <c r="I1999" s="8">
        <v>-798.37</v>
      </c>
      <c r="J1999" s="8">
        <v>0.26</v>
      </c>
      <c r="K1999" t="str">
        <f>IF(SalesData[[#This Row],[Profit]]&gt;0,"Profit","Loss")</f>
        <v>Loss</v>
      </c>
      <c r="L1999" s="8">
        <f>SalesData[[#This Row],[Profit]]/SalesData[[#This Row],[Sales]]</f>
        <v>-0.37558334274208727</v>
      </c>
      <c r="M1999" t="str">
        <f>TEXT(SalesData[[#This Row],[Order_Date]],"mmm")</f>
        <v>Oct</v>
      </c>
      <c r="N1999">
        <f>YEAR(SalesData[[#This Row],[Order_Date]])</f>
        <v>2022</v>
      </c>
    </row>
    <row r="2000" spans="1:14" x14ac:dyDescent="0.3">
      <c r="A2000" t="s">
        <v>3248</v>
      </c>
      <c r="B2000" s="1">
        <v>44918</v>
      </c>
      <c r="C2000" t="s">
        <v>2783</v>
      </c>
      <c r="D2000" t="s">
        <v>18</v>
      </c>
      <c r="E2000" t="s">
        <v>56</v>
      </c>
      <c r="F2000" t="s">
        <v>95</v>
      </c>
      <c r="G2000" t="s">
        <v>288</v>
      </c>
      <c r="H2000" s="8">
        <v>3949.91</v>
      </c>
      <c r="I2000" s="8">
        <v>-32.03</v>
      </c>
      <c r="J2000" s="8">
        <v>0.16</v>
      </c>
      <c r="K2000" t="str">
        <f>IF(SalesData[[#This Row],[Profit]]&gt;0,"Profit","Loss")</f>
        <v>Loss</v>
      </c>
      <c r="L2000" s="8">
        <f>SalesData[[#This Row],[Profit]]/SalesData[[#This Row],[Sales]]</f>
        <v>-8.1090455225562106E-3</v>
      </c>
      <c r="M2000" t="str">
        <f>TEXT(SalesData[[#This Row],[Order_Date]],"mmm")</f>
        <v>Dec</v>
      </c>
      <c r="N2000">
        <f>YEAR(SalesData[[#This Row],[Order_Date]])</f>
        <v>2022</v>
      </c>
    </row>
    <row r="2001" spans="1:14" x14ac:dyDescent="0.3">
      <c r="A2001" t="s">
        <v>3249</v>
      </c>
      <c r="B2001" s="1">
        <v>44838</v>
      </c>
      <c r="C2001" t="s">
        <v>1755</v>
      </c>
      <c r="D2001" t="s">
        <v>28</v>
      </c>
      <c r="E2001" t="s">
        <v>56</v>
      </c>
      <c r="F2001" t="s">
        <v>73</v>
      </c>
      <c r="G2001" t="s">
        <v>476</v>
      </c>
      <c r="H2001" s="8">
        <v>4332.8500000000004</v>
      </c>
      <c r="I2001" s="8">
        <v>555.05999999999995</v>
      </c>
      <c r="J2001" s="8">
        <v>0.25</v>
      </c>
      <c r="K2001" t="str">
        <f>IF(SalesData[[#This Row],[Profit]]&gt;0,"Profit","Loss")</f>
        <v>Profit</v>
      </c>
      <c r="L2001" s="8">
        <f>SalesData[[#This Row],[Profit]]/SalesData[[#This Row],[Sales]]</f>
        <v>0.12810505787183954</v>
      </c>
      <c r="M2001" t="str">
        <f>TEXT(SalesData[[#This Row],[Order_Date]],"mmm")</f>
        <v>Oct</v>
      </c>
      <c r="N2001">
        <f>YEAR(SalesData[[#This Row],[Order_Date]])</f>
        <v>2022</v>
      </c>
    </row>
    <row r="2002" spans="1:14" x14ac:dyDescent="0.3">
      <c r="A2002" t="s">
        <v>3250</v>
      </c>
      <c r="B2002" s="1">
        <v>44786</v>
      </c>
      <c r="C2002" t="s">
        <v>2589</v>
      </c>
      <c r="D2002" t="s">
        <v>18</v>
      </c>
      <c r="E2002" t="s">
        <v>19</v>
      </c>
      <c r="F2002" t="s">
        <v>20</v>
      </c>
      <c r="G2002" t="s">
        <v>556</v>
      </c>
      <c r="H2002" s="8">
        <v>184.01</v>
      </c>
      <c r="I2002" s="8">
        <v>3.96</v>
      </c>
      <c r="J2002" s="8">
        <v>7.0000000000000007E-2</v>
      </c>
      <c r="K2002" t="str">
        <f>IF(SalesData[[#This Row],[Profit]]&gt;0,"Profit","Loss")</f>
        <v>Profit</v>
      </c>
      <c r="L2002" s="8">
        <f>SalesData[[#This Row],[Profit]]/SalesData[[#This Row],[Sales]]</f>
        <v>2.1520569534264442E-2</v>
      </c>
      <c r="M2002" t="str">
        <f>TEXT(SalesData[[#This Row],[Order_Date]],"mmm")</f>
        <v>Aug</v>
      </c>
      <c r="N2002">
        <f>YEAR(SalesData[[#This Row],[Order_Date]])</f>
        <v>2022</v>
      </c>
    </row>
    <row r="2003" spans="1:14" x14ac:dyDescent="0.3">
      <c r="A2003" t="s">
        <v>3251</v>
      </c>
      <c r="B2003" s="1">
        <v>45236</v>
      </c>
      <c r="C2003" t="s">
        <v>2380</v>
      </c>
      <c r="D2003" t="s">
        <v>40</v>
      </c>
      <c r="E2003" t="s">
        <v>19</v>
      </c>
      <c r="F2003" t="s">
        <v>141</v>
      </c>
      <c r="G2003" t="s">
        <v>465</v>
      </c>
      <c r="H2003" s="8">
        <v>1917.09</v>
      </c>
      <c r="I2003" s="8">
        <v>-423.1</v>
      </c>
      <c r="J2003" s="8">
        <v>0.08</v>
      </c>
      <c r="K2003" t="str">
        <f>IF(SalesData[[#This Row],[Profit]]&gt;0,"Profit","Loss")</f>
        <v>Loss</v>
      </c>
      <c r="L2003" s="8">
        <f>SalesData[[#This Row],[Profit]]/SalesData[[#This Row],[Sales]]</f>
        <v>-0.22069908037702979</v>
      </c>
      <c r="M2003" t="str">
        <f>TEXT(SalesData[[#This Row],[Order_Date]],"mmm")</f>
        <v>Nov</v>
      </c>
      <c r="N2003">
        <f>YEAR(SalesData[[#This Row],[Order_Date]])</f>
        <v>2023</v>
      </c>
    </row>
    <row r="2004" spans="1:14" x14ac:dyDescent="0.3">
      <c r="A2004" t="s">
        <v>3252</v>
      </c>
      <c r="B2004" s="1">
        <v>44851</v>
      </c>
      <c r="C2004" t="s">
        <v>232</v>
      </c>
      <c r="D2004" t="s">
        <v>18</v>
      </c>
      <c r="E2004" t="s">
        <v>19</v>
      </c>
      <c r="F2004" t="s">
        <v>20</v>
      </c>
      <c r="G2004" t="s">
        <v>1295</v>
      </c>
      <c r="H2004" s="8">
        <v>408.54</v>
      </c>
      <c r="I2004" s="8">
        <v>-173.93</v>
      </c>
      <c r="J2004" s="8">
        <v>0.28999999999999998</v>
      </c>
      <c r="K2004" t="str">
        <f>IF(SalesData[[#This Row],[Profit]]&gt;0,"Profit","Loss")</f>
        <v>Loss</v>
      </c>
      <c r="L2004" s="8">
        <f>SalesData[[#This Row],[Profit]]/SalesData[[#This Row],[Sales]]</f>
        <v>-0.42573554609095804</v>
      </c>
      <c r="M2004" t="str">
        <f>TEXT(SalesData[[#This Row],[Order_Date]],"mmm")</f>
        <v>Oct</v>
      </c>
      <c r="N2004">
        <f>YEAR(SalesData[[#This Row],[Order_Date]])</f>
        <v>2022</v>
      </c>
    </row>
    <row r="2005" spans="1:14" x14ac:dyDescent="0.3">
      <c r="A2005" t="s">
        <v>3253</v>
      </c>
      <c r="B2005" s="1">
        <v>44749</v>
      </c>
      <c r="C2005" t="s">
        <v>3254</v>
      </c>
      <c r="D2005" t="s">
        <v>28</v>
      </c>
      <c r="E2005" t="s">
        <v>13</v>
      </c>
      <c r="F2005" t="s">
        <v>24</v>
      </c>
      <c r="G2005" t="s">
        <v>1811</v>
      </c>
      <c r="H2005" s="8">
        <v>4293.67</v>
      </c>
      <c r="I2005" s="8">
        <v>792.86</v>
      </c>
      <c r="J2005" s="8">
        <v>0.17</v>
      </c>
      <c r="K2005" t="str">
        <f>IF(SalesData[[#This Row],[Profit]]&gt;0,"Profit","Loss")</f>
        <v>Profit</v>
      </c>
      <c r="L2005" s="8">
        <f>SalesData[[#This Row],[Profit]]/SalesData[[#This Row],[Sales]]</f>
        <v>0.18465788008859554</v>
      </c>
      <c r="M2005" t="str">
        <f>TEXT(SalesData[[#This Row],[Order_Date]],"mmm")</f>
        <v>Jul</v>
      </c>
      <c r="N2005">
        <f>YEAR(SalesData[[#This Row],[Order_Date]])</f>
        <v>2022</v>
      </c>
    </row>
    <row r="2006" spans="1:14" x14ac:dyDescent="0.3">
      <c r="A2006" t="s">
        <v>3255</v>
      </c>
      <c r="B2006" s="1">
        <v>45129</v>
      </c>
      <c r="C2006" t="s">
        <v>2634</v>
      </c>
      <c r="D2006" t="s">
        <v>40</v>
      </c>
      <c r="E2006" t="s">
        <v>56</v>
      </c>
      <c r="F2006" t="s">
        <v>57</v>
      </c>
      <c r="G2006" t="s">
        <v>561</v>
      </c>
      <c r="H2006" s="8">
        <v>4797.25</v>
      </c>
      <c r="I2006" s="8">
        <v>545.84</v>
      </c>
      <c r="J2006" s="8">
        <v>0.1</v>
      </c>
      <c r="K2006" t="str">
        <f>IF(SalesData[[#This Row],[Profit]]&gt;0,"Profit","Loss")</f>
        <v>Profit</v>
      </c>
      <c r="L2006" s="8">
        <f>SalesData[[#This Row],[Profit]]/SalesData[[#This Row],[Sales]]</f>
        <v>0.11378185418729481</v>
      </c>
      <c r="M2006" t="str">
        <f>TEXT(SalesData[[#This Row],[Order_Date]],"mmm")</f>
        <v>Jul</v>
      </c>
      <c r="N2006">
        <f>YEAR(SalesData[[#This Row],[Order_Date]])</f>
        <v>2023</v>
      </c>
    </row>
    <row r="2007" spans="1:14" x14ac:dyDescent="0.3">
      <c r="A2007" t="s">
        <v>3256</v>
      </c>
      <c r="B2007" s="1">
        <v>44997</v>
      </c>
      <c r="C2007" t="s">
        <v>845</v>
      </c>
      <c r="D2007" t="s">
        <v>40</v>
      </c>
      <c r="E2007" t="s">
        <v>19</v>
      </c>
      <c r="F2007" t="s">
        <v>20</v>
      </c>
      <c r="G2007" t="s">
        <v>414</v>
      </c>
      <c r="H2007" s="8">
        <v>1018.12</v>
      </c>
      <c r="I2007" s="8">
        <v>12.76</v>
      </c>
      <c r="J2007" s="8">
        <v>0.22</v>
      </c>
      <c r="K2007" t="str">
        <f>IF(SalesData[[#This Row],[Profit]]&gt;0,"Profit","Loss")</f>
        <v>Profit</v>
      </c>
      <c r="L2007" s="8">
        <f>SalesData[[#This Row],[Profit]]/SalesData[[#This Row],[Sales]]</f>
        <v>1.2532903783443995E-2</v>
      </c>
      <c r="M2007" t="str">
        <f>TEXT(SalesData[[#This Row],[Order_Date]],"mmm")</f>
        <v>Mar</v>
      </c>
      <c r="N2007">
        <f>YEAR(SalesData[[#This Row],[Order_Date]])</f>
        <v>2023</v>
      </c>
    </row>
    <row r="2008" spans="1:14" x14ac:dyDescent="0.3">
      <c r="A2008" t="s">
        <v>3257</v>
      </c>
      <c r="B2008" s="1">
        <v>45139</v>
      </c>
      <c r="C2008" t="s">
        <v>1767</v>
      </c>
      <c r="D2008" t="s">
        <v>12</v>
      </c>
      <c r="E2008" t="s">
        <v>56</v>
      </c>
      <c r="F2008" t="s">
        <v>73</v>
      </c>
      <c r="G2008" t="s">
        <v>111</v>
      </c>
      <c r="H2008" s="8">
        <v>2069.5700000000002</v>
      </c>
      <c r="I2008" s="8">
        <v>-184.31</v>
      </c>
      <c r="J2008" s="8">
        <v>0.25</v>
      </c>
      <c r="K2008" t="str">
        <f>IF(SalesData[[#This Row],[Profit]]&gt;0,"Profit","Loss")</f>
        <v>Loss</v>
      </c>
      <c r="L2008" s="8">
        <f>SalesData[[#This Row],[Profit]]/SalesData[[#This Row],[Sales]]</f>
        <v>-8.9057147136844844E-2</v>
      </c>
      <c r="M2008" t="str">
        <f>TEXT(SalesData[[#This Row],[Order_Date]],"mmm")</f>
        <v>Aug</v>
      </c>
      <c r="N2008">
        <f>YEAR(SalesData[[#This Row],[Order_Date]])</f>
        <v>2023</v>
      </c>
    </row>
    <row r="2009" spans="1:14" x14ac:dyDescent="0.3">
      <c r="A2009" t="s">
        <v>3258</v>
      </c>
      <c r="B2009" s="1">
        <v>44906</v>
      </c>
      <c r="C2009" t="s">
        <v>1767</v>
      </c>
      <c r="D2009" t="s">
        <v>28</v>
      </c>
      <c r="E2009" t="s">
        <v>19</v>
      </c>
      <c r="F2009" t="s">
        <v>141</v>
      </c>
      <c r="G2009" t="s">
        <v>3259</v>
      </c>
      <c r="H2009" s="8">
        <v>1061.72</v>
      </c>
      <c r="I2009" s="8">
        <v>-257.49</v>
      </c>
      <c r="J2009" s="8">
        <v>7.0000000000000007E-2</v>
      </c>
      <c r="K2009" t="str">
        <f>IF(SalesData[[#This Row],[Profit]]&gt;0,"Profit","Loss")</f>
        <v>Loss</v>
      </c>
      <c r="L2009" s="8">
        <f>SalesData[[#This Row],[Profit]]/SalesData[[#This Row],[Sales]]</f>
        <v>-0.24252156877519496</v>
      </c>
      <c r="M2009" t="str">
        <f>TEXT(SalesData[[#This Row],[Order_Date]],"mmm")</f>
        <v>Dec</v>
      </c>
      <c r="N2009">
        <f>YEAR(SalesData[[#This Row],[Order_Date]])</f>
        <v>2022</v>
      </c>
    </row>
    <row r="2010" spans="1:14" x14ac:dyDescent="0.3">
      <c r="A2010" t="s">
        <v>3260</v>
      </c>
      <c r="B2010" s="1">
        <v>44578</v>
      </c>
      <c r="C2010" t="s">
        <v>588</v>
      </c>
      <c r="D2010" t="s">
        <v>12</v>
      </c>
      <c r="E2010" t="s">
        <v>56</v>
      </c>
      <c r="F2010" t="s">
        <v>73</v>
      </c>
      <c r="G2010" t="s">
        <v>3261</v>
      </c>
      <c r="H2010" s="8">
        <v>1733.8</v>
      </c>
      <c r="I2010" s="8">
        <v>527.94000000000005</v>
      </c>
      <c r="J2010" s="8">
        <v>7.0000000000000007E-2</v>
      </c>
      <c r="K2010" t="str">
        <f>IF(SalesData[[#This Row],[Profit]]&gt;0,"Profit","Loss")</f>
        <v>Profit</v>
      </c>
      <c r="L2010" s="8">
        <f>SalesData[[#This Row],[Profit]]/SalesData[[#This Row],[Sales]]</f>
        <v>0.30449878878763414</v>
      </c>
      <c r="M2010" t="str">
        <f>TEXT(SalesData[[#This Row],[Order_Date]],"mmm")</f>
        <v>Jan</v>
      </c>
      <c r="N2010">
        <f>YEAR(SalesData[[#This Row],[Order_Date]])</f>
        <v>2022</v>
      </c>
    </row>
    <row r="2011" spans="1:14" x14ac:dyDescent="0.3">
      <c r="A2011" t="s">
        <v>3262</v>
      </c>
      <c r="B2011" s="1">
        <v>44984</v>
      </c>
      <c r="C2011" t="s">
        <v>2324</v>
      </c>
      <c r="D2011" t="s">
        <v>12</v>
      </c>
      <c r="E2011" t="s">
        <v>13</v>
      </c>
      <c r="F2011" t="s">
        <v>14</v>
      </c>
      <c r="G2011" t="s">
        <v>3261</v>
      </c>
      <c r="H2011" s="8">
        <v>1233.3900000000001</v>
      </c>
      <c r="I2011" s="8">
        <v>-415.68</v>
      </c>
      <c r="J2011" s="8">
        <v>0.26</v>
      </c>
      <c r="K2011" t="str">
        <f>IF(SalesData[[#This Row],[Profit]]&gt;0,"Profit","Loss")</f>
        <v>Loss</v>
      </c>
      <c r="L2011" s="8">
        <f>SalesData[[#This Row],[Profit]]/SalesData[[#This Row],[Sales]]</f>
        <v>-0.33702235302702305</v>
      </c>
      <c r="M2011" t="str">
        <f>TEXT(SalesData[[#This Row],[Order_Date]],"mmm")</f>
        <v>Feb</v>
      </c>
      <c r="N2011">
        <f>YEAR(SalesData[[#This Row],[Order_Date]])</f>
        <v>2023</v>
      </c>
    </row>
    <row r="2012" spans="1:14" x14ac:dyDescent="0.3">
      <c r="A2012" t="s">
        <v>3263</v>
      </c>
      <c r="B2012" s="1">
        <v>44785</v>
      </c>
      <c r="C2012" t="s">
        <v>2410</v>
      </c>
      <c r="D2012" t="s">
        <v>12</v>
      </c>
      <c r="E2012" t="s">
        <v>13</v>
      </c>
      <c r="F2012" t="s">
        <v>24</v>
      </c>
      <c r="G2012" t="s">
        <v>572</v>
      </c>
      <c r="H2012" s="8">
        <v>2262.2800000000002</v>
      </c>
      <c r="I2012" s="8">
        <v>458.82</v>
      </c>
      <c r="J2012" s="8">
        <v>0.04</v>
      </c>
      <c r="K2012" t="str">
        <f>IF(SalesData[[#This Row],[Profit]]&gt;0,"Profit","Loss")</f>
        <v>Profit</v>
      </c>
      <c r="L2012" s="8">
        <f>SalesData[[#This Row],[Profit]]/SalesData[[#This Row],[Sales]]</f>
        <v>0.20281309121770955</v>
      </c>
      <c r="M2012" t="str">
        <f>TEXT(SalesData[[#This Row],[Order_Date]],"mmm")</f>
        <v>Aug</v>
      </c>
      <c r="N2012">
        <f>YEAR(SalesData[[#This Row],[Order_Date]])</f>
        <v>2022</v>
      </c>
    </row>
    <row r="2013" spans="1:14" x14ac:dyDescent="0.3">
      <c r="A2013" t="s">
        <v>3264</v>
      </c>
      <c r="B2013" s="1">
        <v>45220</v>
      </c>
      <c r="C2013" t="s">
        <v>430</v>
      </c>
      <c r="D2013" t="s">
        <v>28</v>
      </c>
      <c r="E2013" t="s">
        <v>19</v>
      </c>
      <c r="F2013" t="s">
        <v>20</v>
      </c>
      <c r="G2013" t="s">
        <v>199</v>
      </c>
      <c r="H2013" s="8">
        <v>4599.2</v>
      </c>
      <c r="I2013" s="8">
        <v>1263.81</v>
      </c>
      <c r="J2013" s="8">
        <v>0.12</v>
      </c>
      <c r="K2013" t="str">
        <f>IF(SalesData[[#This Row],[Profit]]&gt;0,"Profit","Loss")</f>
        <v>Profit</v>
      </c>
      <c r="L2013" s="8">
        <f>SalesData[[#This Row],[Profit]]/SalesData[[#This Row],[Sales]]</f>
        <v>0.27478909375543575</v>
      </c>
      <c r="M2013" t="str">
        <f>TEXT(SalesData[[#This Row],[Order_Date]],"mmm")</f>
        <v>Oct</v>
      </c>
      <c r="N2013">
        <f>YEAR(SalesData[[#This Row],[Order_Date]])</f>
        <v>2023</v>
      </c>
    </row>
    <row r="2014" spans="1:14" x14ac:dyDescent="0.3">
      <c r="A2014" t="s">
        <v>3265</v>
      </c>
      <c r="B2014" s="1">
        <v>44818</v>
      </c>
      <c r="C2014" t="s">
        <v>1336</v>
      </c>
      <c r="D2014" t="s">
        <v>18</v>
      </c>
      <c r="E2014" t="s">
        <v>56</v>
      </c>
      <c r="F2014" t="s">
        <v>57</v>
      </c>
      <c r="G2014" t="s">
        <v>981</v>
      </c>
      <c r="H2014" s="8">
        <v>1769.99</v>
      </c>
      <c r="I2014" s="8">
        <v>-351.75</v>
      </c>
      <c r="J2014" s="8">
        <v>7.0000000000000007E-2</v>
      </c>
      <c r="K2014" t="str">
        <f>IF(SalesData[[#This Row],[Profit]]&gt;0,"Profit","Loss")</f>
        <v>Loss</v>
      </c>
      <c r="L2014" s="8">
        <f>SalesData[[#This Row],[Profit]]/SalesData[[#This Row],[Sales]]</f>
        <v>-0.19872993632732389</v>
      </c>
      <c r="M2014" t="str">
        <f>TEXT(SalesData[[#This Row],[Order_Date]],"mmm")</f>
        <v>Sep</v>
      </c>
      <c r="N2014">
        <f>YEAR(SalesData[[#This Row],[Order_Date]])</f>
        <v>2022</v>
      </c>
    </row>
    <row r="2015" spans="1:14" x14ac:dyDescent="0.3">
      <c r="A2015" t="s">
        <v>3266</v>
      </c>
      <c r="B2015" s="1">
        <v>44568</v>
      </c>
      <c r="C2015" t="s">
        <v>888</v>
      </c>
      <c r="D2015" t="s">
        <v>18</v>
      </c>
      <c r="E2015" t="s">
        <v>19</v>
      </c>
      <c r="F2015" t="s">
        <v>141</v>
      </c>
      <c r="G2015" t="s">
        <v>2899</v>
      </c>
      <c r="H2015" s="8">
        <v>1457.7</v>
      </c>
      <c r="I2015" s="8">
        <v>297.95</v>
      </c>
      <c r="J2015" s="8">
        <v>0.05</v>
      </c>
      <c r="K2015" t="str">
        <f>IF(SalesData[[#This Row],[Profit]]&gt;0,"Profit","Loss")</f>
        <v>Profit</v>
      </c>
      <c r="L2015" s="8">
        <f>SalesData[[#This Row],[Profit]]/SalesData[[#This Row],[Sales]]</f>
        <v>0.20439733827262124</v>
      </c>
      <c r="M2015" t="str">
        <f>TEXT(SalesData[[#This Row],[Order_Date]],"mmm")</f>
        <v>Jan</v>
      </c>
      <c r="N2015">
        <f>YEAR(SalesData[[#This Row],[Order_Date]])</f>
        <v>2022</v>
      </c>
    </row>
    <row r="2016" spans="1:14" x14ac:dyDescent="0.3">
      <c r="A2016" t="s">
        <v>3267</v>
      </c>
      <c r="B2016" s="1">
        <v>45151</v>
      </c>
      <c r="C2016" t="s">
        <v>2455</v>
      </c>
      <c r="D2016" t="s">
        <v>12</v>
      </c>
      <c r="E2016" t="s">
        <v>19</v>
      </c>
      <c r="F2016" t="s">
        <v>29</v>
      </c>
      <c r="G2016" t="s">
        <v>1570</v>
      </c>
      <c r="H2016" s="8">
        <v>590.46</v>
      </c>
      <c r="I2016" s="8">
        <v>-125.42</v>
      </c>
      <c r="J2016" s="8">
        <v>0.15</v>
      </c>
      <c r="K2016" t="str">
        <f>IF(SalesData[[#This Row],[Profit]]&gt;0,"Profit","Loss")</f>
        <v>Loss</v>
      </c>
      <c r="L2016" s="8">
        <f>SalesData[[#This Row],[Profit]]/SalesData[[#This Row],[Sales]]</f>
        <v>-0.21241066287301424</v>
      </c>
      <c r="M2016" t="str">
        <f>TEXT(SalesData[[#This Row],[Order_Date]],"mmm")</f>
        <v>Aug</v>
      </c>
      <c r="N2016">
        <f>YEAR(SalesData[[#This Row],[Order_Date]])</f>
        <v>2023</v>
      </c>
    </row>
    <row r="2017" spans="1:14" x14ac:dyDescent="0.3">
      <c r="A2017" t="s">
        <v>3268</v>
      </c>
      <c r="B2017" s="1">
        <v>44730</v>
      </c>
      <c r="C2017" t="s">
        <v>857</v>
      </c>
      <c r="D2017" t="s">
        <v>12</v>
      </c>
      <c r="E2017" t="s">
        <v>13</v>
      </c>
      <c r="F2017" t="s">
        <v>36</v>
      </c>
      <c r="G2017" t="s">
        <v>389</v>
      </c>
      <c r="H2017" s="8">
        <v>4679.8100000000004</v>
      </c>
      <c r="I2017" s="8">
        <v>-450.33</v>
      </c>
      <c r="J2017" s="8">
        <v>0.23</v>
      </c>
      <c r="K2017" t="str">
        <f>IF(SalesData[[#This Row],[Profit]]&gt;0,"Profit","Loss")</f>
        <v>Loss</v>
      </c>
      <c r="L2017" s="8">
        <f>SalesData[[#This Row],[Profit]]/SalesData[[#This Row],[Sales]]</f>
        <v>-9.6228265677452712E-2</v>
      </c>
      <c r="M2017" t="str">
        <f>TEXT(SalesData[[#This Row],[Order_Date]],"mmm")</f>
        <v>Jun</v>
      </c>
      <c r="N2017">
        <f>YEAR(SalesData[[#This Row],[Order_Date]])</f>
        <v>2022</v>
      </c>
    </row>
    <row r="2018" spans="1:14" x14ac:dyDescent="0.3">
      <c r="A2018" t="s">
        <v>3269</v>
      </c>
      <c r="B2018" s="1">
        <v>44801</v>
      </c>
      <c r="C2018" t="s">
        <v>885</v>
      </c>
      <c r="D2018" t="s">
        <v>12</v>
      </c>
      <c r="E2018" t="s">
        <v>13</v>
      </c>
      <c r="F2018" t="s">
        <v>14</v>
      </c>
      <c r="G2018" t="s">
        <v>637</v>
      </c>
      <c r="H2018" s="8">
        <v>3369.76</v>
      </c>
      <c r="I2018" s="8">
        <v>786.46</v>
      </c>
      <c r="J2018" s="8">
        <v>0.06</v>
      </c>
      <c r="K2018" t="str">
        <f>IF(SalesData[[#This Row],[Profit]]&gt;0,"Profit","Loss")</f>
        <v>Profit</v>
      </c>
      <c r="L2018" s="8">
        <f>SalesData[[#This Row],[Profit]]/SalesData[[#This Row],[Sales]]</f>
        <v>0.23338754095247138</v>
      </c>
      <c r="M2018" t="str">
        <f>TEXT(SalesData[[#This Row],[Order_Date]],"mmm")</f>
        <v>Aug</v>
      </c>
      <c r="N2018">
        <f>YEAR(SalesData[[#This Row],[Order_Date]])</f>
        <v>2022</v>
      </c>
    </row>
    <row r="2019" spans="1:14" x14ac:dyDescent="0.3">
      <c r="A2019" t="s">
        <v>3270</v>
      </c>
      <c r="B2019" s="1">
        <v>44624</v>
      </c>
      <c r="C2019" t="s">
        <v>3271</v>
      </c>
      <c r="D2019" t="s">
        <v>28</v>
      </c>
      <c r="E2019" t="s">
        <v>56</v>
      </c>
      <c r="F2019" t="s">
        <v>57</v>
      </c>
      <c r="G2019" t="s">
        <v>193</v>
      </c>
      <c r="H2019" s="8">
        <v>4153.66</v>
      </c>
      <c r="I2019" s="8">
        <v>-344.75</v>
      </c>
      <c r="J2019" s="8">
        <v>0.06</v>
      </c>
      <c r="K2019" t="str">
        <f>IF(SalesData[[#This Row],[Profit]]&gt;0,"Profit","Loss")</f>
        <v>Loss</v>
      </c>
      <c r="L2019" s="8">
        <f>SalesData[[#This Row],[Profit]]/SalesData[[#This Row],[Sales]]</f>
        <v>-8.299908995921669E-2</v>
      </c>
      <c r="M2019" t="str">
        <f>TEXT(SalesData[[#This Row],[Order_Date]],"mmm")</f>
        <v>Mar</v>
      </c>
      <c r="N2019">
        <f>YEAR(SalesData[[#This Row],[Order_Date]])</f>
        <v>2022</v>
      </c>
    </row>
    <row r="2020" spans="1:14" x14ac:dyDescent="0.3">
      <c r="A2020" t="s">
        <v>3272</v>
      </c>
      <c r="B2020" s="1">
        <v>44937</v>
      </c>
      <c r="C2020" t="s">
        <v>3254</v>
      </c>
      <c r="D2020" t="s">
        <v>40</v>
      </c>
      <c r="E2020" t="s">
        <v>13</v>
      </c>
      <c r="F2020" t="s">
        <v>14</v>
      </c>
      <c r="G2020" t="s">
        <v>1780</v>
      </c>
      <c r="H2020" s="8">
        <v>254.31</v>
      </c>
      <c r="I2020" s="8">
        <v>3.67</v>
      </c>
      <c r="J2020" s="8">
        <v>0.22</v>
      </c>
      <c r="K2020" t="str">
        <f>IF(SalesData[[#This Row],[Profit]]&gt;0,"Profit","Loss")</f>
        <v>Profit</v>
      </c>
      <c r="L2020" s="8">
        <f>SalesData[[#This Row],[Profit]]/SalesData[[#This Row],[Sales]]</f>
        <v>1.4431206008414927E-2</v>
      </c>
      <c r="M2020" t="str">
        <f>TEXT(SalesData[[#This Row],[Order_Date]],"mmm")</f>
        <v>Jan</v>
      </c>
      <c r="N2020">
        <f>YEAR(SalesData[[#This Row],[Order_Date]])</f>
        <v>2023</v>
      </c>
    </row>
    <row r="2021" spans="1:14" x14ac:dyDescent="0.3">
      <c r="A2021" t="s">
        <v>3273</v>
      </c>
      <c r="B2021" s="1">
        <v>45047</v>
      </c>
      <c r="C2021" t="s">
        <v>1061</v>
      </c>
      <c r="D2021" t="s">
        <v>12</v>
      </c>
      <c r="E2021" t="s">
        <v>13</v>
      </c>
      <c r="F2021" t="s">
        <v>36</v>
      </c>
      <c r="G2021" t="s">
        <v>3274</v>
      </c>
      <c r="H2021" s="8">
        <v>854.25</v>
      </c>
      <c r="I2021" s="8">
        <v>273.95</v>
      </c>
      <c r="J2021" s="8">
        <v>0.02</v>
      </c>
      <c r="K2021" t="str">
        <f>IF(SalesData[[#This Row],[Profit]]&gt;0,"Profit","Loss")</f>
        <v>Profit</v>
      </c>
      <c r="L2021" s="8">
        <f>SalesData[[#This Row],[Profit]]/SalesData[[#This Row],[Sales]]</f>
        <v>0.32069066432543164</v>
      </c>
      <c r="M2021" t="str">
        <f>TEXT(SalesData[[#This Row],[Order_Date]],"mmm")</f>
        <v>May</v>
      </c>
      <c r="N2021">
        <f>YEAR(SalesData[[#This Row],[Order_Date]])</f>
        <v>2023</v>
      </c>
    </row>
    <row r="2022" spans="1:14" x14ac:dyDescent="0.3">
      <c r="A2022" t="s">
        <v>3275</v>
      </c>
      <c r="B2022" s="1">
        <v>44673</v>
      </c>
      <c r="C2022" t="s">
        <v>1985</v>
      </c>
      <c r="D2022" t="s">
        <v>18</v>
      </c>
      <c r="E2022" t="s">
        <v>19</v>
      </c>
      <c r="F2022" t="s">
        <v>20</v>
      </c>
      <c r="G2022" t="s">
        <v>2398</v>
      </c>
      <c r="H2022" s="8">
        <v>2711.85</v>
      </c>
      <c r="I2022" s="8">
        <v>340.99</v>
      </c>
      <c r="J2022" s="8">
        <v>0.21</v>
      </c>
      <c r="K2022" t="str">
        <f>IF(SalesData[[#This Row],[Profit]]&gt;0,"Profit","Loss")</f>
        <v>Profit</v>
      </c>
      <c r="L2022" s="8">
        <f>SalesData[[#This Row],[Profit]]/SalesData[[#This Row],[Sales]]</f>
        <v>0.12574073049763076</v>
      </c>
      <c r="M2022" t="str">
        <f>TEXT(SalesData[[#This Row],[Order_Date]],"mmm")</f>
        <v>Apr</v>
      </c>
      <c r="N2022">
        <f>YEAR(SalesData[[#This Row],[Order_Date]])</f>
        <v>2022</v>
      </c>
    </row>
    <row r="2023" spans="1:14" x14ac:dyDescent="0.3">
      <c r="A2023" t="s">
        <v>3276</v>
      </c>
      <c r="B2023" s="1">
        <v>44732</v>
      </c>
      <c r="C2023" t="s">
        <v>1468</v>
      </c>
      <c r="D2023" t="s">
        <v>40</v>
      </c>
      <c r="E2023" t="s">
        <v>56</v>
      </c>
      <c r="F2023" t="s">
        <v>57</v>
      </c>
      <c r="G2023" t="s">
        <v>196</v>
      </c>
      <c r="H2023" s="8">
        <v>2133.7600000000002</v>
      </c>
      <c r="I2023" s="8">
        <v>191.64</v>
      </c>
      <c r="J2023" s="8">
        <v>0.13</v>
      </c>
      <c r="K2023" t="str">
        <f>IF(SalesData[[#This Row],[Profit]]&gt;0,"Profit","Loss")</f>
        <v>Profit</v>
      </c>
      <c r="L2023" s="8">
        <f>SalesData[[#This Row],[Profit]]/SalesData[[#This Row],[Sales]]</f>
        <v>8.9813287342531481E-2</v>
      </c>
      <c r="M2023" t="str">
        <f>TEXT(SalesData[[#This Row],[Order_Date]],"mmm")</f>
        <v>Jun</v>
      </c>
      <c r="N2023">
        <f>YEAR(SalesData[[#This Row],[Order_Date]])</f>
        <v>2022</v>
      </c>
    </row>
    <row r="2024" spans="1:14" x14ac:dyDescent="0.3">
      <c r="A2024" t="s">
        <v>3277</v>
      </c>
      <c r="B2024" s="1">
        <v>44782</v>
      </c>
      <c r="C2024" t="s">
        <v>2605</v>
      </c>
      <c r="D2024" t="s">
        <v>28</v>
      </c>
      <c r="E2024" t="s">
        <v>19</v>
      </c>
      <c r="F2024" t="s">
        <v>20</v>
      </c>
      <c r="G2024" t="s">
        <v>1113</v>
      </c>
      <c r="H2024" s="8">
        <v>4161</v>
      </c>
      <c r="I2024" s="8">
        <v>67.87</v>
      </c>
      <c r="J2024" s="8">
        <v>0.18</v>
      </c>
      <c r="K2024" t="str">
        <f>IF(SalesData[[#This Row],[Profit]]&gt;0,"Profit","Loss")</f>
        <v>Profit</v>
      </c>
      <c r="L2024" s="8">
        <f>SalesData[[#This Row],[Profit]]/SalesData[[#This Row],[Sales]]</f>
        <v>1.631098293679404E-2</v>
      </c>
      <c r="M2024" t="str">
        <f>TEXT(SalesData[[#This Row],[Order_Date]],"mmm")</f>
        <v>Aug</v>
      </c>
      <c r="N2024">
        <f>YEAR(SalesData[[#This Row],[Order_Date]])</f>
        <v>2022</v>
      </c>
    </row>
    <row r="2025" spans="1:14" x14ac:dyDescent="0.3">
      <c r="A2025" t="s">
        <v>3278</v>
      </c>
      <c r="B2025" s="1">
        <v>44582</v>
      </c>
      <c r="C2025" t="s">
        <v>1769</v>
      </c>
      <c r="D2025" t="s">
        <v>28</v>
      </c>
      <c r="E2025" t="s">
        <v>13</v>
      </c>
      <c r="F2025" t="s">
        <v>36</v>
      </c>
      <c r="G2025" t="s">
        <v>789</v>
      </c>
      <c r="H2025" s="8">
        <v>1467.96</v>
      </c>
      <c r="I2025" s="8">
        <v>-222.41</v>
      </c>
      <c r="J2025" s="8">
        <v>0.08</v>
      </c>
      <c r="K2025" t="str">
        <f>IF(SalesData[[#This Row],[Profit]]&gt;0,"Profit","Loss")</f>
        <v>Loss</v>
      </c>
      <c r="L2025" s="8">
        <f>SalesData[[#This Row],[Profit]]/SalesData[[#This Row],[Sales]]</f>
        <v>-0.15150957791765443</v>
      </c>
      <c r="M2025" t="str">
        <f>TEXT(SalesData[[#This Row],[Order_Date]],"mmm")</f>
        <v>Jan</v>
      </c>
      <c r="N2025">
        <f>YEAR(SalesData[[#This Row],[Order_Date]])</f>
        <v>2022</v>
      </c>
    </row>
    <row r="2026" spans="1:14" x14ac:dyDescent="0.3">
      <c r="A2026" t="s">
        <v>3279</v>
      </c>
      <c r="B2026" s="1">
        <v>45273</v>
      </c>
      <c r="C2026" t="s">
        <v>276</v>
      </c>
      <c r="D2026" t="s">
        <v>12</v>
      </c>
      <c r="E2026" t="s">
        <v>19</v>
      </c>
      <c r="F2026" t="s">
        <v>141</v>
      </c>
      <c r="G2026" t="s">
        <v>816</v>
      </c>
      <c r="H2026" s="8">
        <v>2377.86</v>
      </c>
      <c r="I2026" s="8">
        <v>282.58999999999997</v>
      </c>
      <c r="J2026" s="8">
        <v>0.03</v>
      </c>
      <c r="K2026" t="str">
        <f>IF(SalesData[[#This Row],[Profit]]&gt;0,"Profit","Loss")</f>
        <v>Profit</v>
      </c>
      <c r="L2026" s="8">
        <f>SalesData[[#This Row],[Profit]]/SalesData[[#This Row],[Sales]]</f>
        <v>0.1188421521872608</v>
      </c>
      <c r="M2026" t="str">
        <f>TEXT(SalesData[[#This Row],[Order_Date]],"mmm")</f>
        <v>Dec</v>
      </c>
      <c r="N2026">
        <f>YEAR(SalesData[[#This Row],[Order_Date]])</f>
        <v>2023</v>
      </c>
    </row>
    <row r="2027" spans="1:14" x14ac:dyDescent="0.3">
      <c r="A2027" t="s">
        <v>3280</v>
      </c>
      <c r="B2027" s="1">
        <v>44966</v>
      </c>
      <c r="C2027" t="s">
        <v>85</v>
      </c>
      <c r="D2027" t="s">
        <v>18</v>
      </c>
      <c r="E2027" t="s">
        <v>13</v>
      </c>
      <c r="F2027" t="s">
        <v>24</v>
      </c>
      <c r="G2027" t="s">
        <v>1492</v>
      </c>
      <c r="H2027" s="8">
        <v>2714.36</v>
      </c>
      <c r="I2027" s="8">
        <v>-336.48</v>
      </c>
      <c r="J2027" s="8">
        <v>0.26</v>
      </c>
      <c r="K2027" t="str">
        <f>IF(SalesData[[#This Row],[Profit]]&gt;0,"Profit","Loss")</f>
        <v>Loss</v>
      </c>
      <c r="L2027" s="8">
        <f>SalesData[[#This Row],[Profit]]/SalesData[[#This Row],[Sales]]</f>
        <v>-0.12396292311999882</v>
      </c>
      <c r="M2027" t="str">
        <f>TEXT(SalesData[[#This Row],[Order_Date]],"mmm")</f>
        <v>Feb</v>
      </c>
      <c r="N2027">
        <f>YEAR(SalesData[[#This Row],[Order_Date]])</f>
        <v>2023</v>
      </c>
    </row>
    <row r="2028" spans="1:14" x14ac:dyDescent="0.3">
      <c r="A2028" t="s">
        <v>3281</v>
      </c>
      <c r="B2028" s="1">
        <v>44613</v>
      </c>
      <c r="C2028" t="s">
        <v>118</v>
      </c>
      <c r="D2028" t="s">
        <v>12</v>
      </c>
      <c r="E2028" t="s">
        <v>13</v>
      </c>
      <c r="F2028" t="s">
        <v>14</v>
      </c>
      <c r="G2028" t="s">
        <v>769</v>
      </c>
      <c r="H2028" s="8">
        <v>2741.22</v>
      </c>
      <c r="I2028" s="8">
        <v>-532.19000000000005</v>
      </c>
      <c r="J2028" s="8">
        <v>7.0000000000000007E-2</v>
      </c>
      <c r="K2028" t="str">
        <f>IF(SalesData[[#This Row],[Profit]]&gt;0,"Profit","Loss")</f>
        <v>Loss</v>
      </c>
      <c r="L2028" s="8">
        <f>SalesData[[#This Row],[Profit]]/SalesData[[#This Row],[Sales]]</f>
        <v>-0.19414348355841562</v>
      </c>
      <c r="M2028" t="str">
        <f>TEXT(SalesData[[#This Row],[Order_Date]],"mmm")</f>
        <v>Feb</v>
      </c>
      <c r="N2028">
        <f>YEAR(SalesData[[#This Row],[Order_Date]])</f>
        <v>2022</v>
      </c>
    </row>
    <row r="2029" spans="1:14" x14ac:dyDescent="0.3">
      <c r="A2029" t="s">
        <v>3282</v>
      </c>
      <c r="B2029" s="1">
        <v>44829</v>
      </c>
      <c r="C2029" t="s">
        <v>2489</v>
      </c>
      <c r="D2029" t="s">
        <v>18</v>
      </c>
      <c r="E2029" t="s">
        <v>13</v>
      </c>
      <c r="F2029" t="s">
        <v>24</v>
      </c>
      <c r="G2029" t="s">
        <v>689</v>
      </c>
      <c r="H2029" s="8">
        <v>509.48</v>
      </c>
      <c r="I2029" s="8">
        <v>-154.82</v>
      </c>
      <c r="J2029" s="8">
        <v>0.16</v>
      </c>
      <c r="K2029" t="str">
        <f>IF(SalesData[[#This Row],[Profit]]&gt;0,"Profit","Loss")</f>
        <v>Loss</v>
      </c>
      <c r="L2029" s="8">
        <f>SalesData[[#This Row],[Profit]]/SalesData[[#This Row],[Sales]]</f>
        <v>-0.30387846431655802</v>
      </c>
      <c r="M2029" t="str">
        <f>TEXT(SalesData[[#This Row],[Order_Date]],"mmm")</f>
        <v>Sep</v>
      </c>
      <c r="N2029">
        <f>YEAR(SalesData[[#This Row],[Order_Date]])</f>
        <v>2022</v>
      </c>
    </row>
    <row r="2030" spans="1:14" x14ac:dyDescent="0.3">
      <c r="A2030" t="s">
        <v>3283</v>
      </c>
      <c r="B2030" s="1">
        <v>44787</v>
      </c>
      <c r="C2030" t="s">
        <v>524</v>
      </c>
      <c r="D2030" t="s">
        <v>12</v>
      </c>
      <c r="E2030" t="s">
        <v>56</v>
      </c>
      <c r="F2030" t="s">
        <v>57</v>
      </c>
      <c r="G2030" t="s">
        <v>677</v>
      </c>
      <c r="H2030" s="8">
        <v>2195.83</v>
      </c>
      <c r="I2030" s="8">
        <v>-739.6</v>
      </c>
      <c r="J2030" s="8">
        <v>0.26</v>
      </c>
      <c r="K2030" t="str">
        <f>IF(SalesData[[#This Row],[Profit]]&gt;0,"Profit","Loss")</f>
        <v>Loss</v>
      </c>
      <c r="L2030" s="8">
        <f>SalesData[[#This Row],[Profit]]/SalesData[[#This Row],[Sales]]</f>
        <v>-0.33682024564743174</v>
      </c>
      <c r="M2030" t="str">
        <f>TEXT(SalesData[[#This Row],[Order_Date]],"mmm")</f>
        <v>Aug</v>
      </c>
      <c r="N2030">
        <f>YEAR(SalesData[[#This Row],[Order_Date]])</f>
        <v>2022</v>
      </c>
    </row>
    <row r="2031" spans="1:14" x14ac:dyDescent="0.3">
      <c r="A2031" t="s">
        <v>3284</v>
      </c>
      <c r="B2031" s="1">
        <v>44644</v>
      </c>
      <c r="C2031" t="s">
        <v>885</v>
      </c>
      <c r="D2031" t="s">
        <v>40</v>
      </c>
      <c r="E2031" t="s">
        <v>56</v>
      </c>
      <c r="F2031" t="s">
        <v>73</v>
      </c>
      <c r="G2031" t="s">
        <v>485</v>
      </c>
      <c r="H2031" s="8">
        <v>2267.5</v>
      </c>
      <c r="I2031" s="8">
        <v>114.08</v>
      </c>
      <c r="J2031" s="8">
        <v>0.13</v>
      </c>
      <c r="K2031" t="str">
        <f>IF(SalesData[[#This Row],[Profit]]&gt;0,"Profit","Loss")</f>
        <v>Profit</v>
      </c>
      <c r="L2031" s="8">
        <f>SalesData[[#This Row],[Profit]]/SalesData[[#This Row],[Sales]]</f>
        <v>5.0310915104740901E-2</v>
      </c>
      <c r="M2031" t="str">
        <f>TEXT(SalesData[[#This Row],[Order_Date]],"mmm")</f>
        <v>Mar</v>
      </c>
      <c r="N2031">
        <f>YEAR(SalesData[[#This Row],[Order_Date]])</f>
        <v>2022</v>
      </c>
    </row>
    <row r="2032" spans="1:14" x14ac:dyDescent="0.3">
      <c r="A2032" t="s">
        <v>3285</v>
      </c>
      <c r="B2032" s="1">
        <v>44573</v>
      </c>
      <c r="C2032" t="s">
        <v>617</v>
      </c>
      <c r="D2032" t="s">
        <v>12</v>
      </c>
      <c r="E2032" t="s">
        <v>56</v>
      </c>
      <c r="F2032" t="s">
        <v>73</v>
      </c>
      <c r="G2032" t="s">
        <v>1342</v>
      </c>
      <c r="H2032" s="8">
        <v>1453.93</v>
      </c>
      <c r="I2032" s="8">
        <v>-628.13</v>
      </c>
      <c r="J2032" s="8">
        <v>0.25</v>
      </c>
      <c r="K2032" t="str">
        <f>IF(SalesData[[#This Row],[Profit]]&gt;0,"Profit","Loss")</f>
        <v>Loss</v>
      </c>
      <c r="L2032" s="8">
        <f>SalesData[[#This Row],[Profit]]/SalesData[[#This Row],[Sales]]</f>
        <v>-0.4320221743825356</v>
      </c>
      <c r="M2032" t="str">
        <f>TEXT(SalesData[[#This Row],[Order_Date]],"mmm")</f>
        <v>Jan</v>
      </c>
      <c r="N2032">
        <f>YEAR(SalesData[[#This Row],[Order_Date]])</f>
        <v>2022</v>
      </c>
    </row>
    <row r="2033" spans="1:14" x14ac:dyDescent="0.3">
      <c r="A2033" t="s">
        <v>3286</v>
      </c>
      <c r="B2033" s="1">
        <v>44892</v>
      </c>
      <c r="C2033" t="s">
        <v>1161</v>
      </c>
      <c r="D2033" t="s">
        <v>12</v>
      </c>
      <c r="E2033" t="s">
        <v>13</v>
      </c>
      <c r="F2033" t="s">
        <v>24</v>
      </c>
      <c r="G2033" t="s">
        <v>228</v>
      </c>
      <c r="H2033" s="8">
        <v>218.62</v>
      </c>
      <c r="I2033" s="8">
        <v>-92.21</v>
      </c>
      <c r="J2033" s="8">
        <v>0.24</v>
      </c>
      <c r="K2033" t="str">
        <f>IF(SalesData[[#This Row],[Profit]]&gt;0,"Profit","Loss")</f>
        <v>Loss</v>
      </c>
      <c r="L2033" s="8">
        <f>SalesData[[#This Row],[Profit]]/SalesData[[#This Row],[Sales]]</f>
        <v>-0.421782087640655</v>
      </c>
      <c r="M2033" t="str">
        <f>TEXT(SalesData[[#This Row],[Order_Date]],"mmm")</f>
        <v>Nov</v>
      </c>
      <c r="N2033">
        <f>YEAR(SalesData[[#This Row],[Order_Date]])</f>
        <v>2022</v>
      </c>
    </row>
    <row r="2034" spans="1:14" x14ac:dyDescent="0.3">
      <c r="A2034" t="s">
        <v>3287</v>
      </c>
      <c r="B2034" s="1">
        <v>45113</v>
      </c>
      <c r="C2034" t="s">
        <v>408</v>
      </c>
      <c r="D2034" t="s">
        <v>40</v>
      </c>
      <c r="E2034" t="s">
        <v>13</v>
      </c>
      <c r="F2034" t="s">
        <v>14</v>
      </c>
      <c r="G2034" t="s">
        <v>77</v>
      </c>
      <c r="H2034" s="8">
        <v>2455.8200000000002</v>
      </c>
      <c r="I2034" s="8">
        <v>-433.73</v>
      </c>
      <c r="J2034" s="8">
        <v>0.24</v>
      </c>
      <c r="K2034" t="str">
        <f>IF(SalesData[[#This Row],[Profit]]&gt;0,"Profit","Loss")</f>
        <v>Loss</v>
      </c>
      <c r="L2034" s="8">
        <f>SalesData[[#This Row],[Profit]]/SalesData[[#This Row],[Sales]]</f>
        <v>-0.17661310682379</v>
      </c>
      <c r="M2034" t="str">
        <f>TEXT(SalesData[[#This Row],[Order_Date]],"mmm")</f>
        <v>Jul</v>
      </c>
      <c r="N2034">
        <f>YEAR(SalesData[[#This Row],[Order_Date]])</f>
        <v>2023</v>
      </c>
    </row>
    <row r="2035" spans="1:14" x14ac:dyDescent="0.3">
      <c r="A2035" t="s">
        <v>3288</v>
      </c>
      <c r="B2035" s="1">
        <v>44923</v>
      </c>
      <c r="C2035" t="s">
        <v>446</v>
      </c>
      <c r="D2035" t="s">
        <v>28</v>
      </c>
      <c r="E2035" t="s">
        <v>13</v>
      </c>
      <c r="F2035" t="s">
        <v>24</v>
      </c>
      <c r="G2035" t="s">
        <v>404</v>
      </c>
      <c r="H2035" s="8">
        <v>4846.3500000000004</v>
      </c>
      <c r="I2035" s="8">
        <v>-582.22</v>
      </c>
      <c r="J2035" s="8">
        <v>0.01</v>
      </c>
      <c r="K2035" t="str">
        <f>IF(SalesData[[#This Row],[Profit]]&gt;0,"Profit","Loss")</f>
        <v>Loss</v>
      </c>
      <c r="L2035" s="8">
        <f>SalesData[[#This Row],[Profit]]/SalesData[[#This Row],[Sales]]</f>
        <v>-0.12013577228223302</v>
      </c>
      <c r="M2035" t="str">
        <f>TEXT(SalesData[[#This Row],[Order_Date]],"mmm")</f>
        <v>Dec</v>
      </c>
      <c r="N2035">
        <f>YEAR(SalesData[[#This Row],[Order_Date]])</f>
        <v>2022</v>
      </c>
    </row>
    <row r="2036" spans="1:14" x14ac:dyDescent="0.3">
      <c r="A2036" t="s">
        <v>3289</v>
      </c>
      <c r="B2036" s="1">
        <v>44649</v>
      </c>
      <c r="C2036" t="s">
        <v>631</v>
      </c>
      <c r="D2036" t="s">
        <v>18</v>
      </c>
      <c r="E2036" t="s">
        <v>56</v>
      </c>
      <c r="F2036" t="s">
        <v>73</v>
      </c>
      <c r="G2036" t="s">
        <v>1321</v>
      </c>
      <c r="H2036" s="8">
        <v>3263.47</v>
      </c>
      <c r="I2036" s="8">
        <v>-892.62</v>
      </c>
      <c r="J2036" s="8">
        <v>0.23</v>
      </c>
      <c r="K2036" t="str">
        <f>IF(SalesData[[#This Row],[Profit]]&gt;0,"Profit","Loss")</f>
        <v>Loss</v>
      </c>
      <c r="L2036" s="8">
        <f>SalesData[[#This Row],[Profit]]/SalesData[[#This Row],[Sales]]</f>
        <v>-0.27351867797160695</v>
      </c>
      <c r="M2036" t="str">
        <f>TEXT(SalesData[[#This Row],[Order_Date]],"mmm")</f>
        <v>Mar</v>
      </c>
      <c r="N2036">
        <f>YEAR(SalesData[[#This Row],[Order_Date]])</f>
        <v>2022</v>
      </c>
    </row>
    <row r="2037" spans="1:14" x14ac:dyDescent="0.3">
      <c r="A2037" t="s">
        <v>3290</v>
      </c>
      <c r="B2037" s="1">
        <v>44640</v>
      </c>
      <c r="C2037" t="s">
        <v>1987</v>
      </c>
      <c r="D2037" t="s">
        <v>18</v>
      </c>
      <c r="E2037" t="s">
        <v>13</v>
      </c>
      <c r="F2037" t="s">
        <v>24</v>
      </c>
      <c r="G2037" t="s">
        <v>1203</v>
      </c>
      <c r="H2037" s="8">
        <v>2746.07</v>
      </c>
      <c r="I2037" s="8">
        <v>64.069999999999993</v>
      </c>
      <c r="J2037" s="8">
        <v>0.09</v>
      </c>
      <c r="K2037" t="str">
        <f>IF(SalesData[[#This Row],[Profit]]&gt;0,"Profit","Loss")</f>
        <v>Profit</v>
      </c>
      <c r="L2037" s="8">
        <f>SalesData[[#This Row],[Profit]]/SalesData[[#This Row],[Sales]]</f>
        <v>2.3331524688008677E-2</v>
      </c>
      <c r="M2037" t="str">
        <f>TEXT(SalesData[[#This Row],[Order_Date]],"mmm")</f>
        <v>Mar</v>
      </c>
      <c r="N2037">
        <f>YEAR(SalesData[[#This Row],[Order_Date]])</f>
        <v>2022</v>
      </c>
    </row>
    <row r="2038" spans="1:14" x14ac:dyDescent="0.3">
      <c r="A2038" t="s">
        <v>3291</v>
      </c>
      <c r="B2038" s="1">
        <v>44603</v>
      </c>
      <c r="C2038" t="s">
        <v>1763</v>
      </c>
      <c r="D2038" t="s">
        <v>28</v>
      </c>
      <c r="E2038" t="s">
        <v>19</v>
      </c>
      <c r="F2038" t="s">
        <v>141</v>
      </c>
      <c r="G2038" t="s">
        <v>3163</v>
      </c>
      <c r="H2038" s="8">
        <v>3146.11</v>
      </c>
      <c r="I2038" s="8">
        <v>55.58</v>
      </c>
      <c r="J2038" s="8">
        <v>0.01</v>
      </c>
      <c r="K2038" t="str">
        <f>IF(SalesData[[#This Row],[Profit]]&gt;0,"Profit","Loss")</f>
        <v>Profit</v>
      </c>
      <c r="L2038" s="8">
        <f>SalesData[[#This Row],[Profit]]/SalesData[[#This Row],[Sales]]</f>
        <v>1.7666260874540304E-2</v>
      </c>
      <c r="M2038" t="str">
        <f>TEXT(SalesData[[#This Row],[Order_Date]],"mmm")</f>
        <v>Feb</v>
      </c>
      <c r="N2038">
        <f>YEAR(SalesData[[#This Row],[Order_Date]])</f>
        <v>2022</v>
      </c>
    </row>
    <row r="2039" spans="1:14" x14ac:dyDescent="0.3">
      <c r="A2039" t="s">
        <v>3292</v>
      </c>
      <c r="B2039" s="1">
        <v>44813</v>
      </c>
      <c r="C2039" t="s">
        <v>776</v>
      </c>
      <c r="D2039" t="s">
        <v>40</v>
      </c>
      <c r="E2039" t="s">
        <v>56</v>
      </c>
      <c r="F2039" t="s">
        <v>57</v>
      </c>
      <c r="G2039" t="s">
        <v>409</v>
      </c>
      <c r="H2039" s="8">
        <v>3036.14</v>
      </c>
      <c r="I2039" s="8">
        <v>-131.25</v>
      </c>
      <c r="J2039" s="8">
        <v>0</v>
      </c>
      <c r="K2039" t="str">
        <f>IF(SalesData[[#This Row],[Profit]]&gt;0,"Profit","Loss")</f>
        <v>Loss</v>
      </c>
      <c r="L2039" s="8">
        <f>SalesData[[#This Row],[Profit]]/SalesData[[#This Row],[Sales]]</f>
        <v>-4.322923185360359E-2</v>
      </c>
      <c r="M2039" t="str">
        <f>TEXT(SalesData[[#This Row],[Order_Date]],"mmm")</f>
        <v>Sep</v>
      </c>
      <c r="N2039">
        <f>YEAR(SalesData[[#This Row],[Order_Date]])</f>
        <v>2022</v>
      </c>
    </row>
    <row r="2040" spans="1:14" x14ac:dyDescent="0.3">
      <c r="A2040" t="s">
        <v>3293</v>
      </c>
      <c r="B2040" s="1">
        <v>44976</v>
      </c>
      <c r="C2040" t="s">
        <v>776</v>
      </c>
      <c r="D2040" t="s">
        <v>12</v>
      </c>
      <c r="E2040" t="s">
        <v>19</v>
      </c>
      <c r="F2040" t="s">
        <v>20</v>
      </c>
      <c r="G2040" t="s">
        <v>548</v>
      </c>
      <c r="H2040" s="8">
        <v>1871.19</v>
      </c>
      <c r="I2040" s="8">
        <v>-59.84</v>
      </c>
      <c r="J2040" s="8">
        <v>0.15</v>
      </c>
      <c r="K2040" t="str">
        <f>IF(SalesData[[#This Row],[Profit]]&gt;0,"Profit","Loss")</f>
        <v>Loss</v>
      </c>
      <c r="L2040" s="8">
        <f>SalesData[[#This Row],[Profit]]/SalesData[[#This Row],[Sales]]</f>
        <v>-3.1979649314072864E-2</v>
      </c>
      <c r="M2040" t="str">
        <f>TEXT(SalesData[[#This Row],[Order_Date]],"mmm")</f>
        <v>Feb</v>
      </c>
      <c r="N2040">
        <f>YEAR(SalesData[[#This Row],[Order_Date]])</f>
        <v>2023</v>
      </c>
    </row>
    <row r="2041" spans="1:14" x14ac:dyDescent="0.3">
      <c r="A2041" t="s">
        <v>3294</v>
      </c>
      <c r="B2041" s="1">
        <v>44940</v>
      </c>
      <c r="C2041" t="s">
        <v>3271</v>
      </c>
      <c r="D2041" t="s">
        <v>12</v>
      </c>
      <c r="E2041" t="s">
        <v>19</v>
      </c>
      <c r="F2041" t="s">
        <v>20</v>
      </c>
      <c r="G2041" t="s">
        <v>1379</v>
      </c>
      <c r="H2041" s="8">
        <v>4008.73</v>
      </c>
      <c r="I2041" s="8">
        <v>979.74</v>
      </c>
      <c r="J2041" s="8">
        <v>0.15</v>
      </c>
      <c r="K2041" t="str">
        <f>IF(SalesData[[#This Row],[Profit]]&gt;0,"Profit","Loss")</f>
        <v>Profit</v>
      </c>
      <c r="L2041" s="8">
        <f>SalesData[[#This Row],[Profit]]/SalesData[[#This Row],[Sales]]</f>
        <v>0.24440159352213794</v>
      </c>
      <c r="M2041" t="str">
        <f>TEXT(SalesData[[#This Row],[Order_Date]],"mmm")</f>
        <v>Jan</v>
      </c>
      <c r="N2041">
        <f>YEAR(SalesData[[#This Row],[Order_Date]])</f>
        <v>2023</v>
      </c>
    </row>
    <row r="2042" spans="1:14" x14ac:dyDescent="0.3">
      <c r="A2042" t="s">
        <v>3295</v>
      </c>
      <c r="B2042" s="1">
        <v>44602</v>
      </c>
      <c r="C2042" t="s">
        <v>1517</v>
      </c>
      <c r="D2042" t="s">
        <v>28</v>
      </c>
      <c r="E2042" t="s">
        <v>19</v>
      </c>
      <c r="F2042" t="s">
        <v>20</v>
      </c>
      <c r="G2042" t="s">
        <v>1492</v>
      </c>
      <c r="H2042" s="8">
        <v>3947.19</v>
      </c>
      <c r="I2042" s="8">
        <v>-1124.46</v>
      </c>
      <c r="J2042" s="8">
        <v>0.11</v>
      </c>
      <c r="K2042" t="str">
        <f>IF(SalesData[[#This Row],[Profit]]&gt;0,"Profit","Loss")</f>
        <v>Loss</v>
      </c>
      <c r="L2042" s="8">
        <f>SalesData[[#This Row],[Profit]]/SalesData[[#This Row],[Sales]]</f>
        <v>-0.2848760763986532</v>
      </c>
      <c r="M2042" t="str">
        <f>TEXT(SalesData[[#This Row],[Order_Date]],"mmm")</f>
        <v>Feb</v>
      </c>
      <c r="N2042">
        <f>YEAR(SalesData[[#This Row],[Order_Date]])</f>
        <v>2022</v>
      </c>
    </row>
    <row r="2043" spans="1:14" x14ac:dyDescent="0.3">
      <c r="A2043" t="s">
        <v>3296</v>
      </c>
      <c r="B2043" s="1">
        <v>45033</v>
      </c>
      <c r="C2043" t="s">
        <v>890</v>
      </c>
      <c r="D2043" t="s">
        <v>40</v>
      </c>
      <c r="E2043" t="s">
        <v>19</v>
      </c>
      <c r="F2043" t="s">
        <v>20</v>
      </c>
      <c r="G2043" t="s">
        <v>766</v>
      </c>
      <c r="H2043" s="8">
        <v>1277.9100000000001</v>
      </c>
      <c r="I2043" s="8">
        <v>-14.66</v>
      </c>
      <c r="J2043" s="8">
        <v>0.18</v>
      </c>
      <c r="K2043" t="str">
        <f>IF(SalesData[[#This Row],[Profit]]&gt;0,"Profit","Loss")</f>
        <v>Loss</v>
      </c>
      <c r="L2043" s="8">
        <f>SalesData[[#This Row],[Profit]]/SalesData[[#This Row],[Sales]]</f>
        <v>-1.1471856390512633E-2</v>
      </c>
      <c r="M2043" t="str">
        <f>TEXT(SalesData[[#This Row],[Order_Date]],"mmm")</f>
        <v>Apr</v>
      </c>
      <c r="N2043">
        <f>YEAR(SalesData[[#This Row],[Order_Date]])</f>
        <v>2023</v>
      </c>
    </row>
    <row r="2044" spans="1:14" x14ac:dyDescent="0.3">
      <c r="A2044" t="s">
        <v>3297</v>
      </c>
      <c r="B2044" s="1">
        <v>45100</v>
      </c>
      <c r="C2044" t="s">
        <v>1559</v>
      </c>
      <c r="D2044" t="s">
        <v>18</v>
      </c>
      <c r="E2044" t="s">
        <v>56</v>
      </c>
      <c r="F2044" t="s">
        <v>73</v>
      </c>
      <c r="G2044" t="s">
        <v>520</v>
      </c>
      <c r="H2044" s="8">
        <v>3915.21</v>
      </c>
      <c r="I2044" s="8">
        <v>92.77</v>
      </c>
      <c r="J2044" s="8">
        <v>0.28999999999999998</v>
      </c>
      <c r="K2044" t="str">
        <f>IF(SalesData[[#This Row],[Profit]]&gt;0,"Profit","Loss")</f>
        <v>Profit</v>
      </c>
      <c r="L2044" s="8">
        <f>SalesData[[#This Row],[Profit]]/SalesData[[#This Row],[Sales]]</f>
        <v>2.369476988462943E-2</v>
      </c>
      <c r="M2044" t="str">
        <f>TEXT(SalesData[[#This Row],[Order_Date]],"mmm")</f>
        <v>Jun</v>
      </c>
      <c r="N2044">
        <f>YEAR(SalesData[[#This Row],[Order_Date]])</f>
        <v>2023</v>
      </c>
    </row>
    <row r="2045" spans="1:14" x14ac:dyDescent="0.3">
      <c r="A2045" t="s">
        <v>3298</v>
      </c>
      <c r="B2045" s="1">
        <v>44820</v>
      </c>
      <c r="C2045" t="s">
        <v>63</v>
      </c>
      <c r="D2045" t="s">
        <v>12</v>
      </c>
      <c r="E2045" t="s">
        <v>56</v>
      </c>
      <c r="F2045" t="s">
        <v>95</v>
      </c>
      <c r="G2045" t="s">
        <v>706</v>
      </c>
      <c r="H2045" s="8">
        <v>4029.77</v>
      </c>
      <c r="I2045" s="8">
        <v>157.77000000000001</v>
      </c>
      <c r="J2045" s="8">
        <v>0.28000000000000003</v>
      </c>
      <c r="K2045" t="str">
        <f>IF(SalesData[[#This Row],[Profit]]&gt;0,"Profit","Loss")</f>
        <v>Profit</v>
      </c>
      <c r="L2045" s="8">
        <f>SalesData[[#This Row],[Profit]]/SalesData[[#This Row],[Sales]]</f>
        <v>3.9151117805730849E-2</v>
      </c>
      <c r="M2045" t="str">
        <f>TEXT(SalesData[[#This Row],[Order_Date]],"mmm")</f>
        <v>Sep</v>
      </c>
      <c r="N2045">
        <f>YEAR(SalesData[[#This Row],[Order_Date]])</f>
        <v>2022</v>
      </c>
    </row>
    <row r="2046" spans="1:14" x14ac:dyDescent="0.3">
      <c r="A2046" t="s">
        <v>3299</v>
      </c>
      <c r="B2046" s="1">
        <v>45221</v>
      </c>
      <c r="C2046" t="s">
        <v>2047</v>
      </c>
      <c r="D2046" t="s">
        <v>28</v>
      </c>
      <c r="E2046" t="s">
        <v>13</v>
      </c>
      <c r="F2046" t="s">
        <v>24</v>
      </c>
      <c r="G2046" t="s">
        <v>598</v>
      </c>
      <c r="H2046" s="8">
        <v>3718.68</v>
      </c>
      <c r="I2046" s="8">
        <v>594.88</v>
      </c>
      <c r="J2046" s="8">
        <v>0.08</v>
      </c>
      <c r="K2046" t="str">
        <f>IF(SalesData[[#This Row],[Profit]]&gt;0,"Profit","Loss")</f>
        <v>Profit</v>
      </c>
      <c r="L2046" s="8">
        <f>SalesData[[#This Row],[Profit]]/SalesData[[#This Row],[Sales]]</f>
        <v>0.15997074230640981</v>
      </c>
      <c r="M2046" t="str">
        <f>TEXT(SalesData[[#This Row],[Order_Date]],"mmm")</f>
        <v>Oct</v>
      </c>
      <c r="N2046">
        <f>YEAR(SalesData[[#This Row],[Order_Date]])</f>
        <v>2023</v>
      </c>
    </row>
    <row r="2047" spans="1:14" x14ac:dyDescent="0.3">
      <c r="A2047" t="s">
        <v>3300</v>
      </c>
      <c r="B2047" s="1">
        <v>45225</v>
      </c>
      <c r="C2047" t="s">
        <v>2130</v>
      </c>
      <c r="D2047" t="s">
        <v>28</v>
      </c>
      <c r="E2047" t="s">
        <v>56</v>
      </c>
      <c r="F2047" t="s">
        <v>73</v>
      </c>
      <c r="G2047" t="s">
        <v>2033</v>
      </c>
      <c r="H2047" s="8">
        <v>1049.9000000000001</v>
      </c>
      <c r="I2047" s="8">
        <v>-322.73</v>
      </c>
      <c r="J2047" s="8">
        <v>0.22</v>
      </c>
      <c r="K2047" t="str">
        <f>IF(SalesData[[#This Row],[Profit]]&gt;0,"Profit","Loss")</f>
        <v>Loss</v>
      </c>
      <c r="L2047" s="8">
        <f>SalesData[[#This Row],[Profit]]/SalesData[[#This Row],[Sales]]</f>
        <v>-0.30739118011239164</v>
      </c>
      <c r="M2047" t="str">
        <f>TEXT(SalesData[[#This Row],[Order_Date]],"mmm")</f>
        <v>Oct</v>
      </c>
      <c r="N2047">
        <f>YEAR(SalesData[[#This Row],[Order_Date]])</f>
        <v>2023</v>
      </c>
    </row>
    <row r="2048" spans="1:14" x14ac:dyDescent="0.3">
      <c r="A2048" t="s">
        <v>3301</v>
      </c>
      <c r="B2048" s="1">
        <v>45256</v>
      </c>
      <c r="C2048" t="s">
        <v>382</v>
      </c>
      <c r="D2048" t="s">
        <v>18</v>
      </c>
      <c r="E2048" t="s">
        <v>56</v>
      </c>
      <c r="F2048" t="s">
        <v>57</v>
      </c>
      <c r="G2048" t="s">
        <v>1326</v>
      </c>
      <c r="H2048" s="8">
        <v>3397.7</v>
      </c>
      <c r="I2048" s="8">
        <v>0.17</v>
      </c>
      <c r="J2048" s="8">
        <v>0.04</v>
      </c>
      <c r="K2048" t="str">
        <f>IF(SalesData[[#This Row],[Profit]]&gt;0,"Profit","Loss")</f>
        <v>Profit</v>
      </c>
      <c r="L2048" s="8">
        <f>SalesData[[#This Row],[Profit]]/SalesData[[#This Row],[Sales]]</f>
        <v>5.0033846425523157E-5</v>
      </c>
      <c r="M2048" t="str">
        <f>TEXT(SalesData[[#This Row],[Order_Date]],"mmm")</f>
        <v>Nov</v>
      </c>
      <c r="N2048">
        <f>YEAR(SalesData[[#This Row],[Order_Date]])</f>
        <v>2023</v>
      </c>
    </row>
    <row r="2049" spans="1:14" x14ac:dyDescent="0.3">
      <c r="A2049" t="s">
        <v>3302</v>
      </c>
      <c r="B2049" s="1">
        <v>44724</v>
      </c>
      <c r="C2049" t="s">
        <v>1750</v>
      </c>
      <c r="D2049" t="s">
        <v>18</v>
      </c>
      <c r="E2049" t="s">
        <v>13</v>
      </c>
      <c r="F2049" t="s">
        <v>24</v>
      </c>
      <c r="G2049" t="s">
        <v>328</v>
      </c>
      <c r="H2049" s="8">
        <v>3380.53</v>
      </c>
      <c r="I2049" s="8">
        <v>-593</v>
      </c>
      <c r="J2049" s="8">
        <v>0.22</v>
      </c>
      <c r="K2049" t="str">
        <f>IF(SalesData[[#This Row],[Profit]]&gt;0,"Profit","Loss")</f>
        <v>Loss</v>
      </c>
      <c r="L2049" s="8">
        <f>SalesData[[#This Row],[Profit]]/SalesData[[#This Row],[Sales]]</f>
        <v>-0.17541628087903374</v>
      </c>
      <c r="M2049" t="str">
        <f>TEXT(SalesData[[#This Row],[Order_Date]],"mmm")</f>
        <v>Jun</v>
      </c>
      <c r="N2049">
        <f>YEAR(SalesData[[#This Row],[Order_Date]])</f>
        <v>2022</v>
      </c>
    </row>
    <row r="2050" spans="1:14" x14ac:dyDescent="0.3">
      <c r="A2050" t="s">
        <v>3303</v>
      </c>
      <c r="B2050" s="1">
        <v>45003</v>
      </c>
      <c r="C2050" t="s">
        <v>688</v>
      </c>
      <c r="D2050" t="s">
        <v>12</v>
      </c>
      <c r="E2050" t="s">
        <v>19</v>
      </c>
      <c r="F2050" t="s">
        <v>141</v>
      </c>
      <c r="G2050" t="s">
        <v>507</v>
      </c>
      <c r="H2050" s="8">
        <v>739.5</v>
      </c>
      <c r="I2050" s="8">
        <v>64.349999999999994</v>
      </c>
      <c r="J2050" s="8">
        <v>0.22</v>
      </c>
      <c r="K2050" t="str">
        <f>IF(SalesData[[#This Row],[Profit]]&gt;0,"Profit","Loss")</f>
        <v>Profit</v>
      </c>
      <c r="L2050" s="8">
        <f>SalesData[[#This Row],[Profit]]/SalesData[[#This Row],[Sales]]</f>
        <v>8.7018255578093298E-2</v>
      </c>
      <c r="M2050" t="str">
        <f>TEXT(SalesData[[#This Row],[Order_Date]],"mmm")</f>
        <v>Mar</v>
      </c>
      <c r="N2050">
        <f>YEAR(SalesData[[#This Row],[Order_Date]])</f>
        <v>2023</v>
      </c>
    </row>
    <row r="2051" spans="1:14" x14ac:dyDescent="0.3">
      <c r="A2051" t="s">
        <v>3304</v>
      </c>
      <c r="B2051" s="1">
        <v>45208</v>
      </c>
      <c r="C2051" t="s">
        <v>1851</v>
      </c>
      <c r="D2051" t="s">
        <v>18</v>
      </c>
      <c r="E2051" t="s">
        <v>19</v>
      </c>
      <c r="F2051" t="s">
        <v>20</v>
      </c>
      <c r="G2051" t="s">
        <v>1208</v>
      </c>
      <c r="H2051" s="8">
        <v>2363.63</v>
      </c>
      <c r="I2051" s="8">
        <v>56.99</v>
      </c>
      <c r="J2051" s="8">
        <v>0.01</v>
      </c>
      <c r="K2051" t="str">
        <f>IF(SalesData[[#This Row],[Profit]]&gt;0,"Profit","Loss")</f>
        <v>Profit</v>
      </c>
      <c r="L2051" s="8">
        <f>SalesData[[#This Row],[Profit]]/SalesData[[#This Row],[Sales]]</f>
        <v>2.4111218760973586E-2</v>
      </c>
      <c r="M2051" t="str">
        <f>TEXT(SalesData[[#This Row],[Order_Date]],"mmm")</f>
        <v>Oct</v>
      </c>
      <c r="N2051">
        <f>YEAR(SalesData[[#This Row],[Order_Date]])</f>
        <v>2023</v>
      </c>
    </row>
    <row r="2052" spans="1:14" x14ac:dyDescent="0.3">
      <c r="A2052" t="s">
        <v>3305</v>
      </c>
      <c r="B2052" s="1">
        <v>44796</v>
      </c>
      <c r="C2052" t="s">
        <v>467</v>
      </c>
      <c r="D2052" t="s">
        <v>40</v>
      </c>
      <c r="E2052" t="s">
        <v>19</v>
      </c>
      <c r="F2052" t="s">
        <v>29</v>
      </c>
      <c r="G2052" t="s">
        <v>1578</v>
      </c>
      <c r="H2052" s="8">
        <v>4344.74</v>
      </c>
      <c r="I2052" s="8">
        <v>138.88999999999999</v>
      </c>
      <c r="J2052" s="8">
        <v>0.01</v>
      </c>
      <c r="K2052" t="str">
        <f>IF(SalesData[[#This Row],[Profit]]&gt;0,"Profit","Loss")</f>
        <v>Profit</v>
      </c>
      <c r="L2052" s="8">
        <f>SalesData[[#This Row],[Profit]]/SalesData[[#This Row],[Sales]]</f>
        <v>3.1967390453744068E-2</v>
      </c>
      <c r="M2052" t="str">
        <f>TEXT(SalesData[[#This Row],[Order_Date]],"mmm")</f>
        <v>Aug</v>
      </c>
      <c r="N2052">
        <f>YEAR(SalesData[[#This Row],[Order_Date]])</f>
        <v>2022</v>
      </c>
    </row>
    <row r="2053" spans="1:14" x14ac:dyDescent="0.3">
      <c r="A2053" t="s">
        <v>3306</v>
      </c>
      <c r="B2053" s="1">
        <v>44585</v>
      </c>
      <c r="C2053" t="s">
        <v>2673</v>
      </c>
      <c r="D2053" t="s">
        <v>12</v>
      </c>
      <c r="E2053" t="s">
        <v>13</v>
      </c>
      <c r="F2053" t="s">
        <v>24</v>
      </c>
      <c r="G2053" t="s">
        <v>233</v>
      </c>
      <c r="H2053" s="8">
        <v>1016.08</v>
      </c>
      <c r="I2053" s="8">
        <v>263.45</v>
      </c>
      <c r="J2053" s="8">
        <v>0.06</v>
      </c>
      <c r="K2053" t="str">
        <f>IF(SalesData[[#This Row],[Profit]]&gt;0,"Profit","Loss")</f>
        <v>Profit</v>
      </c>
      <c r="L2053" s="8">
        <f>SalesData[[#This Row],[Profit]]/SalesData[[#This Row],[Sales]]</f>
        <v>0.25928076529407129</v>
      </c>
      <c r="M2053" t="str">
        <f>TEXT(SalesData[[#This Row],[Order_Date]],"mmm")</f>
        <v>Jan</v>
      </c>
      <c r="N2053">
        <f>YEAR(SalesData[[#This Row],[Order_Date]])</f>
        <v>2022</v>
      </c>
    </row>
    <row r="2054" spans="1:14" x14ac:dyDescent="0.3">
      <c r="A2054" t="s">
        <v>3307</v>
      </c>
      <c r="B2054" s="1">
        <v>45151</v>
      </c>
      <c r="C2054" t="s">
        <v>3308</v>
      </c>
      <c r="D2054" t="s">
        <v>12</v>
      </c>
      <c r="E2054" t="s">
        <v>19</v>
      </c>
      <c r="F2054" t="s">
        <v>29</v>
      </c>
      <c r="G2054" t="s">
        <v>339</v>
      </c>
      <c r="H2054" s="8">
        <v>2114.84</v>
      </c>
      <c r="I2054" s="8">
        <v>-223.41</v>
      </c>
      <c r="J2054" s="8">
        <v>0.08</v>
      </c>
      <c r="K2054" t="str">
        <f>IF(SalesData[[#This Row],[Profit]]&gt;0,"Profit","Loss")</f>
        <v>Loss</v>
      </c>
      <c r="L2054" s="8">
        <f>SalesData[[#This Row],[Profit]]/SalesData[[#This Row],[Sales]]</f>
        <v>-0.10563919729152087</v>
      </c>
      <c r="M2054" t="str">
        <f>TEXT(SalesData[[#This Row],[Order_Date]],"mmm")</f>
        <v>Aug</v>
      </c>
      <c r="N2054">
        <f>YEAR(SalesData[[#This Row],[Order_Date]])</f>
        <v>2023</v>
      </c>
    </row>
    <row r="2055" spans="1:14" x14ac:dyDescent="0.3">
      <c r="A2055" t="s">
        <v>3309</v>
      </c>
      <c r="B2055" s="1">
        <v>45093</v>
      </c>
      <c r="C2055" t="s">
        <v>1680</v>
      </c>
      <c r="D2055" t="s">
        <v>40</v>
      </c>
      <c r="E2055" t="s">
        <v>56</v>
      </c>
      <c r="F2055" t="s">
        <v>73</v>
      </c>
      <c r="G2055" t="s">
        <v>1044</v>
      </c>
      <c r="H2055" s="8">
        <v>633.92999999999995</v>
      </c>
      <c r="I2055" s="8">
        <v>94.1</v>
      </c>
      <c r="J2055" s="8">
        <v>7.0000000000000007E-2</v>
      </c>
      <c r="K2055" t="str">
        <f>IF(SalesData[[#This Row],[Profit]]&gt;0,"Profit","Loss")</f>
        <v>Profit</v>
      </c>
      <c r="L2055" s="8">
        <f>SalesData[[#This Row],[Profit]]/SalesData[[#This Row],[Sales]]</f>
        <v>0.14843910210906566</v>
      </c>
      <c r="M2055" t="str">
        <f>TEXT(SalesData[[#This Row],[Order_Date]],"mmm")</f>
        <v>Jun</v>
      </c>
      <c r="N2055">
        <f>YEAR(SalesData[[#This Row],[Order_Date]])</f>
        <v>2023</v>
      </c>
    </row>
    <row r="2056" spans="1:14" x14ac:dyDescent="0.3">
      <c r="A2056" t="s">
        <v>3310</v>
      </c>
      <c r="B2056" s="1">
        <v>45266</v>
      </c>
      <c r="C2056" t="s">
        <v>2117</v>
      </c>
      <c r="D2056" t="s">
        <v>12</v>
      </c>
      <c r="E2056" t="s">
        <v>13</v>
      </c>
      <c r="F2056" t="s">
        <v>14</v>
      </c>
      <c r="G2056" t="s">
        <v>479</v>
      </c>
      <c r="H2056" s="8">
        <v>2381.85</v>
      </c>
      <c r="I2056" s="8">
        <v>-983.9</v>
      </c>
      <c r="J2056" s="8">
        <v>0.25</v>
      </c>
      <c r="K2056" t="str">
        <f>IF(SalesData[[#This Row],[Profit]]&gt;0,"Profit","Loss")</f>
        <v>Loss</v>
      </c>
      <c r="L2056" s="8">
        <f>SalesData[[#This Row],[Profit]]/SalesData[[#This Row],[Sales]]</f>
        <v>-0.41308226798496966</v>
      </c>
      <c r="M2056" t="str">
        <f>TEXT(SalesData[[#This Row],[Order_Date]],"mmm")</f>
        <v>Dec</v>
      </c>
      <c r="N2056">
        <f>YEAR(SalesData[[#This Row],[Order_Date]])</f>
        <v>2023</v>
      </c>
    </row>
    <row r="2057" spans="1:14" x14ac:dyDescent="0.3">
      <c r="A2057" t="s">
        <v>3311</v>
      </c>
      <c r="B2057" s="1">
        <v>44783</v>
      </c>
      <c r="C2057" t="s">
        <v>2864</v>
      </c>
      <c r="D2057" t="s">
        <v>40</v>
      </c>
      <c r="E2057" t="s">
        <v>13</v>
      </c>
      <c r="F2057" t="s">
        <v>24</v>
      </c>
      <c r="G2057" t="s">
        <v>1574</v>
      </c>
      <c r="H2057" s="8">
        <v>381.86</v>
      </c>
      <c r="I2057" s="8">
        <v>-120.94</v>
      </c>
      <c r="J2057" s="8">
        <v>0.26</v>
      </c>
      <c r="K2057" t="str">
        <f>IF(SalesData[[#This Row],[Profit]]&gt;0,"Profit","Loss")</f>
        <v>Loss</v>
      </c>
      <c r="L2057" s="8">
        <f>SalesData[[#This Row],[Profit]]/SalesData[[#This Row],[Sales]]</f>
        <v>-0.31671293144084217</v>
      </c>
      <c r="M2057" t="str">
        <f>TEXT(SalesData[[#This Row],[Order_Date]],"mmm")</f>
        <v>Aug</v>
      </c>
      <c r="N2057">
        <f>YEAR(SalesData[[#This Row],[Order_Date]])</f>
        <v>2022</v>
      </c>
    </row>
    <row r="2058" spans="1:14" x14ac:dyDescent="0.3">
      <c r="A2058" t="s">
        <v>3312</v>
      </c>
      <c r="B2058" s="1">
        <v>44789</v>
      </c>
      <c r="C2058" t="s">
        <v>2168</v>
      </c>
      <c r="D2058" t="s">
        <v>12</v>
      </c>
      <c r="E2058" t="s">
        <v>13</v>
      </c>
      <c r="F2058" t="s">
        <v>36</v>
      </c>
      <c r="G2058" t="s">
        <v>392</v>
      </c>
      <c r="H2058" s="8">
        <v>2976.9</v>
      </c>
      <c r="I2058" s="8">
        <v>-1180.9100000000001</v>
      </c>
      <c r="J2058" s="8">
        <v>0.27</v>
      </c>
      <c r="K2058" t="str">
        <f>IF(SalesData[[#This Row],[Profit]]&gt;0,"Profit","Loss")</f>
        <v>Loss</v>
      </c>
      <c r="L2058" s="8">
        <f>SalesData[[#This Row],[Profit]]/SalesData[[#This Row],[Sales]]</f>
        <v>-0.39669118882058518</v>
      </c>
      <c r="M2058" t="str">
        <f>TEXT(SalesData[[#This Row],[Order_Date]],"mmm")</f>
        <v>Aug</v>
      </c>
      <c r="N2058">
        <f>YEAR(SalesData[[#This Row],[Order_Date]])</f>
        <v>2022</v>
      </c>
    </row>
    <row r="2059" spans="1:14" x14ac:dyDescent="0.3">
      <c r="A2059" t="s">
        <v>3313</v>
      </c>
      <c r="B2059" s="1">
        <v>44688</v>
      </c>
      <c r="C2059" t="s">
        <v>2417</v>
      </c>
      <c r="D2059" t="s">
        <v>12</v>
      </c>
      <c r="E2059" t="s">
        <v>56</v>
      </c>
      <c r="F2059" t="s">
        <v>73</v>
      </c>
      <c r="G2059" t="s">
        <v>2205</v>
      </c>
      <c r="H2059" s="8">
        <v>3039.29</v>
      </c>
      <c r="I2059" s="8">
        <v>221.11</v>
      </c>
      <c r="J2059" s="8">
        <v>0.16</v>
      </c>
      <c r="K2059" t="str">
        <f>IF(SalesData[[#This Row],[Profit]]&gt;0,"Profit","Loss")</f>
        <v>Profit</v>
      </c>
      <c r="L2059" s="8">
        <f>SalesData[[#This Row],[Profit]]/SalesData[[#This Row],[Sales]]</f>
        <v>7.2750543712511814E-2</v>
      </c>
      <c r="M2059" t="str">
        <f>TEXT(SalesData[[#This Row],[Order_Date]],"mmm")</f>
        <v>May</v>
      </c>
      <c r="N2059">
        <f>YEAR(SalesData[[#This Row],[Order_Date]])</f>
        <v>2022</v>
      </c>
    </row>
    <row r="2060" spans="1:14" x14ac:dyDescent="0.3">
      <c r="A2060" t="s">
        <v>3314</v>
      </c>
      <c r="B2060" s="1">
        <v>44783</v>
      </c>
      <c r="C2060" t="s">
        <v>893</v>
      </c>
      <c r="D2060" t="s">
        <v>28</v>
      </c>
      <c r="E2060" t="s">
        <v>56</v>
      </c>
      <c r="F2060" t="s">
        <v>57</v>
      </c>
      <c r="G2060" t="s">
        <v>1870</v>
      </c>
      <c r="H2060" s="8">
        <v>3007.26</v>
      </c>
      <c r="I2060" s="8">
        <v>-815.59</v>
      </c>
      <c r="J2060" s="8">
        <v>0.19</v>
      </c>
      <c r="K2060" t="str">
        <f>IF(SalesData[[#This Row],[Profit]]&gt;0,"Profit","Loss")</f>
        <v>Loss</v>
      </c>
      <c r="L2060" s="8">
        <f>SalesData[[#This Row],[Profit]]/SalesData[[#This Row],[Sales]]</f>
        <v>-0.27120701236341388</v>
      </c>
      <c r="M2060" t="str">
        <f>TEXT(SalesData[[#This Row],[Order_Date]],"mmm")</f>
        <v>Aug</v>
      </c>
      <c r="N2060">
        <f>YEAR(SalesData[[#This Row],[Order_Date]])</f>
        <v>2022</v>
      </c>
    </row>
    <row r="2061" spans="1:14" x14ac:dyDescent="0.3">
      <c r="A2061" t="s">
        <v>3315</v>
      </c>
      <c r="B2061" s="1">
        <v>44640</v>
      </c>
      <c r="C2061" t="s">
        <v>3316</v>
      </c>
      <c r="D2061" t="s">
        <v>28</v>
      </c>
      <c r="E2061" t="s">
        <v>19</v>
      </c>
      <c r="F2061" t="s">
        <v>20</v>
      </c>
      <c r="G2061" t="s">
        <v>3259</v>
      </c>
      <c r="H2061" s="8">
        <v>292.13</v>
      </c>
      <c r="I2061" s="8">
        <v>-87.39</v>
      </c>
      <c r="J2061" s="8">
        <v>0.12</v>
      </c>
      <c r="K2061" t="str">
        <f>IF(SalesData[[#This Row],[Profit]]&gt;0,"Profit","Loss")</f>
        <v>Loss</v>
      </c>
      <c r="L2061" s="8">
        <f>SalesData[[#This Row],[Profit]]/SalesData[[#This Row],[Sales]]</f>
        <v>-0.29914763974942665</v>
      </c>
      <c r="M2061" t="str">
        <f>TEXT(SalesData[[#This Row],[Order_Date]],"mmm")</f>
        <v>Mar</v>
      </c>
      <c r="N2061">
        <f>YEAR(SalesData[[#This Row],[Order_Date]])</f>
        <v>2022</v>
      </c>
    </row>
    <row r="2062" spans="1:14" x14ac:dyDescent="0.3">
      <c r="A2062" t="s">
        <v>3317</v>
      </c>
      <c r="B2062" s="1">
        <v>45127</v>
      </c>
      <c r="C2062" t="s">
        <v>626</v>
      </c>
      <c r="D2062" t="s">
        <v>12</v>
      </c>
      <c r="E2062" t="s">
        <v>19</v>
      </c>
      <c r="F2062" t="s">
        <v>29</v>
      </c>
      <c r="G2062" t="s">
        <v>1198</v>
      </c>
      <c r="H2062" s="8">
        <v>567.01</v>
      </c>
      <c r="I2062" s="8">
        <v>14.19</v>
      </c>
      <c r="J2062" s="8">
        <v>0.28999999999999998</v>
      </c>
      <c r="K2062" t="str">
        <f>IF(SalesData[[#This Row],[Profit]]&gt;0,"Profit","Loss")</f>
        <v>Profit</v>
      </c>
      <c r="L2062" s="8">
        <f>SalesData[[#This Row],[Profit]]/SalesData[[#This Row],[Sales]]</f>
        <v>2.5026013650552899E-2</v>
      </c>
      <c r="M2062" t="str">
        <f>TEXT(SalesData[[#This Row],[Order_Date]],"mmm")</f>
        <v>Jul</v>
      </c>
      <c r="N2062">
        <f>YEAR(SalesData[[#This Row],[Order_Date]])</f>
        <v>2023</v>
      </c>
    </row>
    <row r="2063" spans="1:14" x14ac:dyDescent="0.3">
      <c r="A2063" t="s">
        <v>3318</v>
      </c>
      <c r="B2063" s="1">
        <v>44671</v>
      </c>
      <c r="C2063" t="s">
        <v>3319</v>
      </c>
      <c r="D2063" t="s">
        <v>28</v>
      </c>
      <c r="E2063" t="s">
        <v>56</v>
      </c>
      <c r="F2063" t="s">
        <v>57</v>
      </c>
      <c r="G2063" t="s">
        <v>67</v>
      </c>
      <c r="H2063" s="8">
        <v>4119.71</v>
      </c>
      <c r="I2063" s="8">
        <v>-1987.19</v>
      </c>
      <c r="J2063" s="8">
        <v>0.3</v>
      </c>
      <c r="K2063" t="str">
        <f>IF(SalesData[[#This Row],[Profit]]&gt;0,"Profit","Loss")</f>
        <v>Loss</v>
      </c>
      <c r="L2063" s="8">
        <f>SalesData[[#This Row],[Profit]]/SalesData[[#This Row],[Sales]]</f>
        <v>-0.48236162254139248</v>
      </c>
      <c r="M2063" t="str">
        <f>TEXT(SalesData[[#This Row],[Order_Date]],"mmm")</f>
        <v>Apr</v>
      </c>
      <c r="N2063">
        <f>YEAR(SalesData[[#This Row],[Order_Date]])</f>
        <v>2022</v>
      </c>
    </row>
    <row r="2064" spans="1:14" x14ac:dyDescent="0.3">
      <c r="A2064" t="s">
        <v>3320</v>
      </c>
      <c r="B2064" s="1">
        <v>45266</v>
      </c>
      <c r="C2064" t="s">
        <v>776</v>
      </c>
      <c r="D2064" t="s">
        <v>40</v>
      </c>
      <c r="E2064" t="s">
        <v>13</v>
      </c>
      <c r="F2064" t="s">
        <v>14</v>
      </c>
      <c r="G2064" t="s">
        <v>406</v>
      </c>
      <c r="H2064" s="8">
        <v>4204.22</v>
      </c>
      <c r="I2064" s="8">
        <v>-1480.42</v>
      </c>
      <c r="J2064" s="8">
        <v>0.16</v>
      </c>
      <c r="K2064" t="str">
        <f>IF(SalesData[[#This Row],[Profit]]&gt;0,"Profit","Loss")</f>
        <v>Loss</v>
      </c>
      <c r="L2064" s="8">
        <f>SalesData[[#This Row],[Profit]]/SalesData[[#This Row],[Sales]]</f>
        <v>-0.35212714843657089</v>
      </c>
      <c r="M2064" t="str">
        <f>TEXT(SalesData[[#This Row],[Order_Date]],"mmm")</f>
        <v>Dec</v>
      </c>
      <c r="N2064">
        <f>YEAR(SalesData[[#This Row],[Order_Date]])</f>
        <v>2023</v>
      </c>
    </row>
    <row r="2065" spans="1:14" x14ac:dyDescent="0.3">
      <c r="A2065" t="s">
        <v>3321</v>
      </c>
      <c r="B2065" s="1">
        <v>45172</v>
      </c>
      <c r="C2065" t="s">
        <v>1785</v>
      </c>
      <c r="D2065" t="s">
        <v>28</v>
      </c>
      <c r="E2065" t="s">
        <v>13</v>
      </c>
      <c r="F2065" t="s">
        <v>24</v>
      </c>
      <c r="G2065" t="s">
        <v>202</v>
      </c>
      <c r="H2065" s="8">
        <v>2537.02</v>
      </c>
      <c r="I2065" s="8">
        <v>187.29</v>
      </c>
      <c r="J2065" s="8">
        <v>0.22</v>
      </c>
      <c r="K2065" t="str">
        <f>IF(SalesData[[#This Row],[Profit]]&gt;0,"Profit","Loss")</f>
        <v>Profit</v>
      </c>
      <c r="L2065" s="8">
        <f>SalesData[[#This Row],[Profit]]/SalesData[[#This Row],[Sales]]</f>
        <v>7.3822831510985329E-2</v>
      </c>
      <c r="M2065" t="str">
        <f>TEXT(SalesData[[#This Row],[Order_Date]],"mmm")</f>
        <v>Sep</v>
      </c>
      <c r="N2065">
        <f>YEAR(SalesData[[#This Row],[Order_Date]])</f>
        <v>2023</v>
      </c>
    </row>
    <row r="2066" spans="1:14" x14ac:dyDescent="0.3">
      <c r="A2066" t="s">
        <v>3322</v>
      </c>
      <c r="B2066" s="1">
        <v>44916</v>
      </c>
      <c r="C2066" t="s">
        <v>893</v>
      </c>
      <c r="D2066" t="s">
        <v>12</v>
      </c>
      <c r="E2066" t="s">
        <v>56</v>
      </c>
      <c r="F2066" t="s">
        <v>73</v>
      </c>
      <c r="G2066" t="s">
        <v>730</v>
      </c>
      <c r="H2066" s="8">
        <v>3432.59</v>
      </c>
      <c r="I2066" s="8">
        <v>157.37</v>
      </c>
      <c r="J2066" s="8">
        <v>0.12</v>
      </c>
      <c r="K2066" t="str">
        <f>IF(SalesData[[#This Row],[Profit]]&gt;0,"Profit","Loss")</f>
        <v>Profit</v>
      </c>
      <c r="L2066" s="8">
        <f>SalesData[[#This Row],[Profit]]/SalesData[[#This Row],[Sales]]</f>
        <v>4.5845848178780457E-2</v>
      </c>
      <c r="M2066" t="str">
        <f>TEXT(SalesData[[#This Row],[Order_Date]],"mmm")</f>
        <v>Dec</v>
      </c>
      <c r="N2066">
        <f>YEAR(SalesData[[#This Row],[Order_Date]])</f>
        <v>2022</v>
      </c>
    </row>
    <row r="2067" spans="1:14" x14ac:dyDescent="0.3">
      <c r="A2067" t="s">
        <v>3323</v>
      </c>
      <c r="B2067" s="1">
        <v>45150</v>
      </c>
      <c r="C2067" t="s">
        <v>1228</v>
      </c>
      <c r="D2067" t="s">
        <v>12</v>
      </c>
      <c r="E2067" t="s">
        <v>19</v>
      </c>
      <c r="F2067" t="s">
        <v>141</v>
      </c>
      <c r="G2067" t="s">
        <v>74</v>
      </c>
      <c r="H2067" s="8">
        <v>447.47</v>
      </c>
      <c r="I2067" s="8">
        <v>33.82</v>
      </c>
      <c r="J2067" s="8">
        <v>0.04</v>
      </c>
      <c r="K2067" t="str">
        <f>IF(SalesData[[#This Row],[Profit]]&gt;0,"Profit","Loss")</f>
        <v>Profit</v>
      </c>
      <c r="L2067" s="8">
        <f>SalesData[[#This Row],[Profit]]/SalesData[[#This Row],[Sales]]</f>
        <v>7.5580485842626319E-2</v>
      </c>
      <c r="M2067" t="str">
        <f>TEXT(SalesData[[#This Row],[Order_Date]],"mmm")</f>
        <v>Aug</v>
      </c>
      <c r="N2067">
        <f>YEAR(SalesData[[#This Row],[Order_Date]])</f>
        <v>2023</v>
      </c>
    </row>
    <row r="2068" spans="1:14" x14ac:dyDescent="0.3">
      <c r="A2068" t="s">
        <v>3324</v>
      </c>
      <c r="B2068" s="1">
        <v>44589</v>
      </c>
      <c r="C2068" t="s">
        <v>452</v>
      </c>
      <c r="D2068" t="s">
        <v>18</v>
      </c>
      <c r="E2068" t="s">
        <v>19</v>
      </c>
      <c r="F2068" t="s">
        <v>20</v>
      </c>
      <c r="G2068" t="s">
        <v>1295</v>
      </c>
      <c r="H2068" s="8">
        <v>1233.6099999999999</v>
      </c>
      <c r="I2068" s="8">
        <v>-190.26</v>
      </c>
      <c r="J2068" s="8">
        <v>0.16</v>
      </c>
      <c r="K2068" t="str">
        <f>IF(SalesData[[#This Row],[Profit]]&gt;0,"Profit","Loss")</f>
        <v>Loss</v>
      </c>
      <c r="L2068" s="8">
        <f>SalesData[[#This Row],[Profit]]/SalesData[[#This Row],[Sales]]</f>
        <v>-0.15423026726437042</v>
      </c>
      <c r="M2068" t="str">
        <f>TEXT(SalesData[[#This Row],[Order_Date]],"mmm")</f>
        <v>Jan</v>
      </c>
      <c r="N2068">
        <f>YEAR(SalesData[[#This Row],[Order_Date]])</f>
        <v>2022</v>
      </c>
    </row>
    <row r="2069" spans="1:14" x14ac:dyDescent="0.3">
      <c r="A2069" t="s">
        <v>3325</v>
      </c>
      <c r="B2069" s="1">
        <v>45183</v>
      </c>
      <c r="C2069" t="s">
        <v>1928</v>
      </c>
      <c r="D2069" t="s">
        <v>18</v>
      </c>
      <c r="E2069" t="s">
        <v>19</v>
      </c>
      <c r="F2069" t="s">
        <v>20</v>
      </c>
      <c r="G2069" t="s">
        <v>2559</v>
      </c>
      <c r="H2069" s="8">
        <v>935.94</v>
      </c>
      <c r="I2069" s="8">
        <v>135.66999999999999</v>
      </c>
      <c r="J2069" s="8">
        <v>0.22</v>
      </c>
      <c r="K2069" t="str">
        <f>IF(SalesData[[#This Row],[Profit]]&gt;0,"Profit","Loss")</f>
        <v>Profit</v>
      </c>
      <c r="L2069" s="8">
        <f>SalesData[[#This Row],[Profit]]/SalesData[[#This Row],[Sales]]</f>
        <v>0.14495587323973758</v>
      </c>
      <c r="M2069" t="str">
        <f>TEXT(SalesData[[#This Row],[Order_Date]],"mmm")</f>
        <v>Sep</v>
      </c>
      <c r="N2069">
        <f>YEAR(SalesData[[#This Row],[Order_Date]])</f>
        <v>2023</v>
      </c>
    </row>
    <row r="2070" spans="1:14" x14ac:dyDescent="0.3">
      <c r="A2070" t="s">
        <v>3326</v>
      </c>
      <c r="B2070" s="1">
        <v>44823</v>
      </c>
      <c r="C2070" t="s">
        <v>3147</v>
      </c>
      <c r="D2070" t="s">
        <v>40</v>
      </c>
      <c r="E2070" t="s">
        <v>56</v>
      </c>
      <c r="F2070" t="s">
        <v>95</v>
      </c>
      <c r="G2070" t="s">
        <v>525</v>
      </c>
      <c r="H2070" s="8">
        <v>1447.6</v>
      </c>
      <c r="I2070" s="8">
        <v>-367.62</v>
      </c>
      <c r="J2070" s="8">
        <v>0.1</v>
      </c>
      <c r="K2070" t="str">
        <f>IF(SalesData[[#This Row],[Profit]]&gt;0,"Profit","Loss")</f>
        <v>Loss</v>
      </c>
      <c r="L2070" s="8">
        <f>SalesData[[#This Row],[Profit]]/SalesData[[#This Row],[Sales]]</f>
        <v>-0.25395136778115501</v>
      </c>
      <c r="M2070" t="str">
        <f>TEXT(SalesData[[#This Row],[Order_Date]],"mmm")</f>
        <v>Sep</v>
      </c>
      <c r="N2070">
        <f>YEAR(SalesData[[#This Row],[Order_Date]])</f>
        <v>2022</v>
      </c>
    </row>
    <row r="2071" spans="1:14" x14ac:dyDescent="0.3">
      <c r="A2071" t="s">
        <v>3327</v>
      </c>
      <c r="B2071" s="1">
        <v>45207</v>
      </c>
      <c r="C2071" t="s">
        <v>1750</v>
      </c>
      <c r="D2071" t="s">
        <v>40</v>
      </c>
      <c r="E2071" t="s">
        <v>13</v>
      </c>
      <c r="F2071" t="s">
        <v>24</v>
      </c>
      <c r="G2071" t="s">
        <v>1056</v>
      </c>
      <c r="H2071" s="8">
        <v>2095.5100000000002</v>
      </c>
      <c r="I2071" s="8">
        <v>162.93</v>
      </c>
      <c r="J2071" s="8">
        <v>0.22</v>
      </c>
      <c r="K2071" t="str">
        <f>IF(SalesData[[#This Row],[Profit]]&gt;0,"Profit","Loss")</f>
        <v>Profit</v>
      </c>
      <c r="L2071" s="8">
        <f>SalesData[[#This Row],[Profit]]/SalesData[[#This Row],[Sales]]</f>
        <v>7.7751955371246143E-2</v>
      </c>
      <c r="M2071" t="str">
        <f>TEXT(SalesData[[#This Row],[Order_Date]],"mmm")</f>
        <v>Oct</v>
      </c>
      <c r="N2071">
        <f>YEAR(SalesData[[#This Row],[Order_Date]])</f>
        <v>2023</v>
      </c>
    </row>
    <row r="2072" spans="1:14" x14ac:dyDescent="0.3">
      <c r="A2072" t="s">
        <v>3328</v>
      </c>
      <c r="B2072" s="1">
        <v>45093</v>
      </c>
      <c r="C2072" t="s">
        <v>1282</v>
      </c>
      <c r="D2072" t="s">
        <v>12</v>
      </c>
      <c r="E2072" t="s">
        <v>19</v>
      </c>
      <c r="F2072" t="s">
        <v>29</v>
      </c>
      <c r="G2072" t="s">
        <v>412</v>
      </c>
      <c r="H2072" s="8">
        <v>2200.48</v>
      </c>
      <c r="I2072" s="8">
        <v>-96.26</v>
      </c>
      <c r="J2072" s="8">
        <v>0.28999999999999998</v>
      </c>
      <c r="K2072" t="str">
        <f>IF(SalesData[[#This Row],[Profit]]&gt;0,"Profit","Loss")</f>
        <v>Loss</v>
      </c>
      <c r="L2072" s="8">
        <f>SalesData[[#This Row],[Profit]]/SalesData[[#This Row],[Sales]]</f>
        <v>-4.3745001090671129E-2</v>
      </c>
      <c r="M2072" t="str">
        <f>TEXT(SalesData[[#This Row],[Order_Date]],"mmm")</f>
        <v>Jun</v>
      </c>
      <c r="N2072">
        <f>YEAR(SalesData[[#This Row],[Order_Date]])</f>
        <v>2023</v>
      </c>
    </row>
    <row r="2073" spans="1:14" x14ac:dyDescent="0.3">
      <c r="A2073" t="s">
        <v>3329</v>
      </c>
      <c r="B2073" s="1">
        <v>44759</v>
      </c>
      <c r="C2073" t="s">
        <v>3330</v>
      </c>
      <c r="D2073" t="s">
        <v>18</v>
      </c>
      <c r="E2073" t="s">
        <v>13</v>
      </c>
      <c r="F2073" t="s">
        <v>14</v>
      </c>
      <c r="G2073" t="s">
        <v>611</v>
      </c>
      <c r="H2073" s="8">
        <v>2189.9299999999998</v>
      </c>
      <c r="I2073" s="8">
        <v>248.13</v>
      </c>
      <c r="J2073" s="8">
        <v>0.25</v>
      </c>
      <c r="K2073" t="str">
        <f>IF(SalesData[[#This Row],[Profit]]&gt;0,"Profit","Loss")</f>
        <v>Profit</v>
      </c>
      <c r="L2073" s="8">
        <f>SalesData[[#This Row],[Profit]]/SalesData[[#This Row],[Sales]]</f>
        <v>0.11330499148374606</v>
      </c>
      <c r="M2073" t="str">
        <f>TEXT(SalesData[[#This Row],[Order_Date]],"mmm")</f>
        <v>Jul</v>
      </c>
      <c r="N2073">
        <f>YEAR(SalesData[[#This Row],[Order_Date]])</f>
        <v>2022</v>
      </c>
    </row>
    <row r="2074" spans="1:14" x14ac:dyDescent="0.3">
      <c r="A2074" t="s">
        <v>3331</v>
      </c>
      <c r="B2074" s="1">
        <v>44589</v>
      </c>
      <c r="C2074" t="s">
        <v>350</v>
      </c>
      <c r="D2074" t="s">
        <v>18</v>
      </c>
      <c r="E2074" t="s">
        <v>19</v>
      </c>
      <c r="F2074" t="s">
        <v>29</v>
      </c>
      <c r="G2074" t="s">
        <v>47</v>
      </c>
      <c r="H2074" s="8">
        <v>4434.24</v>
      </c>
      <c r="I2074" s="8">
        <v>1298.08</v>
      </c>
      <c r="J2074" s="8">
        <v>0.03</v>
      </c>
      <c r="K2074" t="str">
        <f>IF(SalesData[[#This Row],[Profit]]&gt;0,"Profit","Loss")</f>
        <v>Profit</v>
      </c>
      <c r="L2074" s="8">
        <f>SalesData[[#This Row],[Profit]]/SalesData[[#This Row],[Sales]]</f>
        <v>0.29274013134156024</v>
      </c>
      <c r="M2074" t="str">
        <f>TEXT(SalesData[[#This Row],[Order_Date]],"mmm")</f>
        <v>Jan</v>
      </c>
      <c r="N2074">
        <f>YEAR(SalesData[[#This Row],[Order_Date]])</f>
        <v>2022</v>
      </c>
    </row>
    <row r="2075" spans="1:14" x14ac:dyDescent="0.3">
      <c r="A2075" t="s">
        <v>3332</v>
      </c>
      <c r="B2075" s="1">
        <v>44741</v>
      </c>
      <c r="C2075" t="s">
        <v>2852</v>
      </c>
      <c r="D2075" t="s">
        <v>18</v>
      </c>
      <c r="E2075" t="s">
        <v>19</v>
      </c>
      <c r="F2075" t="s">
        <v>20</v>
      </c>
      <c r="G2075" t="s">
        <v>374</v>
      </c>
      <c r="H2075" s="8">
        <v>1669.85</v>
      </c>
      <c r="I2075" s="8">
        <v>-601.20000000000005</v>
      </c>
      <c r="J2075" s="8">
        <v>0.22</v>
      </c>
      <c r="K2075" t="str">
        <f>IF(SalesData[[#This Row],[Profit]]&gt;0,"Profit","Loss")</f>
        <v>Loss</v>
      </c>
      <c r="L2075" s="8">
        <f>SalesData[[#This Row],[Profit]]/SalesData[[#This Row],[Sales]]</f>
        <v>-0.36003233823397318</v>
      </c>
      <c r="M2075" t="str">
        <f>TEXT(SalesData[[#This Row],[Order_Date]],"mmm")</f>
        <v>Jun</v>
      </c>
      <c r="N2075">
        <f>YEAR(SalesData[[#This Row],[Order_Date]])</f>
        <v>2022</v>
      </c>
    </row>
    <row r="2076" spans="1:14" x14ac:dyDescent="0.3">
      <c r="A2076" t="s">
        <v>3333</v>
      </c>
      <c r="B2076" s="1">
        <v>45008</v>
      </c>
      <c r="C2076" t="s">
        <v>986</v>
      </c>
      <c r="D2076" t="s">
        <v>12</v>
      </c>
      <c r="E2076" t="s">
        <v>19</v>
      </c>
      <c r="F2076" t="s">
        <v>29</v>
      </c>
      <c r="G2076" t="s">
        <v>2141</v>
      </c>
      <c r="H2076" s="8">
        <v>355.06</v>
      </c>
      <c r="I2076" s="8">
        <v>0.06</v>
      </c>
      <c r="J2076" s="8">
        <v>0.13</v>
      </c>
      <c r="K2076" t="str">
        <f>IF(SalesData[[#This Row],[Profit]]&gt;0,"Profit","Loss")</f>
        <v>Profit</v>
      </c>
      <c r="L2076" s="8">
        <f>SalesData[[#This Row],[Profit]]/SalesData[[#This Row],[Sales]]</f>
        <v>1.6898552357348052E-4</v>
      </c>
      <c r="M2076" t="str">
        <f>TEXT(SalesData[[#This Row],[Order_Date]],"mmm")</f>
        <v>Mar</v>
      </c>
      <c r="N2076">
        <f>YEAR(SalesData[[#This Row],[Order_Date]])</f>
        <v>2023</v>
      </c>
    </row>
    <row r="2077" spans="1:14" x14ac:dyDescent="0.3">
      <c r="A2077" t="s">
        <v>3334</v>
      </c>
      <c r="B2077" s="1">
        <v>45198</v>
      </c>
      <c r="C2077" t="s">
        <v>153</v>
      </c>
      <c r="D2077" t="s">
        <v>40</v>
      </c>
      <c r="E2077" t="s">
        <v>13</v>
      </c>
      <c r="F2077" t="s">
        <v>36</v>
      </c>
      <c r="G2077" t="s">
        <v>479</v>
      </c>
      <c r="H2077" s="8">
        <v>2179.92</v>
      </c>
      <c r="I2077" s="8">
        <v>373.75</v>
      </c>
      <c r="J2077" s="8">
        <v>0.17</v>
      </c>
      <c r="K2077" t="str">
        <f>IF(SalesData[[#This Row],[Profit]]&gt;0,"Profit","Loss")</f>
        <v>Profit</v>
      </c>
      <c r="L2077" s="8">
        <f>SalesData[[#This Row],[Profit]]/SalesData[[#This Row],[Sales]]</f>
        <v>0.17145124591728136</v>
      </c>
      <c r="M2077" t="str">
        <f>TEXT(SalesData[[#This Row],[Order_Date]],"mmm")</f>
        <v>Sep</v>
      </c>
      <c r="N2077">
        <f>YEAR(SalesData[[#This Row],[Order_Date]])</f>
        <v>2023</v>
      </c>
    </row>
    <row r="2078" spans="1:14" x14ac:dyDescent="0.3">
      <c r="A2078" t="s">
        <v>3335</v>
      </c>
      <c r="B2078" s="1">
        <v>45102</v>
      </c>
      <c r="C2078" t="s">
        <v>3336</v>
      </c>
      <c r="D2078" t="s">
        <v>18</v>
      </c>
      <c r="E2078" t="s">
        <v>13</v>
      </c>
      <c r="F2078" t="s">
        <v>14</v>
      </c>
      <c r="G2078" t="s">
        <v>878</v>
      </c>
      <c r="H2078" s="8">
        <v>667.56</v>
      </c>
      <c r="I2078" s="8">
        <v>28.52</v>
      </c>
      <c r="J2078" s="8">
        <v>0.09</v>
      </c>
      <c r="K2078" t="str">
        <f>IF(SalesData[[#This Row],[Profit]]&gt;0,"Profit","Loss")</f>
        <v>Profit</v>
      </c>
      <c r="L2078" s="8">
        <f>SalesData[[#This Row],[Profit]]/SalesData[[#This Row],[Sales]]</f>
        <v>4.2722751512972619E-2</v>
      </c>
      <c r="M2078" t="str">
        <f>TEXT(SalesData[[#This Row],[Order_Date]],"mmm")</f>
        <v>Jun</v>
      </c>
      <c r="N2078">
        <f>YEAR(SalesData[[#This Row],[Order_Date]])</f>
        <v>2023</v>
      </c>
    </row>
    <row r="2079" spans="1:14" x14ac:dyDescent="0.3">
      <c r="A2079" t="s">
        <v>3337</v>
      </c>
      <c r="B2079" s="1">
        <v>45103</v>
      </c>
      <c r="C2079" t="s">
        <v>2214</v>
      </c>
      <c r="D2079" t="s">
        <v>28</v>
      </c>
      <c r="E2079" t="s">
        <v>19</v>
      </c>
      <c r="F2079" t="s">
        <v>20</v>
      </c>
      <c r="G2079" t="s">
        <v>37</v>
      </c>
      <c r="H2079" s="8">
        <v>2436.75</v>
      </c>
      <c r="I2079" s="8">
        <v>-170.15</v>
      </c>
      <c r="J2079" s="8">
        <v>0.2</v>
      </c>
      <c r="K2079" t="str">
        <f>IF(SalesData[[#This Row],[Profit]]&gt;0,"Profit","Loss")</f>
        <v>Loss</v>
      </c>
      <c r="L2079" s="8">
        <f>SalesData[[#This Row],[Profit]]/SalesData[[#This Row],[Sales]]</f>
        <v>-6.9826613316918029E-2</v>
      </c>
      <c r="M2079" t="str">
        <f>TEXT(SalesData[[#This Row],[Order_Date]],"mmm")</f>
        <v>Jun</v>
      </c>
      <c r="N2079">
        <f>YEAR(SalesData[[#This Row],[Order_Date]])</f>
        <v>2023</v>
      </c>
    </row>
    <row r="2080" spans="1:14" x14ac:dyDescent="0.3">
      <c r="A2080" t="s">
        <v>3338</v>
      </c>
      <c r="B2080" s="1">
        <v>44666</v>
      </c>
      <c r="C2080" t="s">
        <v>605</v>
      </c>
      <c r="D2080" t="s">
        <v>40</v>
      </c>
      <c r="E2080" t="s">
        <v>56</v>
      </c>
      <c r="F2080" t="s">
        <v>57</v>
      </c>
      <c r="G2080" t="s">
        <v>1064</v>
      </c>
      <c r="H2080" s="8">
        <v>3261.16</v>
      </c>
      <c r="I2080" s="8">
        <v>-996.34</v>
      </c>
      <c r="J2080" s="8">
        <v>0.18</v>
      </c>
      <c r="K2080" t="str">
        <f>IF(SalesData[[#This Row],[Profit]]&gt;0,"Profit","Loss")</f>
        <v>Loss</v>
      </c>
      <c r="L2080" s="8">
        <f>SalesData[[#This Row],[Profit]]/SalesData[[#This Row],[Sales]]</f>
        <v>-0.30551705528094303</v>
      </c>
      <c r="M2080" t="str">
        <f>TEXT(SalesData[[#This Row],[Order_Date]],"mmm")</f>
        <v>Apr</v>
      </c>
      <c r="N2080">
        <f>YEAR(SalesData[[#This Row],[Order_Date]])</f>
        <v>2022</v>
      </c>
    </row>
    <row r="2081" spans="1:14" x14ac:dyDescent="0.3">
      <c r="A2081" t="s">
        <v>3339</v>
      </c>
      <c r="B2081" s="1">
        <v>45140</v>
      </c>
      <c r="C2081" t="s">
        <v>171</v>
      </c>
      <c r="D2081" t="s">
        <v>12</v>
      </c>
      <c r="E2081" t="s">
        <v>13</v>
      </c>
      <c r="F2081" t="s">
        <v>24</v>
      </c>
      <c r="G2081" t="s">
        <v>398</v>
      </c>
      <c r="H2081" s="8">
        <v>188.47</v>
      </c>
      <c r="I2081" s="8">
        <v>-27.43</v>
      </c>
      <c r="J2081" s="8">
        <v>0.25</v>
      </c>
      <c r="K2081" t="str">
        <f>IF(SalesData[[#This Row],[Profit]]&gt;0,"Profit","Loss")</f>
        <v>Loss</v>
      </c>
      <c r="L2081" s="8">
        <f>SalesData[[#This Row],[Profit]]/SalesData[[#This Row],[Sales]]</f>
        <v>-0.145540404308378</v>
      </c>
      <c r="M2081" t="str">
        <f>TEXT(SalesData[[#This Row],[Order_Date]],"mmm")</f>
        <v>Aug</v>
      </c>
      <c r="N2081">
        <f>YEAR(SalesData[[#This Row],[Order_Date]])</f>
        <v>2023</v>
      </c>
    </row>
    <row r="2082" spans="1:14" x14ac:dyDescent="0.3">
      <c r="A2082" t="s">
        <v>3340</v>
      </c>
      <c r="B2082" s="1">
        <v>45025</v>
      </c>
      <c r="C2082" t="s">
        <v>2181</v>
      </c>
      <c r="D2082" t="s">
        <v>18</v>
      </c>
      <c r="E2082" t="s">
        <v>19</v>
      </c>
      <c r="F2082" t="s">
        <v>29</v>
      </c>
      <c r="G2082" t="s">
        <v>923</v>
      </c>
      <c r="H2082" s="8">
        <v>2913.03</v>
      </c>
      <c r="I2082" s="8">
        <v>-149.16999999999999</v>
      </c>
      <c r="J2082" s="8">
        <v>0.28000000000000003</v>
      </c>
      <c r="K2082" t="str">
        <f>IF(SalesData[[#This Row],[Profit]]&gt;0,"Profit","Loss")</f>
        <v>Loss</v>
      </c>
      <c r="L2082" s="8">
        <f>SalesData[[#This Row],[Profit]]/SalesData[[#This Row],[Sales]]</f>
        <v>-5.1207848872136565E-2</v>
      </c>
      <c r="M2082" t="str">
        <f>TEXT(SalesData[[#This Row],[Order_Date]],"mmm")</f>
        <v>Apr</v>
      </c>
      <c r="N2082">
        <f>YEAR(SalesData[[#This Row],[Order_Date]])</f>
        <v>2023</v>
      </c>
    </row>
    <row r="2083" spans="1:14" x14ac:dyDescent="0.3">
      <c r="A2083" t="s">
        <v>3341</v>
      </c>
      <c r="B2083" s="1">
        <v>45201</v>
      </c>
      <c r="C2083" t="s">
        <v>1086</v>
      </c>
      <c r="D2083" t="s">
        <v>28</v>
      </c>
      <c r="E2083" t="s">
        <v>13</v>
      </c>
      <c r="F2083" t="s">
        <v>24</v>
      </c>
      <c r="G2083" t="s">
        <v>780</v>
      </c>
      <c r="H2083" s="8">
        <v>2906.66</v>
      </c>
      <c r="I2083" s="8">
        <v>-661.43</v>
      </c>
      <c r="J2083" s="8">
        <v>0.28000000000000003</v>
      </c>
      <c r="K2083" t="str">
        <f>IF(SalesData[[#This Row],[Profit]]&gt;0,"Profit","Loss")</f>
        <v>Loss</v>
      </c>
      <c r="L2083" s="8">
        <f>SalesData[[#This Row],[Profit]]/SalesData[[#This Row],[Sales]]</f>
        <v>-0.22755671457962059</v>
      </c>
      <c r="M2083" t="str">
        <f>TEXT(SalesData[[#This Row],[Order_Date]],"mmm")</f>
        <v>Oct</v>
      </c>
      <c r="N2083">
        <f>YEAR(SalesData[[#This Row],[Order_Date]])</f>
        <v>2023</v>
      </c>
    </row>
    <row r="2084" spans="1:14" x14ac:dyDescent="0.3">
      <c r="A2084" t="s">
        <v>3342</v>
      </c>
      <c r="B2084" s="1">
        <v>45254</v>
      </c>
      <c r="C2084" t="s">
        <v>3343</v>
      </c>
      <c r="D2084" t="s">
        <v>28</v>
      </c>
      <c r="E2084" t="s">
        <v>13</v>
      </c>
      <c r="F2084" t="s">
        <v>36</v>
      </c>
      <c r="G2084" t="s">
        <v>945</v>
      </c>
      <c r="H2084" s="8">
        <v>4168.38</v>
      </c>
      <c r="I2084" s="8">
        <v>273.85000000000002</v>
      </c>
      <c r="J2084" s="8">
        <v>0.19</v>
      </c>
      <c r="K2084" t="str">
        <f>IF(SalesData[[#This Row],[Profit]]&gt;0,"Profit","Loss")</f>
        <v>Profit</v>
      </c>
      <c r="L2084" s="8">
        <f>SalesData[[#This Row],[Profit]]/SalesData[[#This Row],[Sales]]</f>
        <v>6.5696985399603683E-2</v>
      </c>
      <c r="M2084" t="str">
        <f>TEXT(SalesData[[#This Row],[Order_Date]],"mmm")</f>
        <v>Nov</v>
      </c>
      <c r="N2084">
        <f>YEAR(SalesData[[#This Row],[Order_Date]])</f>
        <v>2023</v>
      </c>
    </row>
    <row r="2085" spans="1:14" x14ac:dyDescent="0.3">
      <c r="A2085" t="s">
        <v>3344</v>
      </c>
      <c r="B2085" s="1">
        <v>45214</v>
      </c>
      <c r="C2085" t="s">
        <v>1112</v>
      </c>
      <c r="D2085" t="s">
        <v>18</v>
      </c>
      <c r="E2085" t="s">
        <v>13</v>
      </c>
      <c r="F2085" t="s">
        <v>36</v>
      </c>
      <c r="G2085" t="s">
        <v>1046</v>
      </c>
      <c r="H2085" s="8">
        <v>811.39</v>
      </c>
      <c r="I2085" s="8">
        <v>-75</v>
      </c>
      <c r="J2085" s="8">
        <v>0.24</v>
      </c>
      <c r="K2085" t="str">
        <f>IF(SalesData[[#This Row],[Profit]]&gt;0,"Profit","Loss")</f>
        <v>Loss</v>
      </c>
      <c r="L2085" s="8">
        <f>SalesData[[#This Row],[Profit]]/SalesData[[#This Row],[Sales]]</f>
        <v>-9.2433971333144363E-2</v>
      </c>
      <c r="M2085" t="str">
        <f>TEXT(SalesData[[#This Row],[Order_Date]],"mmm")</f>
        <v>Oct</v>
      </c>
      <c r="N2085">
        <f>YEAR(SalesData[[#This Row],[Order_Date]])</f>
        <v>2023</v>
      </c>
    </row>
    <row r="2086" spans="1:14" x14ac:dyDescent="0.3">
      <c r="A2086" t="s">
        <v>3345</v>
      </c>
      <c r="B2086" s="1">
        <v>44879</v>
      </c>
      <c r="C2086" t="s">
        <v>121</v>
      </c>
      <c r="D2086" t="s">
        <v>18</v>
      </c>
      <c r="E2086" t="s">
        <v>19</v>
      </c>
      <c r="F2086" t="s">
        <v>141</v>
      </c>
      <c r="G2086" t="s">
        <v>717</v>
      </c>
      <c r="H2086" s="8">
        <v>604.42999999999995</v>
      </c>
      <c r="I2086" s="8">
        <v>54.56</v>
      </c>
      <c r="J2086" s="8">
        <v>0.01</v>
      </c>
      <c r="K2086" t="str">
        <f>IF(SalesData[[#This Row],[Profit]]&gt;0,"Profit","Loss")</f>
        <v>Profit</v>
      </c>
      <c r="L2086" s="8">
        <f>SalesData[[#This Row],[Profit]]/SalesData[[#This Row],[Sales]]</f>
        <v>9.0266862994887759E-2</v>
      </c>
      <c r="M2086" t="str">
        <f>TEXT(SalesData[[#This Row],[Order_Date]],"mmm")</f>
        <v>Nov</v>
      </c>
      <c r="N2086">
        <f>YEAR(SalesData[[#This Row],[Order_Date]])</f>
        <v>2022</v>
      </c>
    </row>
    <row r="2087" spans="1:14" x14ac:dyDescent="0.3">
      <c r="A2087" t="s">
        <v>3346</v>
      </c>
      <c r="B2087" s="1">
        <v>44790</v>
      </c>
      <c r="C2087" t="s">
        <v>1237</v>
      </c>
      <c r="D2087" t="s">
        <v>18</v>
      </c>
      <c r="E2087" t="s">
        <v>56</v>
      </c>
      <c r="F2087" t="s">
        <v>57</v>
      </c>
      <c r="G2087" t="s">
        <v>468</v>
      </c>
      <c r="H2087" s="8">
        <v>630.94000000000005</v>
      </c>
      <c r="I2087" s="8">
        <v>21.61</v>
      </c>
      <c r="J2087" s="8">
        <v>0.25</v>
      </c>
      <c r="K2087" t="str">
        <f>IF(SalesData[[#This Row],[Profit]]&gt;0,"Profit","Loss")</f>
        <v>Profit</v>
      </c>
      <c r="L2087" s="8">
        <f>SalesData[[#This Row],[Profit]]/SalesData[[#This Row],[Sales]]</f>
        <v>3.4250483405712108E-2</v>
      </c>
      <c r="M2087" t="str">
        <f>TEXT(SalesData[[#This Row],[Order_Date]],"mmm")</f>
        <v>Aug</v>
      </c>
      <c r="N2087">
        <f>YEAR(SalesData[[#This Row],[Order_Date]])</f>
        <v>2022</v>
      </c>
    </row>
    <row r="2088" spans="1:14" x14ac:dyDescent="0.3">
      <c r="A2088" t="s">
        <v>3347</v>
      </c>
      <c r="B2088" s="1">
        <v>45199</v>
      </c>
      <c r="C2088" t="s">
        <v>1605</v>
      </c>
      <c r="D2088" t="s">
        <v>12</v>
      </c>
      <c r="E2088" t="s">
        <v>19</v>
      </c>
      <c r="F2088" t="s">
        <v>29</v>
      </c>
      <c r="G2088" t="s">
        <v>1466</v>
      </c>
      <c r="H2088" s="8">
        <v>2863.18</v>
      </c>
      <c r="I2088" s="8">
        <v>-1308.8599999999999</v>
      </c>
      <c r="J2088" s="8">
        <v>0.28999999999999998</v>
      </c>
      <c r="K2088" t="str">
        <f>IF(SalesData[[#This Row],[Profit]]&gt;0,"Profit","Loss")</f>
        <v>Loss</v>
      </c>
      <c r="L2088" s="8">
        <f>SalesData[[#This Row],[Profit]]/SalesData[[#This Row],[Sales]]</f>
        <v>-0.45713507358950539</v>
      </c>
      <c r="M2088" t="str">
        <f>TEXT(SalesData[[#This Row],[Order_Date]],"mmm")</f>
        <v>Sep</v>
      </c>
      <c r="N2088">
        <f>YEAR(SalesData[[#This Row],[Order_Date]])</f>
        <v>2023</v>
      </c>
    </row>
    <row r="2089" spans="1:14" x14ac:dyDescent="0.3">
      <c r="A2089" t="s">
        <v>3348</v>
      </c>
      <c r="B2089" s="1">
        <v>44593</v>
      </c>
      <c r="C2089" t="s">
        <v>3349</v>
      </c>
      <c r="D2089" t="s">
        <v>28</v>
      </c>
      <c r="E2089" t="s">
        <v>19</v>
      </c>
      <c r="F2089" t="s">
        <v>20</v>
      </c>
      <c r="G2089" t="s">
        <v>711</v>
      </c>
      <c r="H2089" s="8">
        <v>2050.17</v>
      </c>
      <c r="I2089" s="8">
        <v>447.5</v>
      </c>
      <c r="J2089" s="8">
        <v>0.04</v>
      </c>
      <c r="K2089" t="str">
        <f>IF(SalesData[[#This Row],[Profit]]&gt;0,"Profit","Loss")</f>
        <v>Profit</v>
      </c>
      <c r="L2089" s="8">
        <f>SalesData[[#This Row],[Profit]]/SalesData[[#This Row],[Sales]]</f>
        <v>0.21827458210782519</v>
      </c>
      <c r="M2089" t="str">
        <f>TEXT(SalesData[[#This Row],[Order_Date]],"mmm")</f>
        <v>Feb</v>
      </c>
      <c r="N2089">
        <f>YEAR(SalesData[[#This Row],[Order_Date]])</f>
        <v>2022</v>
      </c>
    </row>
    <row r="2090" spans="1:14" x14ac:dyDescent="0.3">
      <c r="A2090" t="s">
        <v>3350</v>
      </c>
      <c r="B2090" s="1">
        <v>45094</v>
      </c>
      <c r="C2090" t="s">
        <v>2803</v>
      </c>
      <c r="D2090" t="s">
        <v>18</v>
      </c>
      <c r="E2090" t="s">
        <v>13</v>
      </c>
      <c r="F2090" t="s">
        <v>14</v>
      </c>
      <c r="G2090" t="s">
        <v>1376</v>
      </c>
      <c r="H2090" s="8">
        <v>1616.56</v>
      </c>
      <c r="I2090" s="8">
        <v>-73.33</v>
      </c>
      <c r="J2090" s="8">
        <v>0.28000000000000003</v>
      </c>
      <c r="K2090" t="str">
        <f>IF(SalesData[[#This Row],[Profit]]&gt;0,"Profit","Loss")</f>
        <v>Loss</v>
      </c>
      <c r="L2090" s="8">
        <f>SalesData[[#This Row],[Profit]]/SalesData[[#This Row],[Sales]]</f>
        <v>-4.5361755827188599E-2</v>
      </c>
      <c r="M2090" t="str">
        <f>TEXT(SalesData[[#This Row],[Order_Date]],"mmm")</f>
        <v>Jun</v>
      </c>
      <c r="N2090">
        <f>YEAR(SalesData[[#This Row],[Order_Date]])</f>
        <v>2023</v>
      </c>
    </row>
    <row r="2091" spans="1:14" x14ac:dyDescent="0.3">
      <c r="A2091" t="s">
        <v>3351</v>
      </c>
      <c r="B2091" s="1">
        <v>45094</v>
      </c>
      <c r="C2091" t="s">
        <v>2552</v>
      </c>
      <c r="D2091" t="s">
        <v>12</v>
      </c>
      <c r="E2091" t="s">
        <v>13</v>
      </c>
      <c r="F2091" t="s">
        <v>24</v>
      </c>
      <c r="G2091" t="s">
        <v>342</v>
      </c>
      <c r="H2091" s="8">
        <v>3051.76</v>
      </c>
      <c r="I2091" s="8">
        <v>-499.34</v>
      </c>
      <c r="J2091" s="8">
        <v>0.11</v>
      </c>
      <c r="K2091" t="str">
        <f>IF(SalesData[[#This Row],[Profit]]&gt;0,"Profit","Loss")</f>
        <v>Loss</v>
      </c>
      <c r="L2091" s="8">
        <f>SalesData[[#This Row],[Profit]]/SalesData[[#This Row],[Sales]]</f>
        <v>-0.16362361391459351</v>
      </c>
      <c r="M2091" t="str">
        <f>TEXT(SalesData[[#This Row],[Order_Date]],"mmm")</f>
        <v>Jun</v>
      </c>
      <c r="N2091">
        <f>YEAR(SalesData[[#This Row],[Order_Date]])</f>
        <v>2023</v>
      </c>
    </row>
    <row r="2092" spans="1:14" x14ac:dyDescent="0.3">
      <c r="A2092" t="s">
        <v>3352</v>
      </c>
      <c r="B2092" s="1">
        <v>44682</v>
      </c>
      <c r="C2092" t="s">
        <v>2344</v>
      </c>
      <c r="D2092" t="s">
        <v>28</v>
      </c>
      <c r="E2092" t="s">
        <v>19</v>
      </c>
      <c r="F2092" t="s">
        <v>20</v>
      </c>
      <c r="G2092" t="s">
        <v>1578</v>
      </c>
      <c r="H2092" s="8">
        <v>4496.53</v>
      </c>
      <c r="I2092" s="8">
        <v>190.52</v>
      </c>
      <c r="J2092" s="8">
        <v>0.28999999999999998</v>
      </c>
      <c r="K2092" t="str">
        <f>IF(SalesData[[#This Row],[Profit]]&gt;0,"Profit","Loss")</f>
        <v>Profit</v>
      </c>
      <c r="L2092" s="8">
        <f>SalesData[[#This Row],[Profit]]/SalesData[[#This Row],[Sales]]</f>
        <v>4.2370450102634703E-2</v>
      </c>
      <c r="M2092" t="str">
        <f>TEXT(SalesData[[#This Row],[Order_Date]],"mmm")</f>
        <v>May</v>
      </c>
      <c r="N2092">
        <f>YEAR(SalesData[[#This Row],[Order_Date]])</f>
        <v>2022</v>
      </c>
    </row>
    <row r="2093" spans="1:14" x14ac:dyDescent="0.3">
      <c r="A2093" t="s">
        <v>3353</v>
      </c>
      <c r="B2093" s="1">
        <v>44929</v>
      </c>
      <c r="C2093" t="s">
        <v>2417</v>
      </c>
      <c r="D2093" t="s">
        <v>18</v>
      </c>
      <c r="E2093" t="s">
        <v>56</v>
      </c>
      <c r="F2093" t="s">
        <v>73</v>
      </c>
      <c r="G2093" t="s">
        <v>1001</v>
      </c>
      <c r="H2093" s="8">
        <v>4042.47</v>
      </c>
      <c r="I2093" s="8">
        <v>-793.38</v>
      </c>
      <c r="J2093" s="8">
        <v>0.24</v>
      </c>
      <c r="K2093" t="str">
        <f>IF(SalesData[[#This Row],[Profit]]&gt;0,"Profit","Loss")</f>
        <v>Loss</v>
      </c>
      <c r="L2093" s="8">
        <f>SalesData[[#This Row],[Profit]]/SalesData[[#This Row],[Sales]]</f>
        <v>-0.19626119674357509</v>
      </c>
      <c r="M2093" t="str">
        <f>TEXT(SalesData[[#This Row],[Order_Date]],"mmm")</f>
        <v>Jan</v>
      </c>
      <c r="N2093">
        <f>YEAR(SalesData[[#This Row],[Order_Date]])</f>
        <v>2023</v>
      </c>
    </row>
    <row r="2094" spans="1:14" x14ac:dyDescent="0.3">
      <c r="A2094" t="s">
        <v>3354</v>
      </c>
      <c r="B2094" s="1">
        <v>44914</v>
      </c>
      <c r="C2094" t="s">
        <v>696</v>
      </c>
      <c r="D2094" t="s">
        <v>12</v>
      </c>
      <c r="E2094" t="s">
        <v>13</v>
      </c>
      <c r="F2094" t="s">
        <v>36</v>
      </c>
      <c r="G2094" t="s">
        <v>774</v>
      </c>
      <c r="H2094" s="8">
        <v>558.14</v>
      </c>
      <c r="I2094" s="8">
        <v>-14.65</v>
      </c>
      <c r="J2094" s="8">
        <v>0.17</v>
      </c>
      <c r="K2094" t="str">
        <f>IF(SalesData[[#This Row],[Profit]]&gt;0,"Profit","Loss")</f>
        <v>Loss</v>
      </c>
      <c r="L2094" s="8">
        <f>SalesData[[#This Row],[Profit]]/SalesData[[#This Row],[Sales]]</f>
        <v>-2.6247894793421007E-2</v>
      </c>
      <c r="M2094" t="str">
        <f>TEXT(SalesData[[#This Row],[Order_Date]],"mmm")</f>
        <v>Dec</v>
      </c>
      <c r="N2094">
        <f>YEAR(SalesData[[#This Row],[Order_Date]])</f>
        <v>2022</v>
      </c>
    </row>
    <row r="2095" spans="1:14" x14ac:dyDescent="0.3">
      <c r="A2095" t="s">
        <v>3355</v>
      </c>
      <c r="B2095" s="1">
        <v>45264</v>
      </c>
      <c r="C2095" t="s">
        <v>1297</v>
      </c>
      <c r="D2095" t="s">
        <v>18</v>
      </c>
      <c r="E2095" t="s">
        <v>56</v>
      </c>
      <c r="F2095" t="s">
        <v>57</v>
      </c>
      <c r="G2095" t="s">
        <v>2087</v>
      </c>
      <c r="H2095" s="8">
        <v>2852.79</v>
      </c>
      <c r="I2095" s="8">
        <v>-1087.05</v>
      </c>
      <c r="J2095" s="8">
        <v>0.24</v>
      </c>
      <c r="K2095" t="str">
        <f>IF(SalesData[[#This Row],[Profit]]&gt;0,"Profit","Loss")</f>
        <v>Loss</v>
      </c>
      <c r="L2095" s="8">
        <f>SalesData[[#This Row],[Profit]]/SalesData[[#This Row],[Sales]]</f>
        <v>-0.38104802666862964</v>
      </c>
      <c r="M2095" t="str">
        <f>TEXT(SalesData[[#This Row],[Order_Date]],"mmm")</f>
        <v>Dec</v>
      </c>
      <c r="N2095">
        <f>YEAR(SalesData[[#This Row],[Order_Date]])</f>
        <v>2023</v>
      </c>
    </row>
    <row r="2096" spans="1:14" x14ac:dyDescent="0.3">
      <c r="A2096" t="s">
        <v>3356</v>
      </c>
      <c r="B2096" s="1">
        <v>44819</v>
      </c>
      <c r="C2096" t="s">
        <v>35</v>
      </c>
      <c r="D2096" t="s">
        <v>40</v>
      </c>
      <c r="E2096" t="s">
        <v>13</v>
      </c>
      <c r="F2096" t="s">
        <v>36</v>
      </c>
      <c r="G2096" t="s">
        <v>2463</v>
      </c>
      <c r="H2096" s="8">
        <v>2900.38</v>
      </c>
      <c r="I2096" s="8">
        <v>-115.28</v>
      </c>
      <c r="J2096" s="8">
        <v>0.28999999999999998</v>
      </c>
      <c r="K2096" t="str">
        <f>IF(SalesData[[#This Row],[Profit]]&gt;0,"Profit","Loss")</f>
        <v>Loss</v>
      </c>
      <c r="L2096" s="8">
        <f>SalesData[[#This Row],[Profit]]/SalesData[[#This Row],[Sales]]</f>
        <v>-3.9746515973768951E-2</v>
      </c>
      <c r="M2096" t="str">
        <f>TEXT(SalesData[[#This Row],[Order_Date]],"mmm")</f>
        <v>Sep</v>
      </c>
      <c r="N2096">
        <f>YEAR(SalesData[[#This Row],[Order_Date]])</f>
        <v>2022</v>
      </c>
    </row>
    <row r="2097" spans="1:14" x14ac:dyDescent="0.3">
      <c r="A2097" t="s">
        <v>3357</v>
      </c>
      <c r="B2097" s="1">
        <v>45083</v>
      </c>
      <c r="C2097" t="s">
        <v>976</v>
      </c>
      <c r="D2097" t="s">
        <v>12</v>
      </c>
      <c r="E2097" t="s">
        <v>13</v>
      </c>
      <c r="F2097" t="s">
        <v>14</v>
      </c>
      <c r="G2097" t="s">
        <v>1808</v>
      </c>
      <c r="H2097" s="8">
        <v>1278.94</v>
      </c>
      <c r="I2097" s="8">
        <v>-324.27999999999997</v>
      </c>
      <c r="J2097" s="8">
        <v>0.24</v>
      </c>
      <c r="K2097" t="str">
        <f>IF(SalesData[[#This Row],[Profit]]&gt;0,"Profit","Loss")</f>
        <v>Loss</v>
      </c>
      <c r="L2097" s="8">
        <f>SalesData[[#This Row],[Profit]]/SalesData[[#This Row],[Sales]]</f>
        <v>-0.25355372417783473</v>
      </c>
      <c r="M2097" t="str">
        <f>TEXT(SalesData[[#This Row],[Order_Date]],"mmm")</f>
        <v>Jun</v>
      </c>
      <c r="N2097">
        <f>YEAR(SalesData[[#This Row],[Order_Date]])</f>
        <v>2023</v>
      </c>
    </row>
    <row r="2098" spans="1:14" x14ac:dyDescent="0.3">
      <c r="A2098" t="s">
        <v>3358</v>
      </c>
      <c r="B2098" s="1">
        <v>45088</v>
      </c>
      <c r="C2098" t="s">
        <v>1439</v>
      </c>
      <c r="D2098" t="s">
        <v>28</v>
      </c>
      <c r="E2098" t="s">
        <v>56</v>
      </c>
      <c r="F2098" t="s">
        <v>57</v>
      </c>
      <c r="G2098" t="s">
        <v>1697</v>
      </c>
      <c r="H2098" s="8">
        <v>2444.2399999999998</v>
      </c>
      <c r="I2098" s="8">
        <v>-650.39</v>
      </c>
      <c r="J2098" s="8">
        <v>7.0000000000000007E-2</v>
      </c>
      <c r="K2098" t="str">
        <f>IF(SalesData[[#This Row],[Profit]]&gt;0,"Profit","Loss")</f>
        <v>Loss</v>
      </c>
      <c r="L2098" s="8">
        <f>SalesData[[#This Row],[Profit]]/SalesData[[#This Row],[Sales]]</f>
        <v>-0.26609089123817631</v>
      </c>
      <c r="M2098" t="str">
        <f>TEXT(SalesData[[#This Row],[Order_Date]],"mmm")</f>
        <v>Jun</v>
      </c>
      <c r="N2098">
        <f>YEAR(SalesData[[#This Row],[Order_Date]])</f>
        <v>2023</v>
      </c>
    </row>
    <row r="2099" spans="1:14" x14ac:dyDescent="0.3">
      <c r="A2099" t="s">
        <v>3359</v>
      </c>
      <c r="B2099" s="1">
        <v>44958</v>
      </c>
      <c r="C2099" t="s">
        <v>2314</v>
      </c>
      <c r="D2099" t="s">
        <v>18</v>
      </c>
      <c r="E2099" t="s">
        <v>19</v>
      </c>
      <c r="F2099" t="s">
        <v>20</v>
      </c>
      <c r="G2099" t="s">
        <v>590</v>
      </c>
      <c r="H2099" s="8">
        <v>4992.37</v>
      </c>
      <c r="I2099" s="8">
        <v>1736.3</v>
      </c>
      <c r="J2099" s="8">
        <v>0.04</v>
      </c>
      <c r="K2099" t="str">
        <f>IF(SalesData[[#This Row],[Profit]]&gt;0,"Profit","Loss")</f>
        <v>Profit</v>
      </c>
      <c r="L2099" s="8">
        <f>SalesData[[#This Row],[Profit]]/SalesData[[#This Row],[Sales]]</f>
        <v>0.34779072865192284</v>
      </c>
      <c r="M2099" t="str">
        <f>TEXT(SalesData[[#This Row],[Order_Date]],"mmm")</f>
        <v>Feb</v>
      </c>
      <c r="N2099">
        <f>YEAR(SalesData[[#This Row],[Order_Date]])</f>
        <v>2023</v>
      </c>
    </row>
    <row r="2100" spans="1:14" x14ac:dyDescent="0.3">
      <c r="A2100" t="s">
        <v>3360</v>
      </c>
      <c r="B2100" s="1">
        <v>44588</v>
      </c>
      <c r="C2100" t="s">
        <v>2010</v>
      </c>
      <c r="D2100" t="s">
        <v>12</v>
      </c>
      <c r="E2100" t="s">
        <v>56</v>
      </c>
      <c r="F2100" t="s">
        <v>73</v>
      </c>
      <c r="G2100" t="s">
        <v>1306</v>
      </c>
      <c r="H2100" s="8">
        <v>1047.33</v>
      </c>
      <c r="I2100" s="8">
        <v>119.54</v>
      </c>
      <c r="J2100" s="8">
        <v>0.18</v>
      </c>
      <c r="K2100" t="str">
        <f>IF(SalesData[[#This Row],[Profit]]&gt;0,"Profit","Loss")</f>
        <v>Profit</v>
      </c>
      <c r="L2100" s="8">
        <f>SalesData[[#This Row],[Profit]]/SalesData[[#This Row],[Sales]]</f>
        <v>0.11413785530826007</v>
      </c>
      <c r="M2100" t="str">
        <f>TEXT(SalesData[[#This Row],[Order_Date]],"mmm")</f>
        <v>Jan</v>
      </c>
      <c r="N2100">
        <f>YEAR(SalesData[[#This Row],[Order_Date]])</f>
        <v>2022</v>
      </c>
    </row>
    <row r="2101" spans="1:14" x14ac:dyDescent="0.3">
      <c r="A2101" t="s">
        <v>3361</v>
      </c>
      <c r="B2101" s="1">
        <v>45183</v>
      </c>
      <c r="C2101" t="s">
        <v>634</v>
      </c>
      <c r="D2101" t="s">
        <v>40</v>
      </c>
      <c r="E2101" t="s">
        <v>13</v>
      </c>
      <c r="F2101" t="s">
        <v>14</v>
      </c>
      <c r="G2101" t="s">
        <v>1492</v>
      </c>
      <c r="H2101" s="8">
        <v>3099.13</v>
      </c>
      <c r="I2101" s="8">
        <v>-322.87</v>
      </c>
      <c r="J2101" s="8">
        <v>0.08</v>
      </c>
      <c r="K2101" t="str">
        <f>IF(SalesData[[#This Row],[Profit]]&gt;0,"Profit","Loss")</f>
        <v>Loss</v>
      </c>
      <c r="L2101" s="8">
        <f>SalesData[[#This Row],[Profit]]/SalesData[[#This Row],[Sales]]</f>
        <v>-0.10418085075488927</v>
      </c>
      <c r="M2101" t="str">
        <f>TEXT(SalesData[[#This Row],[Order_Date]],"mmm")</f>
        <v>Sep</v>
      </c>
      <c r="N2101">
        <f>YEAR(SalesData[[#This Row],[Order_Date]])</f>
        <v>2023</v>
      </c>
    </row>
    <row r="2102" spans="1:14" x14ac:dyDescent="0.3">
      <c r="A2102" t="s">
        <v>3362</v>
      </c>
      <c r="B2102" s="1">
        <v>45158</v>
      </c>
      <c r="C2102" t="s">
        <v>1474</v>
      </c>
      <c r="D2102" t="s">
        <v>28</v>
      </c>
      <c r="E2102" t="s">
        <v>19</v>
      </c>
      <c r="F2102" t="s">
        <v>29</v>
      </c>
      <c r="G2102" t="s">
        <v>389</v>
      </c>
      <c r="H2102" s="8">
        <v>3890.91</v>
      </c>
      <c r="I2102" s="8">
        <v>-571.63</v>
      </c>
      <c r="J2102" s="8">
        <v>0.26</v>
      </c>
      <c r="K2102" t="str">
        <f>IF(SalesData[[#This Row],[Profit]]&gt;0,"Profit","Loss")</f>
        <v>Loss</v>
      </c>
      <c r="L2102" s="8">
        <f>SalesData[[#This Row],[Profit]]/SalesData[[#This Row],[Sales]]</f>
        <v>-0.14691421801069673</v>
      </c>
      <c r="M2102" t="str">
        <f>TEXT(SalesData[[#This Row],[Order_Date]],"mmm")</f>
        <v>Aug</v>
      </c>
      <c r="N2102">
        <f>YEAR(SalesData[[#This Row],[Order_Date]])</f>
        <v>2023</v>
      </c>
    </row>
    <row r="2103" spans="1:14" x14ac:dyDescent="0.3">
      <c r="A2103" t="s">
        <v>3363</v>
      </c>
      <c r="B2103" s="1">
        <v>44579</v>
      </c>
      <c r="C2103" t="s">
        <v>319</v>
      </c>
      <c r="D2103" t="s">
        <v>28</v>
      </c>
      <c r="E2103" t="s">
        <v>56</v>
      </c>
      <c r="F2103" t="s">
        <v>57</v>
      </c>
      <c r="G2103" t="s">
        <v>377</v>
      </c>
      <c r="H2103" s="8">
        <v>3676.88</v>
      </c>
      <c r="I2103" s="8">
        <v>-375.48</v>
      </c>
      <c r="J2103" s="8">
        <v>7.0000000000000007E-2</v>
      </c>
      <c r="K2103" t="str">
        <f>IF(SalesData[[#This Row],[Profit]]&gt;0,"Profit","Loss")</f>
        <v>Loss</v>
      </c>
      <c r="L2103" s="8">
        <f>SalesData[[#This Row],[Profit]]/SalesData[[#This Row],[Sales]]</f>
        <v>-0.10211918800722351</v>
      </c>
      <c r="M2103" t="str">
        <f>TEXT(SalesData[[#This Row],[Order_Date]],"mmm")</f>
        <v>Jan</v>
      </c>
      <c r="N2103">
        <f>YEAR(SalesData[[#This Row],[Order_Date]])</f>
        <v>2022</v>
      </c>
    </row>
    <row r="2104" spans="1:14" x14ac:dyDescent="0.3">
      <c r="A2104" t="s">
        <v>3364</v>
      </c>
      <c r="B2104" s="1">
        <v>44705</v>
      </c>
      <c r="C2104" t="s">
        <v>341</v>
      </c>
      <c r="D2104" t="s">
        <v>28</v>
      </c>
      <c r="E2104" t="s">
        <v>13</v>
      </c>
      <c r="F2104" t="s">
        <v>36</v>
      </c>
      <c r="G2104" t="s">
        <v>728</v>
      </c>
      <c r="H2104" s="8">
        <v>2014.62</v>
      </c>
      <c r="I2104" s="8">
        <v>696.57</v>
      </c>
      <c r="J2104" s="8">
        <v>0.02</v>
      </c>
      <c r="K2104" t="str">
        <f>IF(SalesData[[#This Row],[Profit]]&gt;0,"Profit","Loss")</f>
        <v>Profit</v>
      </c>
      <c r="L2104" s="8">
        <f>SalesData[[#This Row],[Profit]]/SalesData[[#This Row],[Sales]]</f>
        <v>0.34575751258301818</v>
      </c>
      <c r="M2104" t="str">
        <f>TEXT(SalesData[[#This Row],[Order_Date]],"mmm")</f>
        <v>May</v>
      </c>
      <c r="N2104">
        <f>YEAR(SalesData[[#This Row],[Order_Date]])</f>
        <v>2022</v>
      </c>
    </row>
    <row r="2105" spans="1:14" x14ac:dyDescent="0.3">
      <c r="A2105" t="s">
        <v>3365</v>
      </c>
      <c r="B2105" s="1">
        <v>44656</v>
      </c>
      <c r="C2105" t="s">
        <v>493</v>
      </c>
      <c r="D2105" t="s">
        <v>28</v>
      </c>
      <c r="E2105" t="s">
        <v>19</v>
      </c>
      <c r="F2105" t="s">
        <v>141</v>
      </c>
      <c r="G2105" t="s">
        <v>1279</v>
      </c>
      <c r="H2105" s="8">
        <v>737.14</v>
      </c>
      <c r="I2105" s="8">
        <v>-168.31</v>
      </c>
      <c r="J2105" s="8">
        <v>0.04</v>
      </c>
      <c r="K2105" t="str">
        <f>IF(SalesData[[#This Row],[Profit]]&gt;0,"Profit","Loss")</f>
        <v>Loss</v>
      </c>
      <c r="L2105" s="8">
        <f>SalesData[[#This Row],[Profit]]/SalesData[[#This Row],[Sales]]</f>
        <v>-0.22832840437366037</v>
      </c>
      <c r="M2105" t="str">
        <f>TEXT(SalesData[[#This Row],[Order_Date]],"mmm")</f>
        <v>Apr</v>
      </c>
      <c r="N2105">
        <f>YEAR(SalesData[[#This Row],[Order_Date]])</f>
        <v>2022</v>
      </c>
    </row>
    <row r="2106" spans="1:14" x14ac:dyDescent="0.3">
      <c r="A2106" t="s">
        <v>3366</v>
      </c>
      <c r="B2106" s="1">
        <v>45140</v>
      </c>
      <c r="C2106" t="s">
        <v>1605</v>
      </c>
      <c r="D2106" t="s">
        <v>12</v>
      </c>
      <c r="E2106" t="s">
        <v>13</v>
      </c>
      <c r="F2106" t="s">
        <v>36</v>
      </c>
      <c r="G2106" t="s">
        <v>618</v>
      </c>
      <c r="H2106" s="8">
        <v>4621.8599999999997</v>
      </c>
      <c r="I2106" s="8">
        <v>504.66</v>
      </c>
      <c r="J2106" s="8">
        <v>0.28000000000000003</v>
      </c>
      <c r="K2106" t="str">
        <f>IF(SalesData[[#This Row],[Profit]]&gt;0,"Profit","Loss")</f>
        <v>Profit</v>
      </c>
      <c r="L2106" s="8">
        <f>SalesData[[#This Row],[Profit]]/SalesData[[#This Row],[Sales]]</f>
        <v>0.10918980670119824</v>
      </c>
      <c r="M2106" t="str">
        <f>TEXT(SalesData[[#This Row],[Order_Date]],"mmm")</f>
        <v>Aug</v>
      </c>
      <c r="N2106">
        <f>YEAR(SalesData[[#This Row],[Order_Date]])</f>
        <v>2023</v>
      </c>
    </row>
    <row r="2107" spans="1:14" x14ac:dyDescent="0.3">
      <c r="A2107" t="s">
        <v>3367</v>
      </c>
      <c r="B2107" s="1">
        <v>44630</v>
      </c>
      <c r="C2107" t="s">
        <v>1771</v>
      </c>
      <c r="D2107" t="s">
        <v>18</v>
      </c>
      <c r="E2107" t="s">
        <v>19</v>
      </c>
      <c r="F2107" t="s">
        <v>20</v>
      </c>
      <c r="G2107" t="s">
        <v>2030</v>
      </c>
      <c r="H2107" s="8">
        <v>2046.67</v>
      </c>
      <c r="I2107" s="8">
        <v>-81.62</v>
      </c>
      <c r="J2107" s="8">
        <v>0.16</v>
      </c>
      <c r="K2107" t="str">
        <f>IF(SalesData[[#This Row],[Profit]]&gt;0,"Profit","Loss")</f>
        <v>Loss</v>
      </c>
      <c r="L2107" s="8">
        <f>SalesData[[#This Row],[Profit]]/SalesData[[#This Row],[Sales]]</f>
        <v>-3.9879413877176098E-2</v>
      </c>
      <c r="M2107" t="str">
        <f>TEXT(SalesData[[#This Row],[Order_Date]],"mmm")</f>
        <v>Mar</v>
      </c>
      <c r="N2107">
        <f>YEAR(SalesData[[#This Row],[Order_Date]])</f>
        <v>2022</v>
      </c>
    </row>
    <row r="2108" spans="1:14" x14ac:dyDescent="0.3">
      <c r="A2108" t="s">
        <v>3368</v>
      </c>
      <c r="B2108" s="1">
        <v>44928</v>
      </c>
      <c r="C2108" t="s">
        <v>1839</v>
      </c>
      <c r="D2108" t="s">
        <v>18</v>
      </c>
      <c r="E2108" t="s">
        <v>19</v>
      </c>
      <c r="F2108" t="s">
        <v>20</v>
      </c>
      <c r="G2108" t="s">
        <v>2030</v>
      </c>
      <c r="H2108" s="8">
        <v>537.02</v>
      </c>
      <c r="I2108" s="8">
        <v>171.22</v>
      </c>
      <c r="J2108" s="8">
        <v>0.04</v>
      </c>
      <c r="K2108" t="str">
        <f>IF(SalesData[[#This Row],[Profit]]&gt;0,"Profit","Loss")</f>
        <v>Profit</v>
      </c>
      <c r="L2108" s="8">
        <f>SalesData[[#This Row],[Profit]]/SalesData[[#This Row],[Sales]]</f>
        <v>0.31883356299579158</v>
      </c>
      <c r="M2108" t="str">
        <f>TEXT(SalesData[[#This Row],[Order_Date]],"mmm")</f>
        <v>Jan</v>
      </c>
      <c r="N2108">
        <f>YEAR(SalesData[[#This Row],[Order_Date]])</f>
        <v>2023</v>
      </c>
    </row>
    <row r="2109" spans="1:14" x14ac:dyDescent="0.3">
      <c r="A2109" t="s">
        <v>3369</v>
      </c>
      <c r="B2109" s="1">
        <v>44572</v>
      </c>
      <c r="C2109" t="s">
        <v>2525</v>
      </c>
      <c r="D2109" t="s">
        <v>18</v>
      </c>
      <c r="E2109" t="s">
        <v>19</v>
      </c>
      <c r="F2109" t="s">
        <v>29</v>
      </c>
      <c r="G2109" t="s">
        <v>169</v>
      </c>
      <c r="H2109" s="8">
        <v>632.70000000000005</v>
      </c>
      <c r="I2109" s="8">
        <v>-197.72</v>
      </c>
      <c r="J2109" s="8">
        <v>0.16</v>
      </c>
      <c r="K2109" t="str">
        <f>IF(SalesData[[#This Row],[Profit]]&gt;0,"Profit","Loss")</f>
        <v>Loss</v>
      </c>
      <c r="L2109" s="8">
        <f>SalesData[[#This Row],[Profit]]/SalesData[[#This Row],[Sales]]</f>
        <v>-0.31250197565987037</v>
      </c>
      <c r="M2109" t="str">
        <f>TEXT(SalesData[[#This Row],[Order_Date]],"mmm")</f>
        <v>Jan</v>
      </c>
      <c r="N2109">
        <f>YEAR(SalesData[[#This Row],[Order_Date]])</f>
        <v>2022</v>
      </c>
    </row>
    <row r="2110" spans="1:14" x14ac:dyDescent="0.3">
      <c r="A2110" t="s">
        <v>3370</v>
      </c>
      <c r="B2110" s="1">
        <v>44994</v>
      </c>
      <c r="C2110" t="s">
        <v>1232</v>
      </c>
      <c r="D2110" t="s">
        <v>40</v>
      </c>
      <c r="E2110" t="s">
        <v>56</v>
      </c>
      <c r="F2110" t="s">
        <v>57</v>
      </c>
      <c r="G2110" t="s">
        <v>2294</v>
      </c>
      <c r="H2110" s="8">
        <v>3054.34</v>
      </c>
      <c r="I2110" s="8">
        <v>-404.48</v>
      </c>
      <c r="J2110" s="8">
        <v>0</v>
      </c>
      <c r="K2110" t="str">
        <f>IF(SalesData[[#This Row],[Profit]]&gt;0,"Profit","Loss")</f>
        <v>Loss</v>
      </c>
      <c r="L2110" s="8">
        <f>SalesData[[#This Row],[Profit]]/SalesData[[#This Row],[Sales]]</f>
        <v>-0.13242795497554299</v>
      </c>
      <c r="M2110" t="str">
        <f>TEXT(SalesData[[#This Row],[Order_Date]],"mmm")</f>
        <v>Mar</v>
      </c>
      <c r="N2110">
        <f>YEAR(SalesData[[#This Row],[Order_Date]])</f>
        <v>2023</v>
      </c>
    </row>
    <row r="2111" spans="1:14" x14ac:dyDescent="0.3">
      <c r="A2111" t="s">
        <v>3371</v>
      </c>
      <c r="B2111" s="1">
        <v>44756</v>
      </c>
      <c r="C2111" t="s">
        <v>2318</v>
      </c>
      <c r="D2111" t="s">
        <v>28</v>
      </c>
      <c r="E2111" t="s">
        <v>19</v>
      </c>
      <c r="F2111" t="s">
        <v>29</v>
      </c>
      <c r="G2111" t="s">
        <v>590</v>
      </c>
      <c r="H2111" s="8">
        <v>2775.95</v>
      </c>
      <c r="I2111" s="8">
        <v>-733.99</v>
      </c>
      <c r="J2111" s="8">
        <v>0.28999999999999998</v>
      </c>
      <c r="K2111" t="str">
        <f>IF(SalesData[[#This Row],[Profit]]&gt;0,"Profit","Loss")</f>
        <v>Loss</v>
      </c>
      <c r="L2111" s="8">
        <f>SalesData[[#This Row],[Profit]]/SalesData[[#This Row],[Sales]]</f>
        <v>-0.26441038203137668</v>
      </c>
      <c r="M2111" t="str">
        <f>TEXT(SalesData[[#This Row],[Order_Date]],"mmm")</f>
        <v>Jul</v>
      </c>
      <c r="N2111">
        <f>YEAR(SalesData[[#This Row],[Order_Date]])</f>
        <v>2022</v>
      </c>
    </row>
    <row r="2112" spans="1:14" x14ac:dyDescent="0.3">
      <c r="A2112" t="s">
        <v>3372</v>
      </c>
      <c r="B2112" s="1">
        <v>44734</v>
      </c>
      <c r="C2112" t="s">
        <v>1305</v>
      </c>
      <c r="D2112" t="s">
        <v>40</v>
      </c>
      <c r="E2112" t="s">
        <v>13</v>
      </c>
      <c r="F2112" t="s">
        <v>24</v>
      </c>
      <c r="G2112" t="s">
        <v>646</v>
      </c>
      <c r="H2112" s="8">
        <v>1553.97</v>
      </c>
      <c r="I2112" s="8">
        <v>-389.25</v>
      </c>
      <c r="J2112" s="8">
        <v>0.08</v>
      </c>
      <c r="K2112" t="str">
        <f>IF(SalesData[[#This Row],[Profit]]&gt;0,"Profit","Loss")</f>
        <v>Loss</v>
      </c>
      <c r="L2112" s="8">
        <f>SalesData[[#This Row],[Profit]]/SalesData[[#This Row],[Sales]]</f>
        <v>-0.2504874611478986</v>
      </c>
      <c r="M2112" t="str">
        <f>TEXT(SalesData[[#This Row],[Order_Date]],"mmm")</f>
        <v>Jun</v>
      </c>
      <c r="N2112">
        <f>YEAR(SalesData[[#This Row],[Order_Date]])</f>
        <v>2022</v>
      </c>
    </row>
    <row r="2113" spans="1:14" x14ac:dyDescent="0.3">
      <c r="A2113" t="s">
        <v>3373</v>
      </c>
      <c r="B2113" s="1">
        <v>45003</v>
      </c>
      <c r="C2113" t="s">
        <v>1482</v>
      </c>
      <c r="D2113" t="s">
        <v>40</v>
      </c>
      <c r="E2113" t="s">
        <v>56</v>
      </c>
      <c r="F2113" t="s">
        <v>95</v>
      </c>
      <c r="G2113" t="s">
        <v>1492</v>
      </c>
      <c r="H2113" s="8">
        <v>1540.68</v>
      </c>
      <c r="I2113" s="8">
        <v>432.12</v>
      </c>
      <c r="J2113" s="8">
        <v>0.01</v>
      </c>
      <c r="K2113" t="str">
        <f>IF(SalesData[[#This Row],[Profit]]&gt;0,"Profit","Loss")</f>
        <v>Profit</v>
      </c>
      <c r="L2113" s="8">
        <f>SalesData[[#This Row],[Profit]]/SalesData[[#This Row],[Sales]]</f>
        <v>0.28047355713061767</v>
      </c>
      <c r="M2113" t="str">
        <f>TEXT(SalesData[[#This Row],[Order_Date]],"mmm")</f>
        <v>Mar</v>
      </c>
      <c r="N2113">
        <f>YEAR(SalesData[[#This Row],[Order_Date]])</f>
        <v>2023</v>
      </c>
    </row>
    <row r="2114" spans="1:14" x14ac:dyDescent="0.3">
      <c r="A2114" t="s">
        <v>3374</v>
      </c>
      <c r="B2114" s="1">
        <v>45043</v>
      </c>
      <c r="C2114" t="s">
        <v>2324</v>
      </c>
      <c r="D2114" t="s">
        <v>12</v>
      </c>
      <c r="E2114" t="s">
        <v>56</v>
      </c>
      <c r="F2114" t="s">
        <v>95</v>
      </c>
      <c r="G2114" t="s">
        <v>1535</v>
      </c>
      <c r="H2114" s="8">
        <v>1103.96</v>
      </c>
      <c r="I2114" s="8">
        <v>-241.8</v>
      </c>
      <c r="J2114" s="8">
        <v>0.08</v>
      </c>
      <c r="K2114" t="str">
        <f>IF(SalesData[[#This Row],[Profit]]&gt;0,"Profit","Loss")</f>
        <v>Loss</v>
      </c>
      <c r="L2114" s="8">
        <f>SalesData[[#This Row],[Profit]]/SalesData[[#This Row],[Sales]]</f>
        <v>-0.2190296749882242</v>
      </c>
      <c r="M2114" t="str">
        <f>TEXT(SalesData[[#This Row],[Order_Date]],"mmm")</f>
        <v>Apr</v>
      </c>
      <c r="N2114">
        <f>YEAR(SalesData[[#This Row],[Order_Date]])</f>
        <v>2023</v>
      </c>
    </row>
    <row r="2115" spans="1:14" x14ac:dyDescent="0.3">
      <c r="A2115" t="s">
        <v>3375</v>
      </c>
      <c r="B2115" s="1">
        <v>44753</v>
      </c>
      <c r="C2115" t="s">
        <v>1000</v>
      </c>
      <c r="D2115" t="s">
        <v>12</v>
      </c>
      <c r="E2115" t="s">
        <v>56</v>
      </c>
      <c r="F2115" t="s">
        <v>95</v>
      </c>
      <c r="G2115" t="s">
        <v>386</v>
      </c>
      <c r="H2115" s="8">
        <v>3730.49</v>
      </c>
      <c r="I2115" s="8">
        <v>-156.55000000000001</v>
      </c>
      <c r="J2115" s="8">
        <v>0.15</v>
      </c>
      <c r="K2115" t="str">
        <f>IF(SalesData[[#This Row],[Profit]]&gt;0,"Profit","Loss")</f>
        <v>Loss</v>
      </c>
      <c r="L2115" s="8">
        <f>SalesData[[#This Row],[Profit]]/SalesData[[#This Row],[Sales]]</f>
        <v>-4.1964996555412297E-2</v>
      </c>
      <c r="M2115" t="str">
        <f>TEXT(SalesData[[#This Row],[Order_Date]],"mmm")</f>
        <v>Jul</v>
      </c>
      <c r="N2115">
        <f>YEAR(SalesData[[#This Row],[Order_Date]])</f>
        <v>2022</v>
      </c>
    </row>
    <row r="2116" spans="1:14" x14ac:dyDescent="0.3">
      <c r="A2116" t="s">
        <v>3376</v>
      </c>
      <c r="B2116" s="1">
        <v>45111</v>
      </c>
      <c r="C2116" t="s">
        <v>1420</v>
      </c>
      <c r="D2116" t="s">
        <v>12</v>
      </c>
      <c r="E2116" t="s">
        <v>56</v>
      </c>
      <c r="F2116" t="s">
        <v>73</v>
      </c>
      <c r="G2116" t="s">
        <v>389</v>
      </c>
      <c r="H2116" s="8">
        <v>552.12</v>
      </c>
      <c r="I2116" s="8">
        <v>78.61</v>
      </c>
      <c r="J2116" s="8">
        <v>0.15</v>
      </c>
      <c r="K2116" t="str">
        <f>IF(SalesData[[#This Row],[Profit]]&gt;0,"Profit","Loss")</f>
        <v>Profit</v>
      </c>
      <c r="L2116" s="8">
        <f>SalesData[[#This Row],[Profit]]/SalesData[[#This Row],[Sales]]</f>
        <v>0.14237846844888791</v>
      </c>
      <c r="M2116" t="str">
        <f>TEXT(SalesData[[#This Row],[Order_Date]],"mmm")</f>
        <v>Jul</v>
      </c>
      <c r="N2116">
        <f>YEAR(SalesData[[#This Row],[Order_Date]])</f>
        <v>2023</v>
      </c>
    </row>
    <row r="2117" spans="1:14" x14ac:dyDescent="0.3">
      <c r="A2117" t="s">
        <v>3377</v>
      </c>
      <c r="B2117" s="1">
        <v>45121</v>
      </c>
      <c r="C2117" t="s">
        <v>2117</v>
      </c>
      <c r="D2117" t="s">
        <v>28</v>
      </c>
      <c r="E2117" t="s">
        <v>56</v>
      </c>
      <c r="F2117" t="s">
        <v>95</v>
      </c>
      <c r="G2117" t="s">
        <v>957</v>
      </c>
      <c r="H2117" s="8">
        <v>2645.18</v>
      </c>
      <c r="I2117" s="8">
        <v>-1023.76</v>
      </c>
      <c r="J2117" s="8">
        <v>0.28999999999999998</v>
      </c>
      <c r="K2117" t="str">
        <f>IF(SalesData[[#This Row],[Profit]]&gt;0,"Profit","Loss")</f>
        <v>Loss</v>
      </c>
      <c r="L2117" s="8">
        <f>SalesData[[#This Row],[Profit]]/SalesData[[#This Row],[Sales]]</f>
        <v>-0.38702848199366396</v>
      </c>
      <c r="M2117" t="str">
        <f>TEXT(SalesData[[#This Row],[Order_Date]],"mmm")</f>
        <v>Jul</v>
      </c>
      <c r="N2117">
        <f>YEAR(SalesData[[#This Row],[Order_Date]])</f>
        <v>2023</v>
      </c>
    </row>
    <row r="2118" spans="1:14" x14ac:dyDescent="0.3">
      <c r="A2118" t="s">
        <v>3378</v>
      </c>
      <c r="B2118" s="1">
        <v>44799</v>
      </c>
      <c r="C2118" t="s">
        <v>1330</v>
      </c>
      <c r="D2118" t="s">
        <v>18</v>
      </c>
      <c r="E2118" t="s">
        <v>13</v>
      </c>
      <c r="F2118" t="s">
        <v>24</v>
      </c>
      <c r="G2118" t="s">
        <v>761</v>
      </c>
      <c r="H2118" s="8">
        <v>3071.82</v>
      </c>
      <c r="I2118" s="8">
        <v>-44.2</v>
      </c>
      <c r="J2118" s="8">
        <v>7.0000000000000007E-2</v>
      </c>
      <c r="K2118" t="str">
        <f>IF(SalesData[[#This Row],[Profit]]&gt;0,"Profit","Loss")</f>
        <v>Loss</v>
      </c>
      <c r="L2118" s="8">
        <f>SalesData[[#This Row],[Profit]]/SalesData[[#This Row],[Sales]]</f>
        <v>-1.438886393082928E-2</v>
      </c>
      <c r="M2118" t="str">
        <f>TEXT(SalesData[[#This Row],[Order_Date]],"mmm")</f>
        <v>Aug</v>
      </c>
      <c r="N2118">
        <f>YEAR(SalesData[[#This Row],[Order_Date]])</f>
        <v>2022</v>
      </c>
    </row>
    <row r="2119" spans="1:14" x14ac:dyDescent="0.3">
      <c r="A2119" t="s">
        <v>3379</v>
      </c>
      <c r="B2119" s="1">
        <v>44591</v>
      </c>
      <c r="C2119" t="s">
        <v>1069</v>
      </c>
      <c r="D2119" t="s">
        <v>18</v>
      </c>
      <c r="E2119" t="s">
        <v>56</v>
      </c>
      <c r="F2119" t="s">
        <v>73</v>
      </c>
      <c r="G2119" t="s">
        <v>279</v>
      </c>
      <c r="H2119" s="8">
        <v>968.36</v>
      </c>
      <c r="I2119" s="8">
        <v>-202.32</v>
      </c>
      <c r="J2119" s="8">
        <v>0.2</v>
      </c>
      <c r="K2119" t="str">
        <f>IF(SalesData[[#This Row],[Profit]]&gt;0,"Profit","Loss")</f>
        <v>Loss</v>
      </c>
      <c r="L2119" s="8">
        <f>SalesData[[#This Row],[Profit]]/SalesData[[#This Row],[Sales]]</f>
        <v>-0.20893056301375521</v>
      </c>
      <c r="M2119" t="str">
        <f>TEXT(SalesData[[#This Row],[Order_Date]],"mmm")</f>
        <v>Jan</v>
      </c>
      <c r="N2119">
        <f>YEAR(SalesData[[#This Row],[Order_Date]])</f>
        <v>2022</v>
      </c>
    </row>
    <row r="2120" spans="1:14" x14ac:dyDescent="0.3">
      <c r="A2120" t="s">
        <v>3380</v>
      </c>
      <c r="B2120" s="1">
        <v>45213</v>
      </c>
      <c r="C2120" t="s">
        <v>3381</v>
      </c>
      <c r="D2120" t="s">
        <v>28</v>
      </c>
      <c r="E2120" t="s">
        <v>19</v>
      </c>
      <c r="F2120" t="s">
        <v>141</v>
      </c>
      <c r="G2120" t="s">
        <v>502</v>
      </c>
      <c r="H2120" s="8">
        <v>212.3</v>
      </c>
      <c r="I2120" s="8">
        <v>-18.43</v>
      </c>
      <c r="J2120" s="8">
        <v>0.24</v>
      </c>
      <c r="K2120" t="str">
        <f>IF(SalesData[[#This Row],[Profit]]&gt;0,"Profit","Loss")</f>
        <v>Loss</v>
      </c>
      <c r="L2120" s="8">
        <f>SalesData[[#This Row],[Profit]]/SalesData[[#This Row],[Sales]]</f>
        <v>-8.6811116344795089E-2</v>
      </c>
      <c r="M2120" t="str">
        <f>TEXT(SalesData[[#This Row],[Order_Date]],"mmm")</f>
        <v>Oct</v>
      </c>
      <c r="N2120">
        <f>YEAR(SalesData[[#This Row],[Order_Date]])</f>
        <v>2023</v>
      </c>
    </row>
    <row r="2121" spans="1:14" x14ac:dyDescent="0.3">
      <c r="A2121" t="s">
        <v>3382</v>
      </c>
      <c r="B2121" s="1">
        <v>45070</v>
      </c>
      <c r="C2121" t="s">
        <v>1867</v>
      </c>
      <c r="D2121" t="s">
        <v>28</v>
      </c>
      <c r="E2121" t="s">
        <v>56</v>
      </c>
      <c r="F2121" t="s">
        <v>95</v>
      </c>
      <c r="G2121" t="s">
        <v>677</v>
      </c>
      <c r="H2121" s="8">
        <v>2443.77</v>
      </c>
      <c r="I2121" s="8">
        <v>724.68</v>
      </c>
      <c r="J2121" s="8">
        <v>0.02</v>
      </c>
      <c r="K2121" t="str">
        <f>IF(SalesData[[#This Row],[Profit]]&gt;0,"Profit","Loss")</f>
        <v>Profit</v>
      </c>
      <c r="L2121" s="8">
        <f>SalesData[[#This Row],[Profit]]/SalesData[[#This Row],[Sales]]</f>
        <v>0.29654181858358192</v>
      </c>
      <c r="M2121" t="str">
        <f>TEXT(SalesData[[#This Row],[Order_Date]],"mmm")</f>
        <v>May</v>
      </c>
      <c r="N2121">
        <f>YEAR(SalesData[[#This Row],[Order_Date]])</f>
        <v>2023</v>
      </c>
    </row>
    <row r="2122" spans="1:14" x14ac:dyDescent="0.3">
      <c r="A2122" t="s">
        <v>3383</v>
      </c>
      <c r="B2122" s="1">
        <v>44648</v>
      </c>
      <c r="C2122" t="s">
        <v>189</v>
      </c>
      <c r="D2122" t="s">
        <v>18</v>
      </c>
      <c r="E2122" t="s">
        <v>56</v>
      </c>
      <c r="F2122" t="s">
        <v>57</v>
      </c>
      <c r="G2122" t="s">
        <v>1814</v>
      </c>
      <c r="H2122" s="8">
        <v>1888.92</v>
      </c>
      <c r="I2122" s="8">
        <v>234.93</v>
      </c>
      <c r="J2122" s="8">
        <v>0</v>
      </c>
      <c r="K2122" t="str">
        <f>IF(SalesData[[#This Row],[Profit]]&gt;0,"Profit","Loss")</f>
        <v>Profit</v>
      </c>
      <c r="L2122" s="8">
        <f>SalesData[[#This Row],[Profit]]/SalesData[[#This Row],[Sales]]</f>
        <v>0.12437265739152531</v>
      </c>
      <c r="M2122" t="str">
        <f>TEXT(SalesData[[#This Row],[Order_Date]],"mmm")</f>
        <v>Mar</v>
      </c>
      <c r="N2122">
        <f>YEAR(SalesData[[#This Row],[Order_Date]])</f>
        <v>2022</v>
      </c>
    </row>
    <row r="2123" spans="1:14" x14ac:dyDescent="0.3">
      <c r="A2123" t="s">
        <v>3384</v>
      </c>
      <c r="B2123" s="1">
        <v>44964</v>
      </c>
      <c r="C2123" t="s">
        <v>2221</v>
      </c>
      <c r="D2123" t="s">
        <v>40</v>
      </c>
      <c r="E2123" t="s">
        <v>56</v>
      </c>
      <c r="F2123" t="s">
        <v>73</v>
      </c>
      <c r="G2123" t="s">
        <v>354</v>
      </c>
      <c r="H2123" s="8">
        <v>1811.59</v>
      </c>
      <c r="I2123" s="8">
        <v>-630.95000000000005</v>
      </c>
      <c r="J2123" s="8">
        <v>0.2</v>
      </c>
      <c r="K2123" t="str">
        <f>IF(SalesData[[#This Row],[Profit]]&gt;0,"Profit","Loss")</f>
        <v>Loss</v>
      </c>
      <c r="L2123" s="8">
        <f>SalesData[[#This Row],[Profit]]/SalesData[[#This Row],[Sales]]</f>
        <v>-0.34828520802168267</v>
      </c>
      <c r="M2123" t="str">
        <f>TEXT(SalesData[[#This Row],[Order_Date]],"mmm")</f>
        <v>Feb</v>
      </c>
      <c r="N2123">
        <f>YEAR(SalesData[[#This Row],[Order_Date]])</f>
        <v>2023</v>
      </c>
    </row>
    <row r="2124" spans="1:14" x14ac:dyDescent="0.3">
      <c r="A2124" t="s">
        <v>3385</v>
      </c>
      <c r="B2124" s="1">
        <v>44976</v>
      </c>
      <c r="C2124" t="s">
        <v>121</v>
      </c>
      <c r="D2124" t="s">
        <v>18</v>
      </c>
      <c r="E2124" t="s">
        <v>19</v>
      </c>
      <c r="F2124" t="s">
        <v>141</v>
      </c>
      <c r="G2124" t="s">
        <v>637</v>
      </c>
      <c r="H2124" s="8">
        <v>4945.4799999999996</v>
      </c>
      <c r="I2124" s="8">
        <v>-336.05</v>
      </c>
      <c r="J2124" s="8">
        <v>0.28000000000000003</v>
      </c>
      <c r="K2124" t="str">
        <f>IF(SalesData[[#This Row],[Profit]]&gt;0,"Profit","Loss")</f>
        <v>Loss</v>
      </c>
      <c r="L2124" s="8">
        <f>SalesData[[#This Row],[Profit]]/SalesData[[#This Row],[Sales]]</f>
        <v>-6.7950937017235952E-2</v>
      </c>
      <c r="M2124" t="str">
        <f>TEXT(SalesData[[#This Row],[Order_Date]],"mmm")</f>
        <v>Feb</v>
      </c>
      <c r="N2124">
        <f>YEAR(SalesData[[#This Row],[Order_Date]])</f>
        <v>2023</v>
      </c>
    </row>
    <row r="2125" spans="1:14" x14ac:dyDescent="0.3">
      <c r="A2125" t="s">
        <v>3386</v>
      </c>
      <c r="B2125" s="1">
        <v>45146</v>
      </c>
      <c r="C2125" t="s">
        <v>3387</v>
      </c>
      <c r="D2125" t="s">
        <v>40</v>
      </c>
      <c r="E2125" t="s">
        <v>56</v>
      </c>
      <c r="F2125" t="s">
        <v>73</v>
      </c>
      <c r="G2125" t="s">
        <v>1099</v>
      </c>
      <c r="H2125" s="8">
        <v>3291.38</v>
      </c>
      <c r="I2125" s="8">
        <v>-1436.19</v>
      </c>
      <c r="J2125" s="8">
        <v>0.28000000000000003</v>
      </c>
      <c r="K2125" t="str">
        <f>IF(SalesData[[#This Row],[Profit]]&gt;0,"Profit","Loss")</f>
        <v>Loss</v>
      </c>
      <c r="L2125" s="8">
        <f>SalesData[[#This Row],[Profit]]/SalesData[[#This Row],[Sales]]</f>
        <v>-0.43634888709295189</v>
      </c>
      <c r="M2125" t="str">
        <f>TEXT(SalesData[[#This Row],[Order_Date]],"mmm")</f>
        <v>Aug</v>
      </c>
      <c r="N2125">
        <f>YEAR(SalesData[[#This Row],[Order_Date]])</f>
        <v>2023</v>
      </c>
    </row>
    <row r="2126" spans="1:14" x14ac:dyDescent="0.3">
      <c r="A2126" t="s">
        <v>3388</v>
      </c>
      <c r="B2126" s="1">
        <v>45109</v>
      </c>
      <c r="C2126" t="s">
        <v>322</v>
      </c>
      <c r="D2126" t="s">
        <v>40</v>
      </c>
      <c r="E2126" t="s">
        <v>19</v>
      </c>
      <c r="F2126" t="s">
        <v>29</v>
      </c>
      <c r="G2126" t="s">
        <v>548</v>
      </c>
      <c r="H2126" s="8">
        <v>3799.32</v>
      </c>
      <c r="I2126" s="8">
        <v>-590.73</v>
      </c>
      <c r="J2126" s="8">
        <v>0.28999999999999998</v>
      </c>
      <c r="K2126" t="str">
        <f>IF(SalesData[[#This Row],[Profit]]&gt;0,"Profit","Loss")</f>
        <v>Loss</v>
      </c>
      <c r="L2126" s="8">
        <f>SalesData[[#This Row],[Profit]]/SalesData[[#This Row],[Sales]]</f>
        <v>-0.15548308644704842</v>
      </c>
      <c r="M2126" t="str">
        <f>TEXT(SalesData[[#This Row],[Order_Date]],"mmm")</f>
        <v>Jul</v>
      </c>
      <c r="N2126">
        <f>YEAR(SalesData[[#This Row],[Order_Date]])</f>
        <v>2023</v>
      </c>
    </row>
    <row r="2127" spans="1:14" x14ac:dyDescent="0.3">
      <c r="A2127" t="s">
        <v>3389</v>
      </c>
      <c r="B2127" s="1">
        <v>44578</v>
      </c>
      <c r="C2127" t="s">
        <v>3230</v>
      </c>
      <c r="D2127" t="s">
        <v>18</v>
      </c>
      <c r="E2127" t="s">
        <v>19</v>
      </c>
      <c r="F2127" t="s">
        <v>141</v>
      </c>
      <c r="G2127" t="s">
        <v>1287</v>
      </c>
      <c r="H2127" s="8">
        <v>3083.91</v>
      </c>
      <c r="I2127" s="8">
        <v>117.3</v>
      </c>
      <c r="J2127" s="8">
        <v>0.09</v>
      </c>
      <c r="K2127" t="str">
        <f>IF(SalesData[[#This Row],[Profit]]&gt;0,"Profit","Loss")</f>
        <v>Profit</v>
      </c>
      <c r="L2127" s="8">
        <f>SalesData[[#This Row],[Profit]]/SalesData[[#This Row],[Sales]]</f>
        <v>3.8036129459030905E-2</v>
      </c>
      <c r="M2127" t="str">
        <f>TEXT(SalesData[[#This Row],[Order_Date]],"mmm")</f>
        <v>Jan</v>
      </c>
      <c r="N2127">
        <f>YEAR(SalesData[[#This Row],[Order_Date]])</f>
        <v>2022</v>
      </c>
    </row>
    <row r="2128" spans="1:14" x14ac:dyDescent="0.3">
      <c r="A2128" t="s">
        <v>3390</v>
      </c>
      <c r="B2128" s="1">
        <v>44797</v>
      </c>
      <c r="C2128" t="s">
        <v>2185</v>
      </c>
      <c r="D2128" t="s">
        <v>28</v>
      </c>
      <c r="E2128" t="s">
        <v>56</v>
      </c>
      <c r="F2128" t="s">
        <v>95</v>
      </c>
      <c r="G2128" t="s">
        <v>1825</v>
      </c>
      <c r="H2128" s="8">
        <v>4012.09</v>
      </c>
      <c r="I2128" s="8">
        <v>-300.60000000000002</v>
      </c>
      <c r="J2128" s="8">
        <v>0.28999999999999998</v>
      </c>
      <c r="K2128" t="str">
        <f>IF(SalesData[[#This Row],[Profit]]&gt;0,"Profit","Loss")</f>
        <v>Loss</v>
      </c>
      <c r="L2128" s="8">
        <f>SalesData[[#This Row],[Profit]]/SalesData[[#This Row],[Sales]]</f>
        <v>-7.4923543589500735E-2</v>
      </c>
      <c r="M2128" t="str">
        <f>TEXT(SalesData[[#This Row],[Order_Date]],"mmm")</f>
        <v>Aug</v>
      </c>
      <c r="N2128">
        <f>YEAR(SalesData[[#This Row],[Order_Date]])</f>
        <v>2022</v>
      </c>
    </row>
    <row r="2129" spans="1:14" x14ac:dyDescent="0.3">
      <c r="A2129" t="s">
        <v>3391</v>
      </c>
      <c r="B2129" s="1">
        <v>45225</v>
      </c>
      <c r="C2129" t="s">
        <v>1015</v>
      </c>
      <c r="D2129" t="s">
        <v>40</v>
      </c>
      <c r="E2129" t="s">
        <v>13</v>
      </c>
      <c r="F2129" t="s">
        <v>24</v>
      </c>
      <c r="G2129" t="s">
        <v>2937</v>
      </c>
      <c r="H2129" s="8">
        <v>3612.08</v>
      </c>
      <c r="I2129" s="8">
        <v>1088.82</v>
      </c>
      <c r="J2129" s="8">
        <v>0.08</v>
      </c>
      <c r="K2129" t="str">
        <f>IF(SalesData[[#This Row],[Profit]]&gt;0,"Profit","Loss")</f>
        <v>Profit</v>
      </c>
      <c r="L2129" s="8">
        <f>SalesData[[#This Row],[Profit]]/SalesData[[#This Row],[Sales]]</f>
        <v>0.30143850634537439</v>
      </c>
      <c r="M2129" t="str">
        <f>TEXT(SalesData[[#This Row],[Order_Date]],"mmm")</f>
        <v>Oct</v>
      </c>
      <c r="N2129">
        <f>YEAR(SalesData[[#This Row],[Order_Date]])</f>
        <v>2023</v>
      </c>
    </row>
    <row r="2130" spans="1:14" x14ac:dyDescent="0.3">
      <c r="A2130" t="s">
        <v>3392</v>
      </c>
      <c r="B2130" s="1">
        <v>44629</v>
      </c>
      <c r="C2130" t="s">
        <v>773</v>
      </c>
      <c r="D2130" t="s">
        <v>12</v>
      </c>
      <c r="E2130" t="s">
        <v>13</v>
      </c>
      <c r="F2130" t="s">
        <v>36</v>
      </c>
      <c r="G2130" t="s">
        <v>190</v>
      </c>
      <c r="H2130" s="8">
        <v>4246.0600000000004</v>
      </c>
      <c r="I2130" s="8">
        <v>-203.28</v>
      </c>
      <c r="J2130" s="8">
        <v>0.18</v>
      </c>
      <c r="K2130" t="str">
        <f>IF(SalesData[[#This Row],[Profit]]&gt;0,"Profit","Loss")</f>
        <v>Loss</v>
      </c>
      <c r="L2130" s="8">
        <f>SalesData[[#This Row],[Profit]]/SalesData[[#This Row],[Sales]]</f>
        <v>-4.7874971149724679E-2</v>
      </c>
      <c r="M2130" t="str">
        <f>TEXT(SalesData[[#This Row],[Order_Date]],"mmm")</f>
        <v>Mar</v>
      </c>
      <c r="N2130">
        <f>YEAR(SalesData[[#This Row],[Order_Date]])</f>
        <v>2022</v>
      </c>
    </row>
    <row r="2131" spans="1:14" x14ac:dyDescent="0.3">
      <c r="A2131" t="s">
        <v>3393</v>
      </c>
      <c r="B2131" s="1">
        <v>44598</v>
      </c>
      <c r="C2131" t="s">
        <v>2679</v>
      </c>
      <c r="D2131" t="s">
        <v>28</v>
      </c>
      <c r="E2131" t="s">
        <v>19</v>
      </c>
      <c r="F2131" t="s">
        <v>29</v>
      </c>
      <c r="G2131" t="s">
        <v>392</v>
      </c>
      <c r="H2131" s="8">
        <v>3167.72</v>
      </c>
      <c r="I2131" s="8">
        <v>720.52</v>
      </c>
      <c r="J2131" s="8">
        <v>0.15</v>
      </c>
      <c r="K2131" t="str">
        <f>IF(SalesData[[#This Row],[Profit]]&gt;0,"Profit","Loss")</f>
        <v>Profit</v>
      </c>
      <c r="L2131" s="8">
        <f>SalesData[[#This Row],[Profit]]/SalesData[[#This Row],[Sales]]</f>
        <v>0.22745697220713954</v>
      </c>
      <c r="M2131" t="str">
        <f>TEXT(SalesData[[#This Row],[Order_Date]],"mmm")</f>
        <v>Feb</v>
      </c>
      <c r="N2131">
        <f>YEAR(SalesData[[#This Row],[Order_Date]])</f>
        <v>2022</v>
      </c>
    </row>
    <row r="2132" spans="1:14" x14ac:dyDescent="0.3">
      <c r="A2132" t="s">
        <v>3394</v>
      </c>
      <c r="B2132" s="1">
        <v>45051</v>
      </c>
      <c r="C2132" t="s">
        <v>1769</v>
      </c>
      <c r="D2132" t="s">
        <v>18</v>
      </c>
      <c r="E2132" t="s">
        <v>19</v>
      </c>
      <c r="F2132" t="s">
        <v>20</v>
      </c>
      <c r="G2132" t="s">
        <v>1529</v>
      </c>
      <c r="H2132" s="8">
        <v>1252.8800000000001</v>
      </c>
      <c r="I2132" s="8">
        <v>-114.58</v>
      </c>
      <c r="J2132" s="8">
        <v>0.16</v>
      </c>
      <c r="K2132" t="str">
        <f>IF(SalesData[[#This Row],[Profit]]&gt;0,"Profit","Loss")</f>
        <v>Loss</v>
      </c>
      <c r="L2132" s="8">
        <f>SalesData[[#This Row],[Profit]]/SalesData[[#This Row],[Sales]]</f>
        <v>-9.1453291616116456E-2</v>
      </c>
      <c r="M2132" t="str">
        <f>TEXT(SalesData[[#This Row],[Order_Date]],"mmm")</f>
        <v>May</v>
      </c>
      <c r="N2132">
        <f>YEAR(SalesData[[#This Row],[Order_Date]])</f>
        <v>2023</v>
      </c>
    </row>
    <row r="2133" spans="1:14" x14ac:dyDescent="0.3">
      <c r="A2133" t="s">
        <v>3395</v>
      </c>
      <c r="B2133" s="1">
        <v>44627</v>
      </c>
      <c r="C2133" t="s">
        <v>3396</v>
      </c>
      <c r="D2133" t="s">
        <v>28</v>
      </c>
      <c r="E2133" t="s">
        <v>13</v>
      </c>
      <c r="F2133" t="s">
        <v>36</v>
      </c>
      <c r="G2133" t="s">
        <v>351</v>
      </c>
      <c r="H2133" s="8">
        <v>1447.01</v>
      </c>
      <c r="I2133" s="8">
        <v>214.32</v>
      </c>
      <c r="J2133" s="8">
        <v>0.23</v>
      </c>
      <c r="K2133" t="str">
        <f>IF(SalesData[[#This Row],[Profit]]&gt;0,"Profit","Loss")</f>
        <v>Profit</v>
      </c>
      <c r="L2133" s="8">
        <f>SalesData[[#This Row],[Profit]]/SalesData[[#This Row],[Sales]]</f>
        <v>0.14811231435857389</v>
      </c>
      <c r="M2133" t="str">
        <f>TEXT(SalesData[[#This Row],[Order_Date]],"mmm")</f>
        <v>Mar</v>
      </c>
      <c r="N2133">
        <f>YEAR(SalesData[[#This Row],[Order_Date]])</f>
        <v>2022</v>
      </c>
    </row>
    <row r="2134" spans="1:14" x14ac:dyDescent="0.3">
      <c r="A2134" t="s">
        <v>3397</v>
      </c>
      <c r="B2134" s="1">
        <v>45150</v>
      </c>
      <c r="C2134" t="s">
        <v>484</v>
      </c>
      <c r="D2134" t="s">
        <v>28</v>
      </c>
      <c r="E2134" t="s">
        <v>13</v>
      </c>
      <c r="F2134" t="s">
        <v>24</v>
      </c>
      <c r="G2134" t="s">
        <v>694</v>
      </c>
      <c r="H2134" s="8">
        <v>2513.11</v>
      </c>
      <c r="I2134" s="8">
        <v>387.56</v>
      </c>
      <c r="J2134" s="8">
        <v>0.16</v>
      </c>
      <c r="K2134" t="str">
        <f>IF(SalesData[[#This Row],[Profit]]&gt;0,"Profit","Loss")</f>
        <v>Profit</v>
      </c>
      <c r="L2134" s="8">
        <f>SalesData[[#This Row],[Profit]]/SalesData[[#This Row],[Sales]]</f>
        <v>0.15421529499305642</v>
      </c>
      <c r="M2134" t="str">
        <f>TEXT(SalesData[[#This Row],[Order_Date]],"mmm")</f>
        <v>Aug</v>
      </c>
      <c r="N2134">
        <f>YEAR(SalesData[[#This Row],[Order_Date]])</f>
        <v>2023</v>
      </c>
    </row>
    <row r="2135" spans="1:14" x14ac:dyDescent="0.3">
      <c r="A2135" t="s">
        <v>3398</v>
      </c>
      <c r="B2135" s="1">
        <v>44601</v>
      </c>
      <c r="C2135" t="s">
        <v>569</v>
      </c>
      <c r="D2135" t="s">
        <v>40</v>
      </c>
      <c r="E2135" t="s">
        <v>56</v>
      </c>
      <c r="F2135" t="s">
        <v>57</v>
      </c>
      <c r="G2135" t="s">
        <v>502</v>
      </c>
      <c r="H2135" s="8">
        <v>1668.57</v>
      </c>
      <c r="I2135" s="8">
        <v>-122.9</v>
      </c>
      <c r="J2135" s="8">
        <v>0.17</v>
      </c>
      <c r="K2135" t="str">
        <f>IF(SalesData[[#This Row],[Profit]]&gt;0,"Profit","Loss")</f>
        <v>Loss</v>
      </c>
      <c r="L2135" s="8">
        <f>SalesData[[#This Row],[Profit]]/SalesData[[#This Row],[Sales]]</f>
        <v>-7.3655884979353589E-2</v>
      </c>
      <c r="M2135" t="str">
        <f>TEXT(SalesData[[#This Row],[Order_Date]],"mmm")</f>
        <v>Feb</v>
      </c>
      <c r="N2135">
        <f>YEAR(SalesData[[#This Row],[Order_Date]])</f>
        <v>2022</v>
      </c>
    </row>
    <row r="2136" spans="1:14" x14ac:dyDescent="0.3">
      <c r="A2136" t="s">
        <v>3399</v>
      </c>
      <c r="B2136" s="1">
        <v>44805</v>
      </c>
      <c r="C2136" t="s">
        <v>664</v>
      </c>
      <c r="D2136" t="s">
        <v>12</v>
      </c>
      <c r="E2136" t="s">
        <v>13</v>
      </c>
      <c r="F2136" t="s">
        <v>14</v>
      </c>
      <c r="G2136" t="s">
        <v>942</v>
      </c>
      <c r="H2136" s="8">
        <v>2053.11</v>
      </c>
      <c r="I2136" s="8">
        <v>236.35</v>
      </c>
      <c r="J2136" s="8">
        <v>0.06</v>
      </c>
      <c r="K2136" t="str">
        <f>IF(SalesData[[#This Row],[Profit]]&gt;0,"Profit","Loss")</f>
        <v>Profit</v>
      </c>
      <c r="L2136" s="8">
        <f>SalesData[[#This Row],[Profit]]/SalesData[[#This Row],[Sales]]</f>
        <v>0.11511804043621626</v>
      </c>
      <c r="M2136" t="str">
        <f>TEXT(SalesData[[#This Row],[Order_Date]],"mmm")</f>
        <v>Sep</v>
      </c>
      <c r="N2136">
        <f>YEAR(SalesData[[#This Row],[Order_Date]])</f>
        <v>2022</v>
      </c>
    </row>
    <row r="2137" spans="1:14" x14ac:dyDescent="0.3">
      <c r="A2137" t="s">
        <v>3400</v>
      </c>
      <c r="B2137" s="1">
        <v>44961</v>
      </c>
      <c r="C2137" t="s">
        <v>1429</v>
      </c>
      <c r="D2137" t="s">
        <v>40</v>
      </c>
      <c r="E2137" t="s">
        <v>19</v>
      </c>
      <c r="F2137" t="s">
        <v>20</v>
      </c>
      <c r="G2137" t="s">
        <v>420</v>
      </c>
      <c r="H2137" s="8">
        <v>3351.49</v>
      </c>
      <c r="I2137" s="8">
        <v>-22.32</v>
      </c>
      <c r="J2137" s="8">
        <v>0.26</v>
      </c>
      <c r="K2137" t="str">
        <f>IF(SalesData[[#This Row],[Profit]]&gt;0,"Profit","Loss")</f>
        <v>Loss</v>
      </c>
      <c r="L2137" s="8">
        <f>SalesData[[#This Row],[Profit]]/SalesData[[#This Row],[Sales]]</f>
        <v>-6.659724480753337E-3</v>
      </c>
      <c r="M2137" t="str">
        <f>TEXT(SalesData[[#This Row],[Order_Date]],"mmm")</f>
        <v>Feb</v>
      </c>
      <c r="N2137">
        <f>YEAR(SalesData[[#This Row],[Order_Date]])</f>
        <v>2023</v>
      </c>
    </row>
    <row r="2138" spans="1:14" x14ac:dyDescent="0.3">
      <c r="A2138" t="s">
        <v>3401</v>
      </c>
      <c r="B2138" s="1">
        <v>45116</v>
      </c>
      <c r="C2138" t="s">
        <v>3212</v>
      </c>
      <c r="D2138" t="s">
        <v>40</v>
      </c>
      <c r="E2138" t="s">
        <v>19</v>
      </c>
      <c r="F2138" t="s">
        <v>141</v>
      </c>
      <c r="G2138" t="s">
        <v>2339</v>
      </c>
      <c r="H2138" s="8">
        <v>287.75</v>
      </c>
      <c r="I2138" s="8">
        <v>-86.11</v>
      </c>
      <c r="J2138" s="8">
        <v>0.2</v>
      </c>
      <c r="K2138" t="str">
        <f>IF(SalesData[[#This Row],[Profit]]&gt;0,"Profit","Loss")</f>
        <v>Loss</v>
      </c>
      <c r="L2138" s="8">
        <f>SalesData[[#This Row],[Profit]]/SalesData[[#This Row],[Sales]]</f>
        <v>-0.2992528236316247</v>
      </c>
      <c r="M2138" t="str">
        <f>TEXT(SalesData[[#This Row],[Order_Date]],"mmm")</f>
        <v>Jul</v>
      </c>
      <c r="N2138">
        <f>YEAR(SalesData[[#This Row],[Order_Date]])</f>
        <v>2023</v>
      </c>
    </row>
    <row r="2139" spans="1:14" x14ac:dyDescent="0.3">
      <c r="A2139" t="s">
        <v>3402</v>
      </c>
      <c r="B2139" s="1">
        <v>45169</v>
      </c>
      <c r="C2139" t="s">
        <v>2335</v>
      </c>
      <c r="D2139" t="s">
        <v>18</v>
      </c>
      <c r="E2139" t="s">
        <v>19</v>
      </c>
      <c r="F2139" t="s">
        <v>29</v>
      </c>
      <c r="G2139" t="s">
        <v>860</v>
      </c>
      <c r="H2139" s="8">
        <v>1330.91</v>
      </c>
      <c r="I2139" s="8">
        <v>-324.87</v>
      </c>
      <c r="J2139" s="8">
        <v>0.28000000000000003</v>
      </c>
      <c r="K2139" t="str">
        <f>IF(SalesData[[#This Row],[Profit]]&gt;0,"Profit","Loss")</f>
        <v>Loss</v>
      </c>
      <c r="L2139" s="8">
        <f>SalesData[[#This Row],[Profit]]/SalesData[[#This Row],[Sales]]</f>
        <v>-0.24409614474307051</v>
      </c>
      <c r="M2139" t="str">
        <f>TEXT(SalesData[[#This Row],[Order_Date]],"mmm")</f>
        <v>Aug</v>
      </c>
      <c r="N2139">
        <f>YEAR(SalesData[[#This Row],[Order_Date]])</f>
        <v>2023</v>
      </c>
    </row>
    <row r="2140" spans="1:14" x14ac:dyDescent="0.3">
      <c r="A2140" t="s">
        <v>3403</v>
      </c>
      <c r="B2140" s="1">
        <v>44698</v>
      </c>
      <c r="C2140" t="s">
        <v>43</v>
      </c>
      <c r="D2140" t="s">
        <v>40</v>
      </c>
      <c r="E2140" t="s">
        <v>19</v>
      </c>
      <c r="F2140" t="s">
        <v>141</v>
      </c>
      <c r="G2140" t="s">
        <v>864</v>
      </c>
      <c r="H2140" s="8">
        <v>1541.4</v>
      </c>
      <c r="I2140" s="8">
        <v>-14.84</v>
      </c>
      <c r="J2140" s="8">
        <v>0.19</v>
      </c>
      <c r="K2140" t="str">
        <f>IF(SalesData[[#This Row],[Profit]]&gt;0,"Profit","Loss")</f>
        <v>Loss</v>
      </c>
      <c r="L2140" s="8">
        <f>SalesData[[#This Row],[Profit]]/SalesData[[#This Row],[Sales]]</f>
        <v>-9.6276112624886466E-3</v>
      </c>
      <c r="M2140" t="str">
        <f>TEXT(SalesData[[#This Row],[Order_Date]],"mmm")</f>
        <v>May</v>
      </c>
      <c r="N2140">
        <f>YEAR(SalesData[[#This Row],[Order_Date]])</f>
        <v>2022</v>
      </c>
    </row>
    <row r="2141" spans="1:14" x14ac:dyDescent="0.3">
      <c r="A2141" t="s">
        <v>3404</v>
      </c>
      <c r="B2141" s="1">
        <v>45148</v>
      </c>
      <c r="C2141" t="s">
        <v>278</v>
      </c>
      <c r="D2141" t="s">
        <v>40</v>
      </c>
      <c r="E2141" t="s">
        <v>19</v>
      </c>
      <c r="F2141" t="s">
        <v>20</v>
      </c>
      <c r="G2141" t="s">
        <v>488</v>
      </c>
      <c r="H2141" s="8">
        <v>4344.83</v>
      </c>
      <c r="I2141" s="8">
        <v>1374.2</v>
      </c>
      <c r="J2141" s="8">
        <v>0.06</v>
      </c>
      <c r="K2141" t="str">
        <f>IF(SalesData[[#This Row],[Profit]]&gt;0,"Profit","Loss")</f>
        <v>Profit</v>
      </c>
      <c r="L2141" s="8">
        <f>SalesData[[#This Row],[Profit]]/SalesData[[#This Row],[Sales]]</f>
        <v>0.31628395127082076</v>
      </c>
      <c r="M2141" t="str">
        <f>TEXT(SalesData[[#This Row],[Order_Date]],"mmm")</f>
        <v>Aug</v>
      </c>
      <c r="N2141">
        <f>YEAR(SalesData[[#This Row],[Order_Date]])</f>
        <v>2023</v>
      </c>
    </row>
    <row r="2142" spans="1:14" x14ac:dyDescent="0.3">
      <c r="A2142" t="s">
        <v>3405</v>
      </c>
      <c r="B2142" s="1">
        <v>45107</v>
      </c>
      <c r="C2142" t="s">
        <v>3406</v>
      </c>
      <c r="D2142" t="s">
        <v>40</v>
      </c>
      <c r="E2142" t="s">
        <v>56</v>
      </c>
      <c r="F2142" t="s">
        <v>95</v>
      </c>
      <c r="G2142" t="s">
        <v>534</v>
      </c>
      <c r="H2142" s="8">
        <v>490.07</v>
      </c>
      <c r="I2142" s="8">
        <v>-99.62</v>
      </c>
      <c r="J2142" s="8">
        <v>0.2</v>
      </c>
      <c r="K2142" t="str">
        <f>IF(SalesData[[#This Row],[Profit]]&gt;0,"Profit","Loss")</f>
        <v>Loss</v>
      </c>
      <c r="L2142" s="8">
        <f>SalesData[[#This Row],[Profit]]/SalesData[[#This Row],[Sales]]</f>
        <v>-0.20327708286571308</v>
      </c>
      <c r="M2142" t="str">
        <f>TEXT(SalesData[[#This Row],[Order_Date]],"mmm")</f>
        <v>Jun</v>
      </c>
      <c r="N2142">
        <f>YEAR(SalesData[[#This Row],[Order_Date]])</f>
        <v>2023</v>
      </c>
    </row>
    <row r="2143" spans="1:14" x14ac:dyDescent="0.3">
      <c r="A2143" t="s">
        <v>3407</v>
      </c>
      <c r="B2143" s="1">
        <v>45151</v>
      </c>
      <c r="C2143" t="s">
        <v>814</v>
      </c>
      <c r="D2143" t="s">
        <v>28</v>
      </c>
      <c r="E2143" t="s">
        <v>19</v>
      </c>
      <c r="F2143" t="s">
        <v>20</v>
      </c>
      <c r="G2143" t="s">
        <v>1140</v>
      </c>
      <c r="H2143" s="8">
        <v>4578.37</v>
      </c>
      <c r="I2143" s="8">
        <v>-912.89</v>
      </c>
      <c r="J2143" s="8">
        <v>0.1</v>
      </c>
      <c r="K2143" t="str">
        <f>IF(SalesData[[#This Row],[Profit]]&gt;0,"Profit","Loss")</f>
        <v>Loss</v>
      </c>
      <c r="L2143" s="8">
        <f>SalesData[[#This Row],[Profit]]/SalesData[[#This Row],[Sales]]</f>
        <v>-0.19939192332642403</v>
      </c>
      <c r="M2143" t="str">
        <f>TEXT(SalesData[[#This Row],[Order_Date]],"mmm")</f>
        <v>Aug</v>
      </c>
      <c r="N2143">
        <f>YEAR(SalesData[[#This Row],[Order_Date]])</f>
        <v>2023</v>
      </c>
    </row>
    <row r="2144" spans="1:14" x14ac:dyDescent="0.3">
      <c r="A2144" t="s">
        <v>3408</v>
      </c>
      <c r="B2144" s="1">
        <v>45264</v>
      </c>
      <c r="C2144" t="s">
        <v>1080</v>
      </c>
      <c r="D2144" t="s">
        <v>12</v>
      </c>
      <c r="E2144" t="s">
        <v>13</v>
      </c>
      <c r="F2144" t="s">
        <v>14</v>
      </c>
      <c r="G2144" t="s">
        <v>984</v>
      </c>
      <c r="H2144" s="8">
        <v>4354.84</v>
      </c>
      <c r="I2144" s="8">
        <v>208.36</v>
      </c>
      <c r="J2144" s="8">
        <v>7.0000000000000007E-2</v>
      </c>
      <c r="K2144" t="str">
        <f>IF(SalesData[[#This Row],[Profit]]&gt;0,"Profit","Loss")</f>
        <v>Profit</v>
      </c>
      <c r="L2144" s="8">
        <f>SalesData[[#This Row],[Profit]]/SalesData[[#This Row],[Sales]]</f>
        <v>4.7845615453150976E-2</v>
      </c>
      <c r="M2144" t="str">
        <f>TEXT(SalesData[[#This Row],[Order_Date]],"mmm")</f>
        <v>Dec</v>
      </c>
      <c r="N2144">
        <f>YEAR(SalesData[[#This Row],[Order_Date]])</f>
        <v>2023</v>
      </c>
    </row>
    <row r="2145" spans="1:14" x14ac:dyDescent="0.3">
      <c r="A2145" t="s">
        <v>3409</v>
      </c>
      <c r="B2145" s="1">
        <v>45223</v>
      </c>
      <c r="C2145" t="s">
        <v>888</v>
      </c>
      <c r="D2145" t="s">
        <v>40</v>
      </c>
      <c r="E2145" t="s">
        <v>13</v>
      </c>
      <c r="F2145" t="s">
        <v>14</v>
      </c>
      <c r="G2145" t="s">
        <v>1665</v>
      </c>
      <c r="H2145" s="8">
        <v>2843.67</v>
      </c>
      <c r="I2145" s="8">
        <v>-285.83999999999997</v>
      </c>
      <c r="J2145" s="8">
        <v>0.12</v>
      </c>
      <c r="K2145" t="str">
        <f>IF(SalesData[[#This Row],[Profit]]&gt;0,"Profit","Loss")</f>
        <v>Loss</v>
      </c>
      <c r="L2145" s="8">
        <f>SalesData[[#This Row],[Profit]]/SalesData[[#This Row],[Sales]]</f>
        <v>-0.10051799259407736</v>
      </c>
      <c r="M2145" t="str">
        <f>TEXT(SalesData[[#This Row],[Order_Date]],"mmm")</f>
        <v>Oct</v>
      </c>
      <c r="N2145">
        <f>YEAR(SalesData[[#This Row],[Order_Date]])</f>
        <v>2023</v>
      </c>
    </row>
    <row r="2146" spans="1:14" x14ac:dyDescent="0.3">
      <c r="A2146" t="s">
        <v>3410</v>
      </c>
      <c r="B2146" s="1">
        <v>45258</v>
      </c>
      <c r="C2146" t="s">
        <v>327</v>
      </c>
      <c r="D2146" t="s">
        <v>40</v>
      </c>
      <c r="E2146" t="s">
        <v>19</v>
      </c>
      <c r="F2146" t="s">
        <v>141</v>
      </c>
      <c r="G2146" t="s">
        <v>984</v>
      </c>
      <c r="H2146" s="8">
        <v>1689.44</v>
      </c>
      <c r="I2146" s="8">
        <v>124.33</v>
      </c>
      <c r="J2146" s="8">
        <v>0.18</v>
      </c>
      <c r="K2146" t="str">
        <f>IF(SalesData[[#This Row],[Profit]]&gt;0,"Profit","Loss")</f>
        <v>Profit</v>
      </c>
      <c r="L2146" s="8">
        <f>SalesData[[#This Row],[Profit]]/SalesData[[#This Row],[Sales]]</f>
        <v>7.3592432995548823E-2</v>
      </c>
      <c r="M2146" t="str">
        <f>TEXT(SalesData[[#This Row],[Order_Date]],"mmm")</f>
        <v>Nov</v>
      </c>
      <c r="N2146">
        <f>YEAR(SalesData[[#This Row],[Order_Date]])</f>
        <v>2023</v>
      </c>
    </row>
    <row r="2147" spans="1:14" x14ac:dyDescent="0.3">
      <c r="A2147" t="s">
        <v>3411</v>
      </c>
      <c r="B2147" s="1">
        <v>45086</v>
      </c>
      <c r="C2147" t="s">
        <v>94</v>
      </c>
      <c r="D2147" t="s">
        <v>12</v>
      </c>
      <c r="E2147" t="s">
        <v>56</v>
      </c>
      <c r="F2147" t="s">
        <v>57</v>
      </c>
      <c r="G2147" t="s">
        <v>1535</v>
      </c>
      <c r="H2147" s="8">
        <v>1602.43</v>
      </c>
      <c r="I2147" s="8">
        <v>218.97</v>
      </c>
      <c r="J2147" s="8">
        <v>0.19</v>
      </c>
      <c r="K2147" t="str">
        <f>IF(SalesData[[#This Row],[Profit]]&gt;0,"Profit","Loss")</f>
        <v>Profit</v>
      </c>
      <c r="L2147" s="8">
        <f>SalesData[[#This Row],[Profit]]/SalesData[[#This Row],[Sales]]</f>
        <v>0.13664871476445148</v>
      </c>
      <c r="M2147" t="str">
        <f>TEXT(SalesData[[#This Row],[Order_Date]],"mmm")</f>
        <v>Jun</v>
      </c>
      <c r="N2147">
        <f>YEAR(SalesData[[#This Row],[Order_Date]])</f>
        <v>2023</v>
      </c>
    </row>
    <row r="2148" spans="1:14" x14ac:dyDescent="0.3">
      <c r="A2148" t="s">
        <v>3412</v>
      </c>
      <c r="B2148" s="1">
        <v>45283</v>
      </c>
      <c r="C2148" t="s">
        <v>1687</v>
      </c>
      <c r="D2148" t="s">
        <v>18</v>
      </c>
      <c r="E2148" t="s">
        <v>56</v>
      </c>
      <c r="F2148" t="s">
        <v>95</v>
      </c>
      <c r="G2148" t="s">
        <v>2033</v>
      </c>
      <c r="H2148" s="8">
        <v>3035.11</v>
      </c>
      <c r="I2148" s="8">
        <v>-396.12</v>
      </c>
      <c r="J2148" s="8">
        <v>0.05</v>
      </c>
      <c r="K2148" t="str">
        <f>IF(SalesData[[#This Row],[Profit]]&gt;0,"Profit","Loss")</f>
        <v>Loss</v>
      </c>
      <c r="L2148" s="8">
        <f>SalesData[[#This Row],[Profit]]/SalesData[[#This Row],[Sales]]</f>
        <v>-0.13051256791351878</v>
      </c>
      <c r="M2148" t="str">
        <f>TEXT(SalesData[[#This Row],[Order_Date]],"mmm")</f>
        <v>Dec</v>
      </c>
      <c r="N2148">
        <f>YEAR(SalesData[[#This Row],[Order_Date]])</f>
        <v>2023</v>
      </c>
    </row>
    <row r="2149" spans="1:14" x14ac:dyDescent="0.3">
      <c r="A2149" t="s">
        <v>3413</v>
      </c>
      <c r="B2149" s="1">
        <v>44895</v>
      </c>
      <c r="C2149" t="s">
        <v>1834</v>
      </c>
      <c r="D2149" t="s">
        <v>28</v>
      </c>
      <c r="E2149" t="s">
        <v>56</v>
      </c>
      <c r="F2149" t="s">
        <v>57</v>
      </c>
      <c r="G2149" t="s">
        <v>2286</v>
      </c>
      <c r="H2149" s="8">
        <v>4208.96</v>
      </c>
      <c r="I2149" s="8">
        <v>-317.57</v>
      </c>
      <c r="J2149" s="8">
        <v>0.06</v>
      </c>
      <c r="K2149" t="str">
        <f>IF(SalesData[[#This Row],[Profit]]&gt;0,"Profit","Loss")</f>
        <v>Loss</v>
      </c>
      <c r="L2149" s="8">
        <f>SalesData[[#This Row],[Profit]]/SalesData[[#This Row],[Sales]]</f>
        <v>-7.5450942750703257E-2</v>
      </c>
      <c r="M2149" t="str">
        <f>TEXT(SalesData[[#This Row],[Order_Date]],"mmm")</f>
        <v>Nov</v>
      </c>
      <c r="N2149">
        <f>YEAR(SalesData[[#This Row],[Order_Date]])</f>
        <v>2022</v>
      </c>
    </row>
    <row r="2150" spans="1:14" x14ac:dyDescent="0.3">
      <c r="A2150" t="s">
        <v>3414</v>
      </c>
      <c r="B2150" s="1">
        <v>45196</v>
      </c>
      <c r="C2150" t="s">
        <v>688</v>
      </c>
      <c r="D2150" t="s">
        <v>28</v>
      </c>
      <c r="E2150" t="s">
        <v>19</v>
      </c>
      <c r="F2150" t="s">
        <v>29</v>
      </c>
      <c r="G2150" t="s">
        <v>1087</v>
      </c>
      <c r="H2150" s="8">
        <v>1091.26</v>
      </c>
      <c r="I2150" s="8">
        <v>-170.12</v>
      </c>
      <c r="J2150" s="8">
        <v>0.06</v>
      </c>
      <c r="K2150" t="str">
        <f>IF(SalesData[[#This Row],[Profit]]&gt;0,"Profit","Loss")</f>
        <v>Loss</v>
      </c>
      <c r="L2150" s="8">
        <f>SalesData[[#This Row],[Profit]]/SalesData[[#This Row],[Sales]]</f>
        <v>-0.15589318769129265</v>
      </c>
      <c r="M2150" t="str">
        <f>TEXT(SalesData[[#This Row],[Order_Date]],"mmm")</f>
        <v>Sep</v>
      </c>
      <c r="N2150">
        <f>YEAR(SalesData[[#This Row],[Order_Date]])</f>
        <v>2023</v>
      </c>
    </row>
    <row r="2151" spans="1:14" x14ac:dyDescent="0.3">
      <c r="A2151" t="s">
        <v>3415</v>
      </c>
      <c r="B2151" s="1">
        <v>44886</v>
      </c>
      <c r="C2151" t="s">
        <v>739</v>
      </c>
      <c r="D2151" t="s">
        <v>12</v>
      </c>
      <c r="E2151" t="s">
        <v>13</v>
      </c>
      <c r="F2151" t="s">
        <v>24</v>
      </c>
      <c r="G2151" t="s">
        <v>251</v>
      </c>
      <c r="H2151" s="8">
        <v>577.15</v>
      </c>
      <c r="I2151" s="8">
        <v>-99.04</v>
      </c>
      <c r="J2151" s="8">
        <v>0.24</v>
      </c>
      <c r="K2151" t="str">
        <f>IF(SalesData[[#This Row],[Profit]]&gt;0,"Profit","Loss")</f>
        <v>Loss</v>
      </c>
      <c r="L2151" s="8">
        <f>SalesData[[#This Row],[Profit]]/SalesData[[#This Row],[Sales]]</f>
        <v>-0.17160183661093306</v>
      </c>
      <c r="M2151" t="str">
        <f>TEXT(SalesData[[#This Row],[Order_Date]],"mmm")</f>
        <v>Nov</v>
      </c>
      <c r="N2151">
        <f>YEAR(SalesData[[#This Row],[Order_Date]])</f>
        <v>2022</v>
      </c>
    </row>
    <row r="2152" spans="1:14" x14ac:dyDescent="0.3">
      <c r="A2152" t="s">
        <v>3416</v>
      </c>
      <c r="B2152" s="1">
        <v>44673</v>
      </c>
      <c r="C2152" t="s">
        <v>621</v>
      </c>
      <c r="D2152" t="s">
        <v>12</v>
      </c>
      <c r="E2152" t="s">
        <v>13</v>
      </c>
      <c r="F2152" t="s">
        <v>36</v>
      </c>
      <c r="G2152" t="s">
        <v>572</v>
      </c>
      <c r="H2152" s="8">
        <v>4768.38</v>
      </c>
      <c r="I2152" s="8">
        <v>1328.26</v>
      </c>
      <c r="J2152" s="8">
        <v>0.04</v>
      </c>
      <c r="K2152" t="str">
        <f>IF(SalesData[[#This Row],[Profit]]&gt;0,"Profit","Loss")</f>
        <v>Profit</v>
      </c>
      <c r="L2152" s="8">
        <f>SalesData[[#This Row],[Profit]]/SalesData[[#This Row],[Sales]]</f>
        <v>0.27855581979624106</v>
      </c>
      <c r="M2152" t="str">
        <f>TEXT(SalesData[[#This Row],[Order_Date]],"mmm")</f>
        <v>Apr</v>
      </c>
      <c r="N2152">
        <f>YEAR(SalesData[[#This Row],[Order_Date]])</f>
        <v>2022</v>
      </c>
    </row>
    <row r="2153" spans="1:14" x14ac:dyDescent="0.3">
      <c r="A2153" t="s">
        <v>3417</v>
      </c>
      <c r="B2153" s="1">
        <v>44686</v>
      </c>
      <c r="C2153" t="s">
        <v>1545</v>
      </c>
      <c r="D2153" t="s">
        <v>28</v>
      </c>
      <c r="E2153" t="s">
        <v>19</v>
      </c>
      <c r="F2153" t="s">
        <v>20</v>
      </c>
      <c r="G2153" t="s">
        <v>1741</v>
      </c>
      <c r="H2153" s="8">
        <v>2337.5</v>
      </c>
      <c r="I2153" s="8">
        <v>441.29</v>
      </c>
      <c r="J2153" s="8">
        <v>0.18</v>
      </c>
      <c r="K2153" t="str">
        <f>IF(SalesData[[#This Row],[Profit]]&gt;0,"Profit","Loss")</f>
        <v>Profit</v>
      </c>
      <c r="L2153" s="8">
        <f>SalesData[[#This Row],[Profit]]/SalesData[[#This Row],[Sales]]</f>
        <v>0.18878716577540108</v>
      </c>
      <c r="M2153" t="str">
        <f>TEXT(SalesData[[#This Row],[Order_Date]],"mmm")</f>
        <v>May</v>
      </c>
      <c r="N2153">
        <f>YEAR(SalesData[[#This Row],[Order_Date]])</f>
        <v>2022</v>
      </c>
    </row>
    <row r="2154" spans="1:14" x14ac:dyDescent="0.3">
      <c r="A2154" t="s">
        <v>3418</v>
      </c>
      <c r="B2154" s="1">
        <v>44840</v>
      </c>
      <c r="C2154" t="s">
        <v>1949</v>
      </c>
      <c r="D2154" t="s">
        <v>18</v>
      </c>
      <c r="E2154" t="s">
        <v>56</v>
      </c>
      <c r="F2154" t="s">
        <v>73</v>
      </c>
      <c r="G2154" t="s">
        <v>548</v>
      </c>
      <c r="H2154" s="8">
        <v>3689.26</v>
      </c>
      <c r="I2154" s="8">
        <v>172.69</v>
      </c>
      <c r="J2154" s="8">
        <v>0.04</v>
      </c>
      <c r="K2154" t="str">
        <f>IF(SalesData[[#This Row],[Profit]]&gt;0,"Profit","Loss")</f>
        <v>Profit</v>
      </c>
      <c r="L2154" s="8">
        <f>SalesData[[#This Row],[Profit]]/SalesData[[#This Row],[Sales]]</f>
        <v>4.6808845134254561E-2</v>
      </c>
      <c r="M2154" t="str">
        <f>TEXT(SalesData[[#This Row],[Order_Date]],"mmm")</f>
        <v>Oct</v>
      </c>
      <c r="N2154">
        <f>YEAR(SalesData[[#This Row],[Order_Date]])</f>
        <v>2022</v>
      </c>
    </row>
    <row r="2155" spans="1:14" x14ac:dyDescent="0.3">
      <c r="A2155" t="s">
        <v>3419</v>
      </c>
      <c r="B2155" s="1">
        <v>44702</v>
      </c>
      <c r="C2155" t="s">
        <v>91</v>
      </c>
      <c r="D2155" t="s">
        <v>28</v>
      </c>
      <c r="E2155" t="s">
        <v>13</v>
      </c>
      <c r="F2155" t="s">
        <v>24</v>
      </c>
      <c r="G2155" t="s">
        <v>1489</v>
      </c>
      <c r="H2155" s="8">
        <v>2833.24</v>
      </c>
      <c r="I2155" s="8">
        <v>-534.59</v>
      </c>
      <c r="J2155" s="8">
        <v>0.23</v>
      </c>
      <c r="K2155" t="str">
        <f>IF(SalesData[[#This Row],[Profit]]&gt;0,"Profit","Loss")</f>
        <v>Loss</v>
      </c>
      <c r="L2155" s="8">
        <f>SalesData[[#This Row],[Profit]]/SalesData[[#This Row],[Sales]]</f>
        <v>-0.18868503903658004</v>
      </c>
      <c r="M2155" t="str">
        <f>TEXT(SalesData[[#This Row],[Order_Date]],"mmm")</f>
        <v>May</v>
      </c>
      <c r="N2155">
        <f>YEAR(SalesData[[#This Row],[Order_Date]])</f>
        <v>2022</v>
      </c>
    </row>
    <row r="2156" spans="1:14" x14ac:dyDescent="0.3">
      <c r="A2156" t="s">
        <v>3420</v>
      </c>
      <c r="B2156" s="1">
        <v>45022</v>
      </c>
      <c r="C2156" t="s">
        <v>221</v>
      </c>
      <c r="D2156" t="s">
        <v>28</v>
      </c>
      <c r="E2156" t="s">
        <v>56</v>
      </c>
      <c r="F2156" t="s">
        <v>95</v>
      </c>
      <c r="G2156" t="s">
        <v>2575</v>
      </c>
      <c r="H2156" s="8">
        <v>4333.7700000000004</v>
      </c>
      <c r="I2156" s="8">
        <v>-566.39</v>
      </c>
      <c r="J2156" s="8">
        <v>0.18</v>
      </c>
      <c r="K2156" t="str">
        <f>IF(SalesData[[#This Row],[Profit]]&gt;0,"Profit","Loss")</f>
        <v>Loss</v>
      </c>
      <c r="L2156" s="8">
        <f>SalesData[[#This Row],[Profit]]/SalesData[[#This Row],[Sales]]</f>
        <v>-0.13069221486142549</v>
      </c>
      <c r="M2156" t="str">
        <f>TEXT(SalesData[[#This Row],[Order_Date]],"mmm")</f>
        <v>Apr</v>
      </c>
      <c r="N2156">
        <f>YEAR(SalesData[[#This Row],[Order_Date]])</f>
        <v>2023</v>
      </c>
    </row>
    <row r="2157" spans="1:14" x14ac:dyDescent="0.3">
      <c r="A2157" t="s">
        <v>3421</v>
      </c>
      <c r="B2157" s="1">
        <v>45247</v>
      </c>
      <c r="C2157" t="s">
        <v>2306</v>
      </c>
      <c r="D2157" t="s">
        <v>40</v>
      </c>
      <c r="E2157" t="s">
        <v>19</v>
      </c>
      <c r="F2157" t="s">
        <v>20</v>
      </c>
      <c r="G2157" t="s">
        <v>637</v>
      </c>
      <c r="H2157" s="8">
        <v>777.27</v>
      </c>
      <c r="I2157" s="8">
        <v>-80.739999999999995</v>
      </c>
      <c r="J2157" s="8">
        <v>0.21</v>
      </c>
      <c r="K2157" t="str">
        <f>IF(SalesData[[#This Row],[Profit]]&gt;0,"Profit","Loss")</f>
        <v>Loss</v>
      </c>
      <c r="L2157" s="8">
        <f>SalesData[[#This Row],[Profit]]/SalesData[[#This Row],[Sales]]</f>
        <v>-0.10387638787036679</v>
      </c>
      <c r="M2157" t="str">
        <f>TEXT(SalesData[[#This Row],[Order_Date]],"mmm")</f>
        <v>Nov</v>
      </c>
      <c r="N2157">
        <f>YEAR(SalesData[[#This Row],[Order_Date]])</f>
        <v>2023</v>
      </c>
    </row>
    <row r="2158" spans="1:14" x14ac:dyDescent="0.3">
      <c r="A2158" t="s">
        <v>3422</v>
      </c>
      <c r="B2158" s="1">
        <v>45291</v>
      </c>
      <c r="C2158" t="s">
        <v>459</v>
      </c>
      <c r="D2158" t="s">
        <v>40</v>
      </c>
      <c r="E2158" t="s">
        <v>13</v>
      </c>
      <c r="F2158" t="s">
        <v>36</v>
      </c>
      <c r="G2158" t="s">
        <v>2091</v>
      </c>
      <c r="H2158" s="8">
        <v>4826.22</v>
      </c>
      <c r="I2158" s="8">
        <v>-1204.6400000000001</v>
      </c>
      <c r="J2158" s="8">
        <v>0.24</v>
      </c>
      <c r="K2158" t="str">
        <f>IF(SalesData[[#This Row],[Profit]]&gt;0,"Profit","Loss")</f>
        <v>Loss</v>
      </c>
      <c r="L2158" s="8">
        <f>SalesData[[#This Row],[Profit]]/SalesData[[#This Row],[Sales]]</f>
        <v>-0.24960320913675713</v>
      </c>
      <c r="M2158" t="str">
        <f>TEXT(SalesData[[#This Row],[Order_Date]],"mmm")</f>
        <v>Dec</v>
      </c>
      <c r="N2158">
        <f>YEAR(SalesData[[#This Row],[Order_Date]])</f>
        <v>2023</v>
      </c>
    </row>
    <row r="2159" spans="1:14" x14ac:dyDescent="0.3">
      <c r="A2159" t="s">
        <v>3423</v>
      </c>
      <c r="B2159" s="1">
        <v>44646</v>
      </c>
      <c r="C2159" t="s">
        <v>719</v>
      </c>
      <c r="D2159" t="s">
        <v>28</v>
      </c>
      <c r="E2159" t="s">
        <v>13</v>
      </c>
      <c r="F2159" t="s">
        <v>14</v>
      </c>
      <c r="G2159" t="s">
        <v>345</v>
      </c>
      <c r="H2159" s="8">
        <v>1592.25</v>
      </c>
      <c r="I2159" s="8">
        <v>-491.7</v>
      </c>
      <c r="J2159" s="8">
        <v>0.18</v>
      </c>
      <c r="K2159" t="str">
        <f>IF(SalesData[[#This Row],[Profit]]&gt;0,"Profit","Loss")</f>
        <v>Loss</v>
      </c>
      <c r="L2159" s="8">
        <f>SalesData[[#This Row],[Profit]]/SalesData[[#This Row],[Sales]]</f>
        <v>-0.30880829015544042</v>
      </c>
      <c r="M2159" t="str">
        <f>TEXT(SalesData[[#This Row],[Order_Date]],"mmm")</f>
        <v>Mar</v>
      </c>
      <c r="N2159">
        <f>YEAR(SalesData[[#This Row],[Order_Date]])</f>
        <v>2022</v>
      </c>
    </row>
    <row r="2160" spans="1:14" x14ac:dyDescent="0.3">
      <c r="A2160" t="s">
        <v>3424</v>
      </c>
      <c r="B2160" s="1">
        <v>44721</v>
      </c>
      <c r="C2160" t="s">
        <v>76</v>
      </c>
      <c r="D2160" t="s">
        <v>40</v>
      </c>
      <c r="E2160" t="s">
        <v>56</v>
      </c>
      <c r="F2160" t="s">
        <v>57</v>
      </c>
      <c r="G2160" t="s">
        <v>1394</v>
      </c>
      <c r="H2160" s="8">
        <v>4669.62</v>
      </c>
      <c r="I2160" s="8">
        <v>-823.53</v>
      </c>
      <c r="J2160" s="8">
        <v>0</v>
      </c>
      <c r="K2160" t="str">
        <f>IF(SalesData[[#This Row],[Profit]]&gt;0,"Profit","Loss")</f>
        <v>Loss</v>
      </c>
      <c r="L2160" s="8">
        <f>SalesData[[#This Row],[Profit]]/SalesData[[#This Row],[Sales]]</f>
        <v>-0.17635910416693434</v>
      </c>
      <c r="M2160" t="str">
        <f>TEXT(SalesData[[#This Row],[Order_Date]],"mmm")</f>
        <v>Jun</v>
      </c>
      <c r="N2160">
        <f>YEAR(SalesData[[#This Row],[Order_Date]])</f>
        <v>2022</v>
      </c>
    </row>
    <row r="2161" spans="1:14" x14ac:dyDescent="0.3">
      <c r="A2161" t="s">
        <v>3425</v>
      </c>
      <c r="B2161" s="1">
        <v>44696</v>
      </c>
      <c r="C2161" t="s">
        <v>569</v>
      </c>
      <c r="D2161" t="s">
        <v>12</v>
      </c>
      <c r="E2161" t="s">
        <v>56</v>
      </c>
      <c r="F2161" t="s">
        <v>73</v>
      </c>
      <c r="G2161" t="s">
        <v>102</v>
      </c>
      <c r="H2161" s="8">
        <v>3271.97</v>
      </c>
      <c r="I2161" s="8">
        <v>998.2</v>
      </c>
      <c r="J2161" s="8">
        <v>7.0000000000000007E-2</v>
      </c>
      <c r="K2161" t="str">
        <f>IF(SalesData[[#This Row],[Profit]]&gt;0,"Profit","Loss")</f>
        <v>Profit</v>
      </c>
      <c r="L2161" s="8">
        <f>SalesData[[#This Row],[Profit]]/SalesData[[#This Row],[Sales]]</f>
        <v>0.30507614678618694</v>
      </c>
      <c r="M2161" t="str">
        <f>TEXT(SalesData[[#This Row],[Order_Date]],"mmm")</f>
        <v>May</v>
      </c>
      <c r="N2161">
        <f>YEAR(SalesData[[#This Row],[Order_Date]])</f>
        <v>2022</v>
      </c>
    </row>
    <row r="2162" spans="1:14" x14ac:dyDescent="0.3">
      <c r="A2162" t="s">
        <v>3426</v>
      </c>
      <c r="B2162" s="1">
        <v>44596</v>
      </c>
      <c r="C2162" t="s">
        <v>3427</v>
      </c>
      <c r="D2162" t="s">
        <v>18</v>
      </c>
      <c r="E2162" t="s">
        <v>19</v>
      </c>
      <c r="F2162" t="s">
        <v>29</v>
      </c>
      <c r="G2162" t="s">
        <v>2414</v>
      </c>
      <c r="H2162" s="8">
        <v>439.29</v>
      </c>
      <c r="I2162" s="8">
        <v>1.74</v>
      </c>
      <c r="J2162" s="8">
        <v>0</v>
      </c>
      <c r="K2162" t="str">
        <f>IF(SalesData[[#This Row],[Profit]]&gt;0,"Profit","Loss")</f>
        <v>Profit</v>
      </c>
      <c r="L2162" s="8">
        <f>SalesData[[#This Row],[Profit]]/SalesData[[#This Row],[Sales]]</f>
        <v>3.9609369664686195E-3</v>
      </c>
      <c r="M2162" t="str">
        <f>TEXT(SalesData[[#This Row],[Order_Date]],"mmm")</f>
        <v>Feb</v>
      </c>
      <c r="N2162">
        <f>YEAR(SalesData[[#This Row],[Order_Date]])</f>
        <v>2022</v>
      </c>
    </row>
    <row r="2163" spans="1:14" x14ac:dyDescent="0.3">
      <c r="A2163" t="s">
        <v>3428</v>
      </c>
      <c r="B2163" s="1">
        <v>44872</v>
      </c>
      <c r="C2163" t="s">
        <v>132</v>
      </c>
      <c r="D2163" t="s">
        <v>28</v>
      </c>
      <c r="E2163" t="s">
        <v>13</v>
      </c>
      <c r="F2163" t="s">
        <v>36</v>
      </c>
      <c r="G2163" t="s">
        <v>175</v>
      </c>
      <c r="H2163" s="8">
        <v>2822.18</v>
      </c>
      <c r="I2163" s="8">
        <v>-535.59</v>
      </c>
      <c r="J2163" s="8">
        <v>0.05</v>
      </c>
      <c r="K2163" t="str">
        <f>IF(SalesData[[#This Row],[Profit]]&gt;0,"Profit","Loss")</f>
        <v>Loss</v>
      </c>
      <c r="L2163" s="8">
        <f>SalesData[[#This Row],[Profit]]/SalesData[[#This Row],[Sales]]</f>
        <v>-0.18977882346271324</v>
      </c>
      <c r="M2163" t="str">
        <f>TEXT(SalesData[[#This Row],[Order_Date]],"mmm")</f>
        <v>Nov</v>
      </c>
      <c r="N2163">
        <f>YEAR(SalesData[[#This Row],[Order_Date]])</f>
        <v>2022</v>
      </c>
    </row>
    <row r="2164" spans="1:14" x14ac:dyDescent="0.3">
      <c r="A2164" t="s">
        <v>3429</v>
      </c>
      <c r="B2164" s="1">
        <v>45268</v>
      </c>
      <c r="C2164" t="s">
        <v>3430</v>
      </c>
      <c r="D2164" t="s">
        <v>28</v>
      </c>
      <c r="E2164" t="s">
        <v>13</v>
      </c>
      <c r="F2164" t="s">
        <v>24</v>
      </c>
      <c r="G2164" t="s">
        <v>744</v>
      </c>
      <c r="H2164" s="8">
        <v>4975.99</v>
      </c>
      <c r="I2164" s="8">
        <v>-250.04</v>
      </c>
      <c r="J2164" s="8">
        <v>0.15</v>
      </c>
      <c r="K2164" t="str">
        <f>IF(SalesData[[#This Row],[Profit]]&gt;0,"Profit","Loss")</f>
        <v>Loss</v>
      </c>
      <c r="L2164" s="8">
        <f>SalesData[[#This Row],[Profit]]/SalesData[[#This Row],[Sales]]</f>
        <v>-5.0249297124793257E-2</v>
      </c>
      <c r="M2164" t="str">
        <f>TEXT(SalesData[[#This Row],[Order_Date]],"mmm")</f>
        <v>Dec</v>
      </c>
      <c r="N2164">
        <f>YEAR(SalesData[[#This Row],[Order_Date]])</f>
        <v>2023</v>
      </c>
    </row>
    <row r="2165" spans="1:14" x14ac:dyDescent="0.3">
      <c r="A2165" t="s">
        <v>3431</v>
      </c>
      <c r="B2165" s="1">
        <v>44568</v>
      </c>
      <c r="C2165" t="s">
        <v>1158</v>
      </c>
      <c r="D2165" t="s">
        <v>40</v>
      </c>
      <c r="E2165" t="s">
        <v>13</v>
      </c>
      <c r="F2165" t="s">
        <v>36</v>
      </c>
      <c r="G2165" t="s">
        <v>649</v>
      </c>
      <c r="H2165" s="8">
        <v>3624.87</v>
      </c>
      <c r="I2165" s="8">
        <v>-152.36000000000001</v>
      </c>
      <c r="J2165" s="8">
        <v>0.09</v>
      </c>
      <c r="K2165" t="str">
        <f>IF(SalesData[[#This Row],[Profit]]&gt;0,"Profit","Loss")</f>
        <v>Loss</v>
      </c>
      <c r="L2165" s="8">
        <f>SalesData[[#This Row],[Profit]]/SalesData[[#This Row],[Sales]]</f>
        <v>-4.2031852176767727E-2</v>
      </c>
      <c r="M2165" t="str">
        <f>TEXT(SalesData[[#This Row],[Order_Date]],"mmm")</f>
        <v>Jan</v>
      </c>
      <c r="N2165">
        <f>YEAR(SalesData[[#This Row],[Order_Date]])</f>
        <v>2022</v>
      </c>
    </row>
    <row r="2166" spans="1:14" x14ac:dyDescent="0.3">
      <c r="A2166" t="s">
        <v>3432</v>
      </c>
      <c r="B2166" s="1">
        <v>44633</v>
      </c>
      <c r="C2166" t="s">
        <v>2540</v>
      </c>
      <c r="D2166" t="s">
        <v>18</v>
      </c>
      <c r="E2166" t="s">
        <v>13</v>
      </c>
      <c r="F2166" t="s">
        <v>24</v>
      </c>
      <c r="G2166" t="s">
        <v>1877</v>
      </c>
      <c r="H2166" s="8">
        <v>3548.05</v>
      </c>
      <c r="I2166" s="8">
        <v>-1090.1500000000001</v>
      </c>
      <c r="J2166" s="8">
        <v>0.28000000000000003</v>
      </c>
      <c r="K2166" t="str">
        <f>IF(SalesData[[#This Row],[Profit]]&gt;0,"Profit","Loss")</f>
        <v>Loss</v>
      </c>
      <c r="L2166" s="8">
        <f>SalesData[[#This Row],[Profit]]/SalesData[[#This Row],[Sales]]</f>
        <v>-0.30725327997068813</v>
      </c>
      <c r="M2166" t="str">
        <f>TEXT(SalesData[[#This Row],[Order_Date]],"mmm")</f>
        <v>Mar</v>
      </c>
      <c r="N2166">
        <f>YEAR(SalesData[[#This Row],[Order_Date]])</f>
        <v>2022</v>
      </c>
    </row>
    <row r="2167" spans="1:14" x14ac:dyDescent="0.3">
      <c r="A2167" t="s">
        <v>3433</v>
      </c>
      <c r="B2167" s="1">
        <v>44756</v>
      </c>
      <c r="C2167" t="s">
        <v>571</v>
      </c>
      <c r="D2167" t="s">
        <v>18</v>
      </c>
      <c r="E2167" t="s">
        <v>56</v>
      </c>
      <c r="F2167" t="s">
        <v>73</v>
      </c>
      <c r="G2167" t="s">
        <v>991</v>
      </c>
      <c r="H2167" s="8">
        <v>2762.49</v>
      </c>
      <c r="I2167" s="8">
        <v>6.15</v>
      </c>
      <c r="J2167" s="8">
        <v>0.24</v>
      </c>
      <c r="K2167" t="str">
        <f>IF(SalesData[[#This Row],[Profit]]&gt;0,"Profit","Loss")</f>
        <v>Profit</v>
      </c>
      <c r="L2167" s="8">
        <f>SalesData[[#This Row],[Profit]]/SalesData[[#This Row],[Sales]]</f>
        <v>2.2262524027236302E-3</v>
      </c>
      <c r="M2167" t="str">
        <f>TEXT(SalesData[[#This Row],[Order_Date]],"mmm")</f>
        <v>Jul</v>
      </c>
      <c r="N2167">
        <f>YEAR(SalesData[[#This Row],[Order_Date]])</f>
        <v>2022</v>
      </c>
    </row>
    <row r="2168" spans="1:14" x14ac:dyDescent="0.3">
      <c r="A2168" t="s">
        <v>3434</v>
      </c>
      <c r="B2168" s="1">
        <v>45201</v>
      </c>
      <c r="C2168" t="s">
        <v>27</v>
      </c>
      <c r="D2168" t="s">
        <v>12</v>
      </c>
      <c r="E2168" t="s">
        <v>13</v>
      </c>
      <c r="F2168" t="s">
        <v>14</v>
      </c>
      <c r="G2168" t="s">
        <v>1553</v>
      </c>
      <c r="H2168" s="8">
        <v>4405.45</v>
      </c>
      <c r="I2168" s="8">
        <v>-61.03</v>
      </c>
      <c r="J2168" s="8">
        <v>0.19</v>
      </c>
      <c r="K2168" t="str">
        <f>IF(SalesData[[#This Row],[Profit]]&gt;0,"Profit","Loss")</f>
        <v>Loss</v>
      </c>
      <c r="L2168" s="8">
        <f>SalesData[[#This Row],[Profit]]/SalesData[[#This Row],[Sales]]</f>
        <v>-1.3853295350077746E-2</v>
      </c>
      <c r="M2168" t="str">
        <f>TEXT(SalesData[[#This Row],[Order_Date]],"mmm")</f>
        <v>Oct</v>
      </c>
      <c r="N2168">
        <f>YEAR(SalesData[[#This Row],[Order_Date]])</f>
        <v>2023</v>
      </c>
    </row>
    <row r="2169" spans="1:14" x14ac:dyDescent="0.3">
      <c r="A2169" t="s">
        <v>3435</v>
      </c>
      <c r="B2169" s="1">
        <v>45063</v>
      </c>
      <c r="C2169" t="s">
        <v>2971</v>
      </c>
      <c r="D2169" t="s">
        <v>18</v>
      </c>
      <c r="E2169" t="s">
        <v>13</v>
      </c>
      <c r="F2169" t="s">
        <v>14</v>
      </c>
      <c r="G2169" t="s">
        <v>694</v>
      </c>
      <c r="H2169" s="8">
        <v>4438.8599999999997</v>
      </c>
      <c r="I2169" s="8">
        <v>-491.73</v>
      </c>
      <c r="J2169" s="8">
        <v>0.16</v>
      </c>
      <c r="K2169" t="str">
        <f>IF(SalesData[[#This Row],[Profit]]&gt;0,"Profit","Loss")</f>
        <v>Loss</v>
      </c>
      <c r="L2169" s="8">
        <f>SalesData[[#This Row],[Profit]]/SalesData[[#This Row],[Sales]]</f>
        <v>-0.11077844311377247</v>
      </c>
      <c r="M2169" t="str">
        <f>TEXT(SalesData[[#This Row],[Order_Date]],"mmm")</f>
        <v>May</v>
      </c>
      <c r="N2169">
        <f>YEAR(SalesData[[#This Row],[Order_Date]])</f>
        <v>2023</v>
      </c>
    </row>
    <row r="2170" spans="1:14" x14ac:dyDescent="0.3">
      <c r="A2170" t="s">
        <v>3436</v>
      </c>
      <c r="B2170" s="1">
        <v>44975</v>
      </c>
      <c r="C2170" t="s">
        <v>1541</v>
      </c>
      <c r="D2170" t="s">
        <v>12</v>
      </c>
      <c r="E2170" t="s">
        <v>13</v>
      </c>
      <c r="F2170" t="s">
        <v>36</v>
      </c>
      <c r="G2170" t="s">
        <v>181</v>
      </c>
      <c r="H2170" s="8">
        <v>1790.53</v>
      </c>
      <c r="I2170" s="8">
        <v>179.34</v>
      </c>
      <c r="J2170" s="8">
        <v>0.16</v>
      </c>
      <c r="K2170" t="str">
        <f>IF(SalesData[[#This Row],[Profit]]&gt;0,"Profit","Loss")</f>
        <v>Profit</v>
      </c>
      <c r="L2170" s="8">
        <f>SalesData[[#This Row],[Profit]]/SalesData[[#This Row],[Sales]]</f>
        <v>0.10016028773603347</v>
      </c>
      <c r="M2170" t="str">
        <f>TEXT(SalesData[[#This Row],[Order_Date]],"mmm")</f>
        <v>Feb</v>
      </c>
      <c r="N2170">
        <f>YEAR(SalesData[[#This Row],[Order_Date]])</f>
        <v>2023</v>
      </c>
    </row>
    <row r="2171" spans="1:14" x14ac:dyDescent="0.3">
      <c r="A2171" t="s">
        <v>3437</v>
      </c>
      <c r="B2171" s="1">
        <v>44890</v>
      </c>
      <c r="C2171" t="s">
        <v>1291</v>
      </c>
      <c r="D2171" t="s">
        <v>40</v>
      </c>
      <c r="E2171" t="s">
        <v>19</v>
      </c>
      <c r="F2171" t="s">
        <v>20</v>
      </c>
      <c r="G2171" t="s">
        <v>1741</v>
      </c>
      <c r="H2171" s="8">
        <v>3955.92</v>
      </c>
      <c r="I2171" s="8">
        <v>-719.79</v>
      </c>
      <c r="J2171" s="8">
        <v>0.27</v>
      </c>
      <c r="K2171" t="str">
        <f>IF(SalesData[[#This Row],[Profit]]&gt;0,"Profit","Loss")</f>
        <v>Loss</v>
      </c>
      <c r="L2171" s="8">
        <f>SalesData[[#This Row],[Profit]]/SalesData[[#This Row],[Sales]]</f>
        <v>-0.18195261784869257</v>
      </c>
      <c r="M2171" t="str">
        <f>TEXT(SalesData[[#This Row],[Order_Date]],"mmm")</f>
        <v>Nov</v>
      </c>
      <c r="N2171">
        <f>YEAR(SalesData[[#This Row],[Order_Date]])</f>
        <v>2022</v>
      </c>
    </row>
    <row r="2172" spans="1:14" x14ac:dyDescent="0.3">
      <c r="A2172" t="s">
        <v>3438</v>
      </c>
      <c r="B2172" s="1">
        <v>44595</v>
      </c>
      <c r="C2172" t="s">
        <v>2595</v>
      </c>
      <c r="D2172" t="s">
        <v>18</v>
      </c>
      <c r="E2172" t="s">
        <v>13</v>
      </c>
      <c r="F2172" t="s">
        <v>36</v>
      </c>
      <c r="G2172" t="s">
        <v>2202</v>
      </c>
      <c r="H2172" s="8">
        <v>2470.7800000000002</v>
      </c>
      <c r="I2172" s="8">
        <v>513.04</v>
      </c>
      <c r="J2172" s="8">
        <v>0.11</v>
      </c>
      <c r="K2172" t="str">
        <f>IF(SalesData[[#This Row],[Profit]]&gt;0,"Profit","Loss")</f>
        <v>Profit</v>
      </c>
      <c r="L2172" s="8">
        <f>SalesData[[#This Row],[Profit]]/SalesData[[#This Row],[Sales]]</f>
        <v>0.20764293057253172</v>
      </c>
      <c r="M2172" t="str">
        <f>TEXT(SalesData[[#This Row],[Order_Date]],"mmm")</f>
        <v>Feb</v>
      </c>
      <c r="N2172">
        <f>YEAR(SalesData[[#This Row],[Order_Date]])</f>
        <v>2022</v>
      </c>
    </row>
    <row r="2173" spans="1:14" x14ac:dyDescent="0.3">
      <c r="A2173" t="s">
        <v>3439</v>
      </c>
      <c r="B2173" s="1">
        <v>44953</v>
      </c>
      <c r="C2173" t="s">
        <v>1915</v>
      </c>
      <c r="D2173" t="s">
        <v>18</v>
      </c>
      <c r="E2173" t="s">
        <v>56</v>
      </c>
      <c r="F2173" t="s">
        <v>73</v>
      </c>
      <c r="G2173" t="s">
        <v>966</v>
      </c>
      <c r="H2173" s="8">
        <v>4101.67</v>
      </c>
      <c r="I2173" s="8">
        <v>-60.95</v>
      </c>
      <c r="J2173" s="8">
        <v>0.26</v>
      </c>
      <c r="K2173" t="str">
        <f>IF(SalesData[[#This Row],[Profit]]&gt;0,"Profit","Loss")</f>
        <v>Loss</v>
      </c>
      <c r="L2173" s="8">
        <f>SalesData[[#This Row],[Profit]]/SalesData[[#This Row],[Sales]]</f>
        <v>-1.4859801007882156E-2</v>
      </c>
      <c r="M2173" t="str">
        <f>TEXT(SalesData[[#This Row],[Order_Date]],"mmm")</f>
        <v>Jan</v>
      </c>
      <c r="N2173">
        <f>YEAR(SalesData[[#This Row],[Order_Date]])</f>
        <v>2023</v>
      </c>
    </row>
    <row r="2174" spans="1:14" x14ac:dyDescent="0.3">
      <c r="A2174" t="s">
        <v>3440</v>
      </c>
      <c r="B2174" s="1">
        <v>44685</v>
      </c>
      <c r="C2174" t="s">
        <v>2107</v>
      </c>
      <c r="D2174" t="s">
        <v>28</v>
      </c>
      <c r="E2174" t="s">
        <v>56</v>
      </c>
      <c r="F2174" t="s">
        <v>95</v>
      </c>
      <c r="G2174" t="s">
        <v>711</v>
      </c>
      <c r="H2174" s="8">
        <v>360.17</v>
      </c>
      <c r="I2174" s="8">
        <v>-10.45</v>
      </c>
      <c r="J2174" s="8">
        <v>0.26</v>
      </c>
      <c r="K2174" t="str">
        <f>IF(SalesData[[#This Row],[Profit]]&gt;0,"Profit","Loss")</f>
        <v>Loss</v>
      </c>
      <c r="L2174" s="8">
        <f>SalesData[[#This Row],[Profit]]/SalesData[[#This Row],[Sales]]</f>
        <v>-2.9014076686009381E-2</v>
      </c>
      <c r="M2174" t="str">
        <f>TEXT(SalesData[[#This Row],[Order_Date]],"mmm")</f>
        <v>May</v>
      </c>
      <c r="N2174">
        <f>YEAR(SalesData[[#This Row],[Order_Date]])</f>
        <v>2022</v>
      </c>
    </row>
    <row r="2175" spans="1:14" x14ac:dyDescent="0.3">
      <c r="A2175" t="s">
        <v>3441</v>
      </c>
      <c r="B2175" s="1">
        <v>44784</v>
      </c>
      <c r="C2175" t="s">
        <v>2372</v>
      </c>
      <c r="D2175" t="s">
        <v>18</v>
      </c>
      <c r="E2175" t="s">
        <v>56</v>
      </c>
      <c r="F2175" t="s">
        <v>95</v>
      </c>
      <c r="G2175" t="s">
        <v>1665</v>
      </c>
      <c r="H2175" s="8">
        <v>3468.67</v>
      </c>
      <c r="I2175" s="8">
        <v>736.49</v>
      </c>
      <c r="J2175" s="8">
        <v>0.06</v>
      </c>
      <c r="K2175" t="str">
        <f>IF(SalesData[[#This Row],[Profit]]&gt;0,"Profit","Loss")</f>
        <v>Profit</v>
      </c>
      <c r="L2175" s="8">
        <f>SalesData[[#This Row],[Profit]]/SalesData[[#This Row],[Sales]]</f>
        <v>0.21232633833717246</v>
      </c>
      <c r="M2175" t="str">
        <f>TEXT(SalesData[[#This Row],[Order_Date]],"mmm")</f>
        <v>Aug</v>
      </c>
      <c r="N2175">
        <f>YEAR(SalesData[[#This Row],[Order_Date]])</f>
        <v>2022</v>
      </c>
    </row>
    <row r="2176" spans="1:14" x14ac:dyDescent="0.3">
      <c r="A2176" t="s">
        <v>3442</v>
      </c>
      <c r="B2176" s="1">
        <v>45191</v>
      </c>
      <c r="C2176" t="s">
        <v>688</v>
      </c>
      <c r="D2176" t="s">
        <v>28</v>
      </c>
      <c r="E2176" t="s">
        <v>56</v>
      </c>
      <c r="F2176" t="s">
        <v>95</v>
      </c>
      <c r="G2176" t="s">
        <v>2937</v>
      </c>
      <c r="H2176" s="8">
        <v>990.77</v>
      </c>
      <c r="I2176" s="8">
        <v>320.13</v>
      </c>
      <c r="J2176" s="8">
        <v>0.05</v>
      </c>
      <c r="K2176" t="str">
        <f>IF(SalesData[[#This Row],[Profit]]&gt;0,"Profit","Loss")</f>
        <v>Profit</v>
      </c>
      <c r="L2176" s="8">
        <f>SalesData[[#This Row],[Profit]]/SalesData[[#This Row],[Sales]]</f>
        <v>0.32311232677614382</v>
      </c>
      <c r="M2176" t="str">
        <f>TEXT(SalesData[[#This Row],[Order_Date]],"mmm")</f>
        <v>Sep</v>
      </c>
      <c r="N2176">
        <f>YEAR(SalesData[[#This Row],[Order_Date]])</f>
        <v>2023</v>
      </c>
    </row>
    <row r="2177" spans="1:14" x14ac:dyDescent="0.3">
      <c r="A2177" t="s">
        <v>3443</v>
      </c>
      <c r="B2177" s="1">
        <v>45161</v>
      </c>
      <c r="C2177" t="s">
        <v>2987</v>
      </c>
      <c r="D2177" t="s">
        <v>40</v>
      </c>
      <c r="E2177" t="s">
        <v>56</v>
      </c>
      <c r="F2177" t="s">
        <v>57</v>
      </c>
      <c r="G2177" t="s">
        <v>548</v>
      </c>
      <c r="H2177" s="8">
        <v>3690.75</v>
      </c>
      <c r="I2177" s="8">
        <v>-168.49</v>
      </c>
      <c r="J2177" s="8">
        <v>0.24</v>
      </c>
      <c r="K2177" t="str">
        <f>IF(SalesData[[#This Row],[Profit]]&gt;0,"Profit","Loss")</f>
        <v>Loss</v>
      </c>
      <c r="L2177" s="8">
        <f>SalesData[[#This Row],[Profit]]/SalesData[[#This Row],[Sales]]</f>
        <v>-4.5651967757230918E-2</v>
      </c>
      <c r="M2177" t="str">
        <f>TEXT(SalesData[[#This Row],[Order_Date]],"mmm")</f>
        <v>Aug</v>
      </c>
      <c r="N2177">
        <f>YEAR(SalesData[[#This Row],[Order_Date]])</f>
        <v>2023</v>
      </c>
    </row>
    <row r="2178" spans="1:14" x14ac:dyDescent="0.3">
      <c r="A2178" t="s">
        <v>3444</v>
      </c>
      <c r="B2178" s="1">
        <v>44934</v>
      </c>
      <c r="C2178" t="s">
        <v>1634</v>
      </c>
      <c r="D2178" t="s">
        <v>18</v>
      </c>
      <c r="E2178" t="s">
        <v>13</v>
      </c>
      <c r="F2178" t="s">
        <v>24</v>
      </c>
      <c r="G2178" t="s">
        <v>864</v>
      </c>
      <c r="H2178" s="8">
        <v>804.98</v>
      </c>
      <c r="I2178" s="8">
        <v>-221.32</v>
      </c>
      <c r="J2178" s="8">
        <v>0.27</v>
      </c>
      <c r="K2178" t="str">
        <f>IF(SalesData[[#This Row],[Profit]]&gt;0,"Profit","Loss")</f>
        <v>Loss</v>
      </c>
      <c r="L2178" s="8">
        <f>SalesData[[#This Row],[Profit]]/SalesData[[#This Row],[Sales]]</f>
        <v>-0.27493850778901335</v>
      </c>
      <c r="M2178" t="str">
        <f>TEXT(SalesData[[#This Row],[Order_Date]],"mmm")</f>
        <v>Jan</v>
      </c>
      <c r="N2178">
        <f>YEAR(SalesData[[#This Row],[Order_Date]])</f>
        <v>2023</v>
      </c>
    </row>
    <row r="2179" spans="1:14" x14ac:dyDescent="0.3">
      <c r="A2179" t="s">
        <v>3445</v>
      </c>
      <c r="B2179" s="1">
        <v>44989</v>
      </c>
      <c r="C2179" t="s">
        <v>1021</v>
      </c>
      <c r="D2179" t="s">
        <v>28</v>
      </c>
      <c r="E2179" t="s">
        <v>13</v>
      </c>
      <c r="F2179" t="s">
        <v>24</v>
      </c>
      <c r="G2179" t="s">
        <v>1279</v>
      </c>
      <c r="H2179" s="8">
        <v>1095.6099999999999</v>
      </c>
      <c r="I2179" s="8">
        <v>-202.87</v>
      </c>
      <c r="J2179" s="8">
        <v>0.17</v>
      </c>
      <c r="K2179" t="str">
        <f>IF(SalesData[[#This Row],[Profit]]&gt;0,"Profit","Loss")</f>
        <v>Loss</v>
      </c>
      <c r="L2179" s="8">
        <f>SalesData[[#This Row],[Profit]]/SalesData[[#This Row],[Sales]]</f>
        <v>-0.18516625441534854</v>
      </c>
      <c r="M2179" t="str">
        <f>TEXT(SalesData[[#This Row],[Order_Date]],"mmm")</f>
        <v>Mar</v>
      </c>
      <c r="N2179">
        <f>YEAR(SalesData[[#This Row],[Order_Date]])</f>
        <v>2023</v>
      </c>
    </row>
    <row r="2180" spans="1:14" x14ac:dyDescent="0.3">
      <c r="A2180" t="s">
        <v>3446</v>
      </c>
      <c r="B2180" s="1">
        <v>44964</v>
      </c>
      <c r="C2180" t="s">
        <v>487</v>
      </c>
      <c r="D2180" t="s">
        <v>18</v>
      </c>
      <c r="E2180" t="s">
        <v>13</v>
      </c>
      <c r="F2180" t="s">
        <v>36</v>
      </c>
      <c r="G2180" t="s">
        <v>244</v>
      </c>
      <c r="H2180" s="8">
        <v>3711.86</v>
      </c>
      <c r="I2180" s="8">
        <v>-1220.02</v>
      </c>
      <c r="J2180" s="8">
        <v>0.26</v>
      </c>
      <c r="K2180" t="str">
        <f>IF(SalesData[[#This Row],[Profit]]&gt;0,"Profit","Loss")</f>
        <v>Loss</v>
      </c>
      <c r="L2180" s="8">
        <f>SalesData[[#This Row],[Profit]]/SalesData[[#This Row],[Sales]]</f>
        <v>-0.32868157743018322</v>
      </c>
      <c r="M2180" t="str">
        <f>TEXT(SalesData[[#This Row],[Order_Date]],"mmm")</f>
        <v>Feb</v>
      </c>
      <c r="N2180">
        <f>YEAR(SalesData[[#This Row],[Order_Date]])</f>
        <v>2023</v>
      </c>
    </row>
    <row r="2181" spans="1:14" x14ac:dyDescent="0.3">
      <c r="A2181" t="s">
        <v>3447</v>
      </c>
      <c r="B2181" s="1">
        <v>45072</v>
      </c>
      <c r="C2181" t="s">
        <v>536</v>
      </c>
      <c r="D2181" t="s">
        <v>12</v>
      </c>
      <c r="E2181" t="s">
        <v>56</v>
      </c>
      <c r="F2181" t="s">
        <v>73</v>
      </c>
      <c r="G2181" t="s">
        <v>1814</v>
      </c>
      <c r="H2181" s="8">
        <v>1729.86</v>
      </c>
      <c r="I2181" s="8">
        <v>-196.23</v>
      </c>
      <c r="J2181" s="8">
        <v>0.26</v>
      </c>
      <c r="K2181" t="str">
        <f>IF(SalesData[[#This Row],[Profit]]&gt;0,"Profit","Loss")</f>
        <v>Loss</v>
      </c>
      <c r="L2181" s="8">
        <f>SalesData[[#This Row],[Profit]]/SalesData[[#This Row],[Sales]]</f>
        <v>-0.11343692553154591</v>
      </c>
      <c r="M2181" t="str">
        <f>TEXT(SalesData[[#This Row],[Order_Date]],"mmm")</f>
        <v>May</v>
      </c>
      <c r="N2181">
        <f>YEAR(SalesData[[#This Row],[Order_Date]])</f>
        <v>2023</v>
      </c>
    </row>
    <row r="2182" spans="1:14" x14ac:dyDescent="0.3">
      <c r="A2182" t="s">
        <v>3448</v>
      </c>
      <c r="B2182" s="1">
        <v>44753</v>
      </c>
      <c r="C2182" t="s">
        <v>3449</v>
      </c>
      <c r="D2182" t="s">
        <v>18</v>
      </c>
      <c r="E2182" t="s">
        <v>19</v>
      </c>
      <c r="F2182" t="s">
        <v>141</v>
      </c>
      <c r="G2182" t="s">
        <v>504</v>
      </c>
      <c r="H2182" s="8">
        <v>4141.8599999999997</v>
      </c>
      <c r="I2182" s="8">
        <v>-814.8</v>
      </c>
      <c r="J2182" s="8">
        <v>0.26</v>
      </c>
      <c r="K2182" t="str">
        <f>IF(SalesData[[#This Row],[Profit]]&gt;0,"Profit","Loss")</f>
        <v>Loss</v>
      </c>
      <c r="L2182" s="8">
        <f>SalesData[[#This Row],[Profit]]/SalesData[[#This Row],[Sales]]</f>
        <v>-0.19672321131086035</v>
      </c>
      <c r="M2182" t="str">
        <f>TEXT(SalesData[[#This Row],[Order_Date]],"mmm")</f>
        <v>Jul</v>
      </c>
      <c r="N2182">
        <f>YEAR(SalesData[[#This Row],[Order_Date]])</f>
        <v>2022</v>
      </c>
    </row>
    <row r="2183" spans="1:14" x14ac:dyDescent="0.3">
      <c r="A2183" t="s">
        <v>3450</v>
      </c>
      <c r="B2183" s="1">
        <v>45041</v>
      </c>
      <c r="C2183" t="s">
        <v>23</v>
      </c>
      <c r="D2183" t="s">
        <v>28</v>
      </c>
      <c r="E2183" t="s">
        <v>56</v>
      </c>
      <c r="F2183" t="s">
        <v>57</v>
      </c>
      <c r="G2183" t="s">
        <v>795</v>
      </c>
      <c r="H2183" s="8">
        <v>371.64</v>
      </c>
      <c r="I2183" s="8">
        <v>100.58</v>
      </c>
      <c r="J2183" s="8">
        <v>7.0000000000000007E-2</v>
      </c>
      <c r="K2183" t="str">
        <f>IF(SalesData[[#This Row],[Profit]]&gt;0,"Profit","Loss")</f>
        <v>Profit</v>
      </c>
      <c r="L2183" s="8">
        <f>SalesData[[#This Row],[Profit]]/SalesData[[#This Row],[Sales]]</f>
        <v>0.27063825207189757</v>
      </c>
      <c r="M2183" t="str">
        <f>TEXT(SalesData[[#This Row],[Order_Date]],"mmm")</f>
        <v>Apr</v>
      </c>
      <c r="N2183">
        <f>YEAR(SalesData[[#This Row],[Order_Date]])</f>
        <v>2023</v>
      </c>
    </row>
    <row r="2184" spans="1:14" x14ac:dyDescent="0.3">
      <c r="A2184" t="s">
        <v>3451</v>
      </c>
      <c r="B2184" s="1">
        <v>45155</v>
      </c>
      <c r="C2184" t="s">
        <v>871</v>
      </c>
      <c r="D2184" t="s">
        <v>18</v>
      </c>
      <c r="E2184" t="s">
        <v>56</v>
      </c>
      <c r="F2184" t="s">
        <v>57</v>
      </c>
      <c r="G2184" t="s">
        <v>525</v>
      </c>
      <c r="H2184" s="8">
        <v>2502.6</v>
      </c>
      <c r="I2184" s="8">
        <v>-685.4</v>
      </c>
      <c r="J2184" s="8">
        <v>0.27</v>
      </c>
      <c r="K2184" t="str">
        <f>IF(SalesData[[#This Row],[Profit]]&gt;0,"Profit","Loss")</f>
        <v>Loss</v>
      </c>
      <c r="L2184" s="8">
        <f>SalesData[[#This Row],[Profit]]/SalesData[[#This Row],[Sales]]</f>
        <v>-0.27387516982338367</v>
      </c>
      <c r="M2184" t="str">
        <f>TEXT(SalesData[[#This Row],[Order_Date]],"mmm")</f>
        <v>Aug</v>
      </c>
      <c r="N2184">
        <f>YEAR(SalesData[[#This Row],[Order_Date]])</f>
        <v>2023</v>
      </c>
    </row>
    <row r="2185" spans="1:14" x14ac:dyDescent="0.3">
      <c r="A2185" t="s">
        <v>3452</v>
      </c>
      <c r="B2185" s="1">
        <v>44935</v>
      </c>
      <c r="C2185" t="s">
        <v>811</v>
      </c>
      <c r="D2185" t="s">
        <v>12</v>
      </c>
      <c r="E2185" t="s">
        <v>56</v>
      </c>
      <c r="F2185" t="s">
        <v>57</v>
      </c>
      <c r="G2185" t="s">
        <v>1497</v>
      </c>
      <c r="H2185" s="8">
        <v>4080.37</v>
      </c>
      <c r="I2185" s="8">
        <v>-1513.27</v>
      </c>
      <c r="J2185" s="8">
        <v>0.23</v>
      </c>
      <c r="K2185" t="str">
        <f>IF(SalesData[[#This Row],[Profit]]&gt;0,"Profit","Loss")</f>
        <v>Loss</v>
      </c>
      <c r="L2185" s="8">
        <f>SalesData[[#This Row],[Profit]]/SalesData[[#This Row],[Sales]]</f>
        <v>-0.37086587735916104</v>
      </c>
      <c r="M2185" t="str">
        <f>TEXT(SalesData[[#This Row],[Order_Date]],"mmm")</f>
        <v>Jan</v>
      </c>
      <c r="N2185">
        <f>YEAR(SalesData[[#This Row],[Order_Date]])</f>
        <v>2023</v>
      </c>
    </row>
    <row r="2186" spans="1:14" x14ac:dyDescent="0.3">
      <c r="A2186" t="s">
        <v>3453</v>
      </c>
      <c r="B2186" s="1">
        <v>45062</v>
      </c>
      <c r="C2186" t="s">
        <v>2803</v>
      </c>
      <c r="D2186" t="s">
        <v>28</v>
      </c>
      <c r="E2186" t="s">
        <v>56</v>
      </c>
      <c r="F2186" t="s">
        <v>57</v>
      </c>
      <c r="G2186" t="s">
        <v>677</v>
      </c>
      <c r="H2186" s="8">
        <v>284.52</v>
      </c>
      <c r="I2186" s="8">
        <v>70.16</v>
      </c>
      <c r="J2186" s="8">
        <v>0.01</v>
      </c>
      <c r="K2186" t="str">
        <f>IF(SalesData[[#This Row],[Profit]]&gt;0,"Profit","Loss")</f>
        <v>Profit</v>
      </c>
      <c r="L2186" s="8">
        <f>SalesData[[#This Row],[Profit]]/SalesData[[#This Row],[Sales]]</f>
        <v>0.24659074933220865</v>
      </c>
      <c r="M2186" t="str">
        <f>TEXT(SalesData[[#This Row],[Order_Date]],"mmm")</f>
        <v>May</v>
      </c>
      <c r="N2186">
        <f>YEAR(SalesData[[#This Row],[Order_Date]])</f>
        <v>2023</v>
      </c>
    </row>
    <row r="2187" spans="1:14" x14ac:dyDescent="0.3">
      <c r="A2187" t="s">
        <v>3454</v>
      </c>
      <c r="B2187" s="1">
        <v>45271</v>
      </c>
      <c r="C2187" t="s">
        <v>3455</v>
      </c>
      <c r="D2187" t="s">
        <v>40</v>
      </c>
      <c r="E2187" t="s">
        <v>13</v>
      </c>
      <c r="F2187" t="s">
        <v>24</v>
      </c>
      <c r="G2187" t="s">
        <v>154</v>
      </c>
      <c r="H2187" s="8">
        <v>4331.75</v>
      </c>
      <c r="I2187" s="8">
        <v>347.23</v>
      </c>
      <c r="J2187" s="8">
        <v>0.13</v>
      </c>
      <c r="K2187" t="str">
        <f>IF(SalesData[[#This Row],[Profit]]&gt;0,"Profit","Loss")</f>
        <v>Profit</v>
      </c>
      <c r="L2187" s="8">
        <f>SalesData[[#This Row],[Profit]]/SalesData[[#This Row],[Sales]]</f>
        <v>8.0159288970970161E-2</v>
      </c>
      <c r="M2187" t="str">
        <f>TEXT(SalesData[[#This Row],[Order_Date]],"mmm")</f>
        <v>Dec</v>
      </c>
      <c r="N2187">
        <f>YEAR(SalesData[[#This Row],[Order_Date]])</f>
        <v>2023</v>
      </c>
    </row>
    <row r="2188" spans="1:14" x14ac:dyDescent="0.3">
      <c r="A2188" t="s">
        <v>3456</v>
      </c>
      <c r="B2188" s="1">
        <v>44624</v>
      </c>
      <c r="C2188" t="s">
        <v>2021</v>
      </c>
      <c r="D2188" t="s">
        <v>12</v>
      </c>
      <c r="E2188" t="s">
        <v>13</v>
      </c>
      <c r="F2188" t="s">
        <v>36</v>
      </c>
      <c r="G2188" t="s">
        <v>2030</v>
      </c>
      <c r="H2188" s="8">
        <v>1004.82</v>
      </c>
      <c r="I2188" s="8">
        <v>-154.13</v>
      </c>
      <c r="J2188" s="8">
        <v>0.19</v>
      </c>
      <c r="K2188" t="str">
        <f>IF(SalesData[[#This Row],[Profit]]&gt;0,"Profit","Loss")</f>
        <v>Loss</v>
      </c>
      <c r="L2188" s="8">
        <f>SalesData[[#This Row],[Profit]]/SalesData[[#This Row],[Sales]]</f>
        <v>-0.15339065703310045</v>
      </c>
      <c r="M2188" t="str">
        <f>TEXT(SalesData[[#This Row],[Order_Date]],"mmm")</f>
        <v>Mar</v>
      </c>
      <c r="N2188">
        <f>YEAR(SalesData[[#This Row],[Order_Date]])</f>
        <v>2022</v>
      </c>
    </row>
    <row r="2189" spans="1:14" x14ac:dyDescent="0.3">
      <c r="A2189" t="s">
        <v>3457</v>
      </c>
      <c r="B2189" s="1">
        <v>44645</v>
      </c>
      <c r="C2189" t="s">
        <v>1086</v>
      </c>
      <c r="D2189" t="s">
        <v>40</v>
      </c>
      <c r="E2189" t="s">
        <v>56</v>
      </c>
      <c r="F2189" t="s">
        <v>95</v>
      </c>
      <c r="G2189" t="s">
        <v>556</v>
      </c>
      <c r="H2189" s="8">
        <v>4892.1499999999996</v>
      </c>
      <c r="I2189" s="8">
        <v>-182.42</v>
      </c>
      <c r="J2189" s="8">
        <v>7.0000000000000007E-2</v>
      </c>
      <c r="K2189" t="str">
        <f>IF(SalesData[[#This Row],[Profit]]&gt;0,"Profit","Loss")</f>
        <v>Loss</v>
      </c>
      <c r="L2189" s="8">
        <f>SalesData[[#This Row],[Profit]]/SalesData[[#This Row],[Sales]]</f>
        <v>-3.7288308821274901E-2</v>
      </c>
      <c r="M2189" t="str">
        <f>TEXT(SalesData[[#This Row],[Order_Date]],"mmm")</f>
        <v>Mar</v>
      </c>
      <c r="N2189">
        <f>YEAR(SalesData[[#This Row],[Order_Date]])</f>
        <v>2022</v>
      </c>
    </row>
    <row r="2190" spans="1:14" x14ac:dyDescent="0.3">
      <c r="A2190" t="s">
        <v>3458</v>
      </c>
      <c r="B2190" s="1">
        <v>45146</v>
      </c>
      <c r="C2190" t="s">
        <v>2378</v>
      </c>
      <c r="D2190" t="s">
        <v>12</v>
      </c>
      <c r="E2190" t="s">
        <v>19</v>
      </c>
      <c r="F2190" t="s">
        <v>20</v>
      </c>
      <c r="G2190" t="s">
        <v>241</v>
      </c>
      <c r="H2190" s="8">
        <v>1799.75</v>
      </c>
      <c r="I2190" s="8">
        <v>202.39</v>
      </c>
      <c r="J2190" s="8">
        <v>0.26</v>
      </c>
      <c r="K2190" t="str">
        <f>IF(SalesData[[#This Row],[Profit]]&gt;0,"Profit","Loss")</f>
        <v>Profit</v>
      </c>
      <c r="L2190" s="8">
        <f>SalesData[[#This Row],[Profit]]/SalesData[[#This Row],[Sales]]</f>
        <v>0.1124545075704959</v>
      </c>
      <c r="M2190" t="str">
        <f>TEXT(SalesData[[#This Row],[Order_Date]],"mmm")</f>
        <v>Aug</v>
      </c>
      <c r="N2190">
        <f>YEAR(SalesData[[#This Row],[Order_Date]])</f>
        <v>2023</v>
      </c>
    </row>
    <row r="2191" spans="1:14" x14ac:dyDescent="0.3">
      <c r="A2191" t="s">
        <v>3459</v>
      </c>
      <c r="B2191" s="1">
        <v>45162</v>
      </c>
      <c r="C2191" t="s">
        <v>156</v>
      </c>
      <c r="D2191" t="s">
        <v>40</v>
      </c>
      <c r="E2191" t="s">
        <v>56</v>
      </c>
      <c r="F2191" t="s">
        <v>73</v>
      </c>
      <c r="G2191" t="s">
        <v>320</v>
      </c>
      <c r="H2191" s="8">
        <v>2928.22</v>
      </c>
      <c r="I2191" s="8">
        <v>23.02</v>
      </c>
      <c r="J2191" s="8">
        <v>0.23</v>
      </c>
      <c r="K2191" t="str">
        <f>IF(SalesData[[#This Row],[Profit]]&gt;0,"Profit","Loss")</f>
        <v>Profit</v>
      </c>
      <c r="L2191" s="8">
        <f>SalesData[[#This Row],[Profit]]/SalesData[[#This Row],[Sales]]</f>
        <v>7.8614311766192439E-3</v>
      </c>
      <c r="M2191" t="str">
        <f>TEXT(SalesData[[#This Row],[Order_Date]],"mmm")</f>
        <v>Aug</v>
      </c>
      <c r="N2191">
        <f>YEAR(SalesData[[#This Row],[Order_Date]])</f>
        <v>2023</v>
      </c>
    </row>
    <row r="2192" spans="1:14" x14ac:dyDescent="0.3">
      <c r="A2192" t="s">
        <v>3460</v>
      </c>
      <c r="B2192" s="1">
        <v>45085</v>
      </c>
      <c r="C2192" t="s">
        <v>2441</v>
      </c>
      <c r="D2192" t="s">
        <v>12</v>
      </c>
      <c r="E2192" t="s">
        <v>56</v>
      </c>
      <c r="F2192" t="s">
        <v>57</v>
      </c>
      <c r="G2192" t="s">
        <v>600</v>
      </c>
      <c r="H2192" s="8">
        <v>1583.67</v>
      </c>
      <c r="I2192" s="8">
        <v>82.75</v>
      </c>
      <c r="J2192" s="8">
        <v>0.14000000000000001</v>
      </c>
      <c r="K2192" t="str">
        <f>IF(SalesData[[#This Row],[Profit]]&gt;0,"Profit","Loss")</f>
        <v>Profit</v>
      </c>
      <c r="L2192" s="8">
        <f>SalesData[[#This Row],[Profit]]/SalesData[[#This Row],[Sales]]</f>
        <v>5.225204745938232E-2</v>
      </c>
      <c r="M2192" t="str">
        <f>TEXT(SalesData[[#This Row],[Order_Date]],"mmm")</f>
        <v>Jun</v>
      </c>
      <c r="N2192">
        <f>YEAR(SalesData[[#This Row],[Order_Date]])</f>
        <v>2023</v>
      </c>
    </row>
    <row r="2193" spans="1:14" x14ac:dyDescent="0.3">
      <c r="A2193" t="s">
        <v>3461</v>
      </c>
      <c r="B2193" s="1">
        <v>45265</v>
      </c>
      <c r="C2193" t="s">
        <v>662</v>
      </c>
      <c r="D2193" t="s">
        <v>28</v>
      </c>
      <c r="E2193" t="s">
        <v>56</v>
      </c>
      <c r="F2193" t="s">
        <v>57</v>
      </c>
      <c r="G2193" t="s">
        <v>450</v>
      </c>
      <c r="H2193" s="8">
        <v>2925.09</v>
      </c>
      <c r="I2193" s="8">
        <v>-1317.49</v>
      </c>
      <c r="J2193" s="8">
        <v>0.3</v>
      </c>
      <c r="K2193" t="str">
        <f>IF(SalesData[[#This Row],[Profit]]&gt;0,"Profit","Loss")</f>
        <v>Loss</v>
      </c>
      <c r="L2193" s="8">
        <f>SalesData[[#This Row],[Profit]]/SalesData[[#This Row],[Sales]]</f>
        <v>-0.45041007285245921</v>
      </c>
      <c r="M2193" t="str">
        <f>TEXT(SalesData[[#This Row],[Order_Date]],"mmm")</f>
        <v>Dec</v>
      </c>
      <c r="N2193">
        <f>YEAR(SalesData[[#This Row],[Order_Date]])</f>
        <v>2023</v>
      </c>
    </row>
    <row r="2194" spans="1:14" x14ac:dyDescent="0.3">
      <c r="A2194" t="s">
        <v>3462</v>
      </c>
      <c r="B2194" s="1">
        <v>44717</v>
      </c>
      <c r="C2194" t="s">
        <v>2565</v>
      </c>
      <c r="D2194" t="s">
        <v>18</v>
      </c>
      <c r="E2194" t="s">
        <v>13</v>
      </c>
      <c r="F2194" t="s">
        <v>14</v>
      </c>
      <c r="G2194" t="s">
        <v>294</v>
      </c>
      <c r="H2194" s="8">
        <v>811.4</v>
      </c>
      <c r="I2194" s="8">
        <v>-96.91</v>
      </c>
      <c r="J2194" s="8">
        <v>0.01</v>
      </c>
      <c r="K2194" t="str">
        <f>IF(SalesData[[#This Row],[Profit]]&gt;0,"Profit","Loss")</f>
        <v>Loss</v>
      </c>
      <c r="L2194" s="8">
        <f>SalesData[[#This Row],[Profit]]/SalesData[[#This Row],[Sales]]</f>
        <v>-0.11943554350505299</v>
      </c>
      <c r="M2194" t="str">
        <f>TEXT(SalesData[[#This Row],[Order_Date]],"mmm")</f>
        <v>Jun</v>
      </c>
      <c r="N2194">
        <f>YEAR(SalesData[[#This Row],[Order_Date]])</f>
        <v>2022</v>
      </c>
    </row>
    <row r="2195" spans="1:14" x14ac:dyDescent="0.3">
      <c r="A2195" t="s">
        <v>3463</v>
      </c>
      <c r="B2195" s="1">
        <v>45238</v>
      </c>
      <c r="C2195" t="s">
        <v>3387</v>
      </c>
      <c r="D2195" t="s">
        <v>12</v>
      </c>
      <c r="E2195" t="s">
        <v>56</v>
      </c>
      <c r="F2195" t="s">
        <v>73</v>
      </c>
      <c r="G2195" t="s">
        <v>457</v>
      </c>
      <c r="H2195" s="8">
        <v>4627.54</v>
      </c>
      <c r="I2195" s="8">
        <v>-1128.81</v>
      </c>
      <c r="J2195" s="8">
        <v>0.28999999999999998</v>
      </c>
      <c r="K2195" t="str">
        <f>IF(SalesData[[#This Row],[Profit]]&gt;0,"Profit","Loss")</f>
        <v>Loss</v>
      </c>
      <c r="L2195" s="8">
        <f>SalesData[[#This Row],[Profit]]/SalesData[[#This Row],[Sales]]</f>
        <v>-0.24393306162669581</v>
      </c>
      <c r="M2195" t="str">
        <f>TEXT(SalesData[[#This Row],[Order_Date]],"mmm")</f>
        <v>Nov</v>
      </c>
      <c r="N2195">
        <f>YEAR(SalesData[[#This Row],[Order_Date]])</f>
        <v>2023</v>
      </c>
    </row>
    <row r="2196" spans="1:14" x14ac:dyDescent="0.3">
      <c r="A2196" t="s">
        <v>3464</v>
      </c>
      <c r="B2196" s="1">
        <v>44669</v>
      </c>
      <c r="C2196" t="s">
        <v>1158</v>
      </c>
      <c r="D2196" t="s">
        <v>18</v>
      </c>
      <c r="E2196" t="s">
        <v>13</v>
      </c>
      <c r="F2196" t="s">
        <v>24</v>
      </c>
      <c r="G2196" t="s">
        <v>151</v>
      </c>
      <c r="H2196" s="8">
        <v>3399.84</v>
      </c>
      <c r="I2196" s="8">
        <v>-1.53</v>
      </c>
      <c r="J2196" s="8">
        <v>0.03</v>
      </c>
      <c r="K2196" t="str">
        <f>IF(SalesData[[#This Row],[Profit]]&gt;0,"Profit","Loss")</f>
        <v>Loss</v>
      </c>
      <c r="L2196" s="8">
        <f>SalesData[[#This Row],[Profit]]/SalesData[[#This Row],[Sales]]</f>
        <v>-4.500211774671749E-4</v>
      </c>
      <c r="M2196" t="str">
        <f>TEXT(SalesData[[#This Row],[Order_Date]],"mmm")</f>
        <v>Apr</v>
      </c>
      <c r="N2196">
        <f>YEAR(SalesData[[#This Row],[Order_Date]])</f>
        <v>2022</v>
      </c>
    </row>
    <row r="2197" spans="1:14" x14ac:dyDescent="0.3">
      <c r="A2197" t="s">
        <v>3465</v>
      </c>
      <c r="B2197" s="1">
        <v>45239</v>
      </c>
      <c r="C2197" t="s">
        <v>137</v>
      </c>
      <c r="D2197" t="s">
        <v>28</v>
      </c>
      <c r="E2197" t="s">
        <v>56</v>
      </c>
      <c r="F2197" t="s">
        <v>73</v>
      </c>
      <c r="G2197" t="s">
        <v>135</v>
      </c>
      <c r="H2197" s="8">
        <v>3636.19</v>
      </c>
      <c r="I2197" s="8">
        <v>377.44</v>
      </c>
      <c r="J2197" s="8">
        <v>0.13</v>
      </c>
      <c r="K2197" t="str">
        <f>IF(SalesData[[#This Row],[Profit]]&gt;0,"Profit","Loss")</f>
        <v>Profit</v>
      </c>
      <c r="L2197" s="8">
        <f>SalesData[[#This Row],[Profit]]/SalesData[[#This Row],[Sales]]</f>
        <v>0.10380095649567267</v>
      </c>
      <c r="M2197" t="str">
        <f>TEXT(SalesData[[#This Row],[Order_Date]],"mmm")</f>
        <v>Nov</v>
      </c>
      <c r="N2197">
        <f>YEAR(SalesData[[#This Row],[Order_Date]])</f>
        <v>2023</v>
      </c>
    </row>
    <row r="2198" spans="1:14" x14ac:dyDescent="0.3">
      <c r="A2198" t="s">
        <v>3466</v>
      </c>
      <c r="B2198" s="1">
        <v>44862</v>
      </c>
      <c r="C2198" t="s">
        <v>986</v>
      </c>
      <c r="D2198" t="s">
        <v>18</v>
      </c>
      <c r="E2198" t="s">
        <v>56</v>
      </c>
      <c r="F2198" t="s">
        <v>57</v>
      </c>
      <c r="G2198" t="s">
        <v>444</v>
      </c>
      <c r="H2198" s="8">
        <v>4634.87</v>
      </c>
      <c r="I2198" s="8">
        <v>-1351.28</v>
      </c>
      <c r="J2198" s="8">
        <v>0.22</v>
      </c>
      <c r="K2198" t="str">
        <f>IF(SalesData[[#This Row],[Profit]]&gt;0,"Profit","Loss")</f>
        <v>Loss</v>
      </c>
      <c r="L2198" s="8">
        <f>SalesData[[#This Row],[Profit]]/SalesData[[#This Row],[Sales]]</f>
        <v>-0.29154647271660261</v>
      </c>
      <c r="M2198" t="str">
        <f>TEXT(SalesData[[#This Row],[Order_Date]],"mmm")</f>
        <v>Oct</v>
      </c>
      <c r="N2198">
        <f>YEAR(SalesData[[#This Row],[Order_Date]])</f>
        <v>2022</v>
      </c>
    </row>
    <row r="2199" spans="1:14" x14ac:dyDescent="0.3">
      <c r="A2199" t="s">
        <v>3467</v>
      </c>
      <c r="B2199" s="1">
        <v>45228</v>
      </c>
      <c r="C2199" t="s">
        <v>2508</v>
      </c>
      <c r="D2199" t="s">
        <v>40</v>
      </c>
      <c r="E2199" t="s">
        <v>19</v>
      </c>
      <c r="F2199" t="s">
        <v>29</v>
      </c>
      <c r="G2199" t="s">
        <v>468</v>
      </c>
      <c r="H2199" s="8">
        <v>1121.17</v>
      </c>
      <c r="I2199" s="8">
        <v>-103.93</v>
      </c>
      <c r="J2199" s="8">
        <v>0</v>
      </c>
      <c r="K2199" t="str">
        <f>IF(SalesData[[#This Row],[Profit]]&gt;0,"Profit","Loss")</f>
        <v>Loss</v>
      </c>
      <c r="L2199" s="8">
        <f>SalesData[[#This Row],[Profit]]/SalesData[[#This Row],[Sales]]</f>
        <v>-9.269780675544298E-2</v>
      </c>
      <c r="M2199" t="str">
        <f>TEXT(SalesData[[#This Row],[Order_Date]],"mmm")</f>
        <v>Oct</v>
      </c>
      <c r="N2199">
        <f>YEAR(SalesData[[#This Row],[Order_Date]])</f>
        <v>2023</v>
      </c>
    </row>
    <row r="2200" spans="1:14" x14ac:dyDescent="0.3">
      <c r="A2200" t="s">
        <v>3468</v>
      </c>
      <c r="B2200" s="1">
        <v>44654</v>
      </c>
      <c r="C2200" t="s">
        <v>132</v>
      </c>
      <c r="D2200" t="s">
        <v>12</v>
      </c>
      <c r="E2200" t="s">
        <v>13</v>
      </c>
      <c r="F2200" t="s">
        <v>14</v>
      </c>
      <c r="G2200" t="s">
        <v>864</v>
      </c>
      <c r="H2200" s="8">
        <v>833.2</v>
      </c>
      <c r="I2200" s="8">
        <v>-278.55</v>
      </c>
      <c r="J2200" s="8">
        <v>0.24</v>
      </c>
      <c r="K2200" t="str">
        <f>IF(SalesData[[#This Row],[Profit]]&gt;0,"Profit","Loss")</f>
        <v>Loss</v>
      </c>
      <c r="L2200" s="8">
        <f>SalesData[[#This Row],[Profit]]/SalesData[[#This Row],[Sales]]</f>
        <v>-0.33431349015842532</v>
      </c>
      <c r="M2200" t="str">
        <f>TEXT(SalesData[[#This Row],[Order_Date]],"mmm")</f>
        <v>Apr</v>
      </c>
      <c r="N2200">
        <f>YEAR(SalesData[[#This Row],[Order_Date]])</f>
        <v>2022</v>
      </c>
    </row>
    <row r="2201" spans="1:14" x14ac:dyDescent="0.3">
      <c r="A2201" t="s">
        <v>3469</v>
      </c>
      <c r="B2201" s="1">
        <v>44570</v>
      </c>
      <c r="C2201" t="s">
        <v>94</v>
      </c>
      <c r="D2201" t="s">
        <v>40</v>
      </c>
      <c r="E2201" t="s">
        <v>13</v>
      </c>
      <c r="F2201" t="s">
        <v>24</v>
      </c>
      <c r="G2201" t="s">
        <v>1637</v>
      </c>
      <c r="H2201" s="8">
        <v>2034.44</v>
      </c>
      <c r="I2201" s="8">
        <v>392.97</v>
      </c>
      <c r="J2201" s="8">
        <v>0.16</v>
      </c>
      <c r="K2201" t="str">
        <f>IF(SalesData[[#This Row],[Profit]]&gt;0,"Profit","Loss")</f>
        <v>Profit</v>
      </c>
      <c r="L2201" s="8">
        <f>SalesData[[#This Row],[Profit]]/SalesData[[#This Row],[Sales]]</f>
        <v>0.19315880537150273</v>
      </c>
      <c r="M2201" t="str">
        <f>TEXT(SalesData[[#This Row],[Order_Date]],"mmm")</f>
        <v>Jan</v>
      </c>
      <c r="N2201">
        <f>YEAR(SalesData[[#This Row],[Order_Date]])</f>
        <v>2022</v>
      </c>
    </row>
    <row r="2202" spans="1:14" x14ac:dyDescent="0.3">
      <c r="A2202" t="s">
        <v>3470</v>
      </c>
      <c r="B2202" s="1">
        <v>45167</v>
      </c>
      <c r="C2202" t="s">
        <v>539</v>
      </c>
      <c r="D2202" t="s">
        <v>40</v>
      </c>
      <c r="E2202" t="s">
        <v>56</v>
      </c>
      <c r="F2202" t="s">
        <v>73</v>
      </c>
      <c r="G2202" t="s">
        <v>401</v>
      </c>
      <c r="H2202" s="8">
        <v>1504.89</v>
      </c>
      <c r="I2202" s="8">
        <v>397.28</v>
      </c>
      <c r="J2202" s="8">
        <v>0.04</v>
      </c>
      <c r="K2202" t="str">
        <f>IF(SalesData[[#This Row],[Profit]]&gt;0,"Profit","Loss")</f>
        <v>Profit</v>
      </c>
      <c r="L2202" s="8">
        <f>SalesData[[#This Row],[Profit]]/SalesData[[#This Row],[Sales]]</f>
        <v>0.26399271707566663</v>
      </c>
      <c r="M2202" t="str">
        <f>TEXT(SalesData[[#This Row],[Order_Date]],"mmm")</f>
        <v>Aug</v>
      </c>
      <c r="N2202">
        <f>YEAR(SalesData[[#This Row],[Order_Date]])</f>
        <v>2023</v>
      </c>
    </row>
    <row r="2203" spans="1:14" x14ac:dyDescent="0.3">
      <c r="A2203" t="s">
        <v>3471</v>
      </c>
      <c r="B2203" s="1">
        <v>45232</v>
      </c>
      <c r="C2203" t="s">
        <v>996</v>
      </c>
      <c r="D2203" t="s">
        <v>18</v>
      </c>
      <c r="E2203" t="s">
        <v>19</v>
      </c>
      <c r="F2203" t="s">
        <v>141</v>
      </c>
      <c r="G2203" t="s">
        <v>21</v>
      </c>
      <c r="H2203" s="8">
        <v>1964.43</v>
      </c>
      <c r="I2203" s="8">
        <v>90.91</v>
      </c>
      <c r="J2203" s="8">
        <v>0.24</v>
      </c>
      <c r="K2203" t="str">
        <f>IF(SalesData[[#This Row],[Profit]]&gt;0,"Profit","Loss")</f>
        <v>Profit</v>
      </c>
      <c r="L2203" s="8">
        <f>SalesData[[#This Row],[Profit]]/SalesData[[#This Row],[Sales]]</f>
        <v>4.6278055211944426E-2</v>
      </c>
      <c r="M2203" t="str">
        <f>TEXT(SalesData[[#This Row],[Order_Date]],"mmm")</f>
        <v>Nov</v>
      </c>
      <c r="N2203">
        <f>YEAR(SalesData[[#This Row],[Order_Date]])</f>
        <v>2023</v>
      </c>
    </row>
    <row r="2204" spans="1:14" x14ac:dyDescent="0.3">
      <c r="A2204" t="s">
        <v>3472</v>
      </c>
      <c r="B2204" s="1">
        <v>45070</v>
      </c>
      <c r="C2204" t="s">
        <v>1262</v>
      </c>
      <c r="D2204" t="s">
        <v>12</v>
      </c>
      <c r="E2204" t="s">
        <v>13</v>
      </c>
      <c r="F2204" t="s">
        <v>24</v>
      </c>
      <c r="G2204" t="s">
        <v>816</v>
      </c>
      <c r="H2204" s="8">
        <v>3021.39</v>
      </c>
      <c r="I2204" s="8">
        <v>533.99</v>
      </c>
      <c r="J2204" s="8">
        <v>0.04</v>
      </c>
      <c r="K2204" t="str">
        <f>IF(SalesData[[#This Row],[Profit]]&gt;0,"Profit","Loss")</f>
        <v>Profit</v>
      </c>
      <c r="L2204" s="8">
        <f>SalesData[[#This Row],[Profit]]/SalesData[[#This Row],[Sales]]</f>
        <v>0.17673653517089818</v>
      </c>
      <c r="M2204" t="str">
        <f>TEXT(SalesData[[#This Row],[Order_Date]],"mmm")</f>
        <v>May</v>
      </c>
      <c r="N2204">
        <f>YEAR(SalesData[[#This Row],[Order_Date]])</f>
        <v>2023</v>
      </c>
    </row>
    <row r="2205" spans="1:14" x14ac:dyDescent="0.3">
      <c r="A2205" t="s">
        <v>3473</v>
      </c>
      <c r="B2205" s="1">
        <v>45124</v>
      </c>
      <c r="C2205" t="s">
        <v>2140</v>
      </c>
      <c r="D2205" t="s">
        <v>40</v>
      </c>
      <c r="E2205" t="s">
        <v>19</v>
      </c>
      <c r="F2205" t="s">
        <v>20</v>
      </c>
      <c r="G2205" t="s">
        <v>1030</v>
      </c>
      <c r="H2205" s="8">
        <v>795.21</v>
      </c>
      <c r="I2205" s="8">
        <v>239.44</v>
      </c>
      <c r="J2205" s="8">
        <v>0.06</v>
      </c>
      <c r="K2205" t="str">
        <f>IF(SalesData[[#This Row],[Profit]]&gt;0,"Profit","Loss")</f>
        <v>Profit</v>
      </c>
      <c r="L2205" s="8">
        <f>SalesData[[#This Row],[Profit]]/SalesData[[#This Row],[Sales]]</f>
        <v>0.30110285333433934</v>
      </c>
      <c r="M2205" t="str">
        <f>TEXT(SalesData[[#This Row],[Order_Date]],"mmm")</f>
        <v>Jul</v>
      </c>
      <c r="N2205">
        <f>YEAR(SalesData[[#This Row],[Order_Date]])</f>
        <v>2023</v>
      </c>
    </row>
    <row r="2206" spans="1:14" x14ac:dyDescent="0.3">
      <c r="A2206" t="s">
        <v>3474</v>
      </c>
      <c r="B2206" s="1">
        <v>44721</v>
      </c>
      <c r="C2206" t="s">
        <v>597</v>
      </c>
      <c r="D2206" t="s">
        <v>18</v>
      </c>
      <c r="E2206" t="s">
        <v>19</v>
      </c>
      <c r="F2206" t="s">
        <v>20</v>
      </c>
      <c r="G2206" t="s">
        <v>1313</v>
      </c>
      <c r="H2206" s="8">
        <v>1138.8599999999999</v>
      </c>
      <c r="I2206" s="8">
        <v>404.19</v>
      </c>
      <c r="J2206" s="8">
        <v>0.01</v>
      </c>
      <c r="K2206" t="str">
        <f>IF(SalesData[[#This Row],[Profit]]&gt;0,"Profit","Loss")</f>
        <v>Profit</v>
      </c>
      <c r="L2206" s="8">
        <f>SalesData[[#This Row],[Profit]]/SalesData[[#This Row],[Sales]]</f>
        <v>0.35490753911806544</v>
      </c>
      <c r="M2206" t="str">
        <f>TEXT(SalesData[[#This Row],[Order_Date]],"mmm")</f>
        <v>Jun</v>
      </c>
      <c r="N2206">
        <f>YEAR(SalesData[[#This Row],[Order_Date]])</f>
        <v>2022</v>
      </c>
    </row>
    <row r="2207" spans="1:14" x14ac:dyDescent="0.3">
      <c r="A2207" t="s">
        <v>3475</v>
      </c>
      <c r="B2207" s="1">
        <v>45132</v>
      </c>
      <c r="C2207" t="s">
        <v>1627</v>
      </c>
      <c r="D2207" t="s">
        <v>40</v>
      </c>
      <c r="E2207" t="s">
        <v>56</v>
      </c>
      <c r="F2207" t="s">
        <v>95</v>
      </c>
      <c r="G2207" t="s">
        <v>1386</v>
      </c>
      <c r="H2207" s="8">
        <v>703.25</v>
      </c>
      <c r="I2207" s="8">
        <v>-64.989999999999995</v>
      </c>
      <c r="J2207" s="8">
        <v>0.18</v>
      </c>
      <c r="K2207" t="str">
        <f>IF(SalesData[[#This Row],[Profit]]&gt;0,"Profit","Loss")</f>
        <v>Loss</v>
      </c>
      <c r="L2207" s="8">
        <f>SalesData[[#This Row],[Profit]]/SalesData[[#This Row],[Sales]]</f>
        <v>-9.2413793103448272E-2</v>
      </c>
      <c r="M2207" t="str">
        <f>TEXT(SalesData[[#This Row],[Order_Date]],"mmm")</f>
        <v>Jul</v>
      </c>
      <c r="N2207">
        <f>YEAR(SalesData[[#This Row],[Order_Date]])</f>
        <v>2023</v>
      </c>
    </row>
    <row r="2208" spans="1:14" x14ac:dyDescent="0.3">
      <c r="A2208" t="s">
        <v>3476</v>
      </c>
      <c r="B2208" s="1">
        <v>44649</v>
      </c>
      <c r="C2208" t="s">
        <v>367</v>
      </c>
      <c r="D2208" t="s">
        <v>28</v>
      </c>
      <c r="E2208" t="s">
        <v>56</v>
      </c>
      <c r="F2208" t="s">
        <v>73</v>
      </c>
      <c r="G2208" t="s">
        <v>1148</v>
      </c>
      <c r="H2208" s="8">
        <v>3135.18</v>
      </c>
      <c r="I2208" s="8">
        <v>322.7</v>
      </c>
      <c r="J2208" s="8">
        <v>0.13</v>
      </c>
      <c r="K2208" t="str">
        <f>IF(SalesData[[#This Row],[Profit]]&gt;0,"Profit","Loss")</f>
        <v>Profit</v>
      </c>
      <c r="L2208" s="8">
        <f>SalesData[[#This Row],[Profit]]/SalesData[[#This Row],[Sales]]</f>
        <v>0.10292869946861105</v>
      </c>
      <c r="M2208" t="str">
        <f>TEXT(SalesData[[#This Row],[Order_Date]],"mmm")</f>
        <v>Mar</v>
      </c>
      <c r="N2208">
        <f>YEAR(SalesData[[#This Row],[Order_Date]])</f>
        <v>2022</v>
      </c>
    </row>
    <row r="2209" spans="1:14" x14ac:dyDescent="0.3">
      <c r="A2209" t="s">
        <v>3477</v>
      </c>
      <c r="B2209" s="1">
        <v>45105</v>
      </c>
      <c r="C2209" t="s">
        <v>85</v>
      </c>
      <c r="D2209" t="s">
        <v>12</v>
      </c>
      <c r="E2209" t="s">
        <v>13</v>
      </c>
      <c r="F2209" t="s">
        <v>14</v>
      </c>
      <c r="G2209" t="s">
        <v>878</v>
      </c>
      <c r="H2209" s="8">
        <v>2120.4699999999998</v>
      </c>
      <c r="I2209" s="8">
        <v>585.26</v>
      </c>
      <c r="J2209" s="8">
        <v>0.04</v>
      </c>
      <c r="K2209" t="str">
        <f>IF(SalesData[[#This Row],[Profit]]&gt;0,"Profit","Loss")</f>
        <v>Profit</v>
      </c>
      <c r="L2209" s="8">
        <f>SalesData[[#This Row],[Profit]]/SalesData[[#This Row],[Sales]]</f>
        <v>0.27600484798181535</v>
      </c>
      <c r="M2209" t="str">
        <f>TEXT(SalesData[[#This Row],[Order_Date]],"mmm")</f>
        <v>Jun</v>
      </c>
      <c r="N2209">
        <f>YEAR(SalesData[[#This Row],[Order_Date]])</f>
        <v>2023</v>
      </c>
    </row>
    <row r="2210" spans="1:14" x14ac:dyDescent="0.3">
      <c r="A2210" t="s">
        <v>3478</v>
      </c>
      <c r="B2210" s="1">
        <v>45208</v>
      </c>
      <c r="C2210" t="s">
        <v>3349</v>
      </c>
      <c r="D2210" t="s">
        <v>12</v>
      </c>
      <c r="E2210" t="s">
        <v>19</v>
      </c>
      <c r="F2210" t="s">
        <v>29</v>
      </c>
      <c r="G2210" t="s">
        <v>494</v>
      </c>
      <c r="H2210" s="8">
        <v>4769.28</v>
      </c>
      <c r="I2210" s="8">
        <v>1321.82</v>
      </c>
      <c r="J2210" s="8">
        <v>0.05</v>
      </c>
      <c r="K2210" t="str">
        <f>IF(SalesData[[#This Row],[Profit]]&gt;0,"Profit","Loss")</f>
        <v>Profit</v>
      </c>
      <c r="L2210" s="8">
        <f>SalesData[[#This Row],[Profit]]/SalesData[[#This Row],[Sales]]</f>
        <v>0.27715294551798175</v>
      </c>
      <c r="M2210" t="str">
        <f>TEXT(SalesData[[#This Row],[Order_Date]],"mmm")</f>
        <v>Oct</v>
      </c>
      <c r="N2210">
        <f>YEAR(SalesData[[#This Row],[Order_Date]])</f>
        <v>2023</v>
      </c>
    </row>
    <row r="2211" spans="1:14" x14ac:dyDescent="0.3">
      <c r="A2211" t="s">
        <v>3479</v>
      </c>
      <c r="B2211" s="1">
        <v>44579</v>
      </c>
      <c r="C2211" t="s">
        <v>416</v>
      </c>
      <c r="D2211" t="s">
        <v>40</v>
      </c>
      <c r="E2211" t="s">
        <v>13</v>
      </c>
      <c r="F2211" t="s">
        <v>24</v>
      </c>
      <c r="G2211" t="s">
        <v>1697</v>
      </c>
      <c r="H2211" s="8">
        <v>4345.63</v>
      </c>
      <c r="I2211" s="8">
        <v>-759.67</v>
      </c>
      <c r="J2211" s="8">
        <v>0.01</v>
      </c>
      <c r="K2211" t="str">
        <f>IF(SalesData[[#This Row],[Profit]]&gt;0,"Profit","Loss")</f>
        <v>Loss</v>
      </c>
      <c r="L2211" s="8">
        <f>SalesData[[#This Row],[Profit]]/SalesData[[#This Row],[Sales]]</f>
        <v>-0.17481239774209953</v>
      </c>
      <c r="M2211" t="str">
        <f>TEXT(SalesData[[#This Row],[Order_Date]],"mmm")</f>
        <v>Jan</v>
      </c>
      <c r="N2211">
        <f>YEAR(SalesData[[#This Row],[Order_Date]])</f>
        <v>2022</v>
      </c>
    </row>
    <row r="2212" spans="1:14" x14ac:dyDescent="0.3">
      <c r="A2212" t="s">
        <v>3480</v>
      </c>
      <c r="B2212" s="1">
        <v>44995</v>
      </c>
      <c r="C2212" t="s">
        <v>475</v>
      </c>
      <c r="D2212" t="s">
        <v>12</v>
      </c>
      <c r="E2212" t="s">
        <v>19</v>
      </c>
      <c r="F2212" t="s">
        <v>29</v>
      </c>
      <c r="G2212" t="s">
        <v>1657</v>
      </c>
      <c r="H2212" s="8">
        <v>2865.7</v>
      </c>
      <c r="I2212" s="8">
        <v>-455.98</v>
      </c>
      <c r="J2212" s="8">
        <v>0.23</v>
      </c>
      <c r="K2212" t="str">
        <f>IF(SalesData[[#This Row],[Profit]]&gt;0,"Profit","Loss")</f>
        <v>Loss</v>
      </c>
      <c r="L2212" s="8">
        <f>SalesData[[#This Row],[Profit]]/SalesData[[#This Row],[Sales]]</f>
        <v>-0.15911644624350074</v>
      </c>
      <c r="M2212" t="str">
        <f>TEXT(SalesData[[#This Row],[Order_Date]],"mmm")</f>
        <v>Mar</v>
      </c>
      <c r="N2212">
        <f>YEAR(SalesData[[#This Row],[Order_Date]])</f>
        <v>2023</v>
      </c>
    </row>
    <row r="2213" spans="1:14" x14ac:dyDescent="0.3">
      <c r="A2213" t="s">
        <v>3481</v>
      </c>
      <c r="B2213" s="1">
        <v>44997</v>
      </c>
      <c r="C2213" t="s">
        <v>2714</v>
      </c>
      <c r="D2213" t="s">
        <v>18</v>
      </c>
      <c r="E2213" t="s">
        <v>19</v>
      </c>
      <c r="F2213" t="s">
        <v>141</v>
      </c>
      <c r="G2213" t="s">
        <v>142</v>
      </c>
      <c r="H2213" s="8">
        <v>3417.64</v>
      </c>
      <c r="I2213" s="8">
        <v>-946.06</v>
      </c>
      <c r="J2213" s="8">
        <v>0.3</v>
      </c>
      <c r="K2213" t="str">
        <f>IF(SalesData[[#This Row],[Profit]]&gt;0,"Profit","Loss")</f>
        <v>Loss</v>
      </c>
      <c r="L2213" s="8">
        <f>SalesData[[#This Row],[Profit]]/SalesData[[#This Row],[Sales]]</f>
        <v>-0.2768167507402769</v>
      </c>
      <c r="M2213" t="str">
        <f>TEXT(SalesData[[#This Row],[Order_Date]],"mmm")</f>
        <v>Mar</v>
      </c>
      <c r="N2213">
        <f>YEAR(SalesData[[#This Row],[Order_Date]])</f>
        <v>2023</v>
      </c>
    </row>
    <row r="2214" spans="1:14" x14ac:dyDescent="0.3">
      <c r="A2214" t="s">
        <v>3482</v>
      </c>
      <c r="B2214" s="1">
        <v>44564</v>
      </c>
      <c r="C2214" t="s">
        <v>2468</v>
      </c>
      <c r="D2214" t="s">
        <v>12</v>
      </c>
      <c r="E2214" t="s">
        <v>19</v>
      </c>
      <c r="F2214" t="s">
        <v>20</v>
      </c>
      <c r="G2214" t="s">
        <v>262</v>
      </c>
      <c r="H2214" s="8">
        <v>770.61</v>
      </c>
      <c r="I2214" s="8">
        <v>-125.57</v>
      </c>
      <c r="J2214" s="8">
        <v>0.24</v>
      </c>
      <c r="K2214" t="str">
        <f>IF(SalesData[[#This Row],[Profit]]&gt;0,"Profit","Loss")</f>
        <v>Loss</v>
      </c>
      <c r="L2214" s="8">
        <f>SalesData[[#This Row],[Profit]]/SalesData[[#This Row],[Sales]]</f>
        <v>-0.16294883274289199</v>
      </c>
      <c r="M2214" t="str">
        <f>TEXT(SalesData[[#This Row],[Order_Date]],"mmm")</f>
        <v>Jan</v>
      </c>
      <c r="N2214">
        <f>YEAR(SalesData[[#This Row],[Order_Date]])</f>
        <v>2022</v>
      </c>
    </row>
    <row r="2215" spans="1:14" x14ac:dyDescent="0.3">
      <c r="A2215" t="s">
        <v>3483</v>
      </c>
      <c r="B2215" s="1">
        <v>44589</v>
      </c>
      <c r="C2215" t="s">
        <v>1354</v>
      </c>
      <c r="D2215" t="s">
        <v>28</v>
      </c>
      <c r="E2215" t="s">
        <v>56</v>
      </c>
      <c r="F2215" t="s">
        <v>57</v>
      </c>
      <c r="G2215" t="s">
        <v>1084</v>
      </c>
      <c r="H2215" s="8">
        <v>4006.57</v>
      </c>
      <c r="I2215" s="8">
        <v>-1309.19</v>
      </c>
      <c r="J2215" s="8">
        <v>0.15</v>
      </c>
      <c r="K2215" t="str">
        <f>IF(SalesData[[#This Row],[Profit]]&gt;0,"Profit","Loss")</f>
        <v>Loss</v>
      </c>
      <c r="L2215" s="8">
        <f>SalesData[[#This Row],[Profit]]/SalesData[[#This Row],[Sales]]</f>
        <v>-0.32676079539356606</v>
      </c>
      <c r="M2215" t="str">
        <f>TEXT(SalesData[[#This Row],[Order_Date]],"mmm")</f>
        <v>Jan</v>
      </c>
      <c r="N2215">
        <f>YEAR(SalesData[[#This Row],[Order_Date]])</f>
        <v>2022</v>
      </c>
    </row>
    <row r="2216" spans="1:14" x14ac:dyDescent="0.3">
      <c r="A2216" t="s">
        <v>3484</v>
      </c>
      <c r="B2216" s="1">
        <v>45062</v>
      </c>
      <c r="C2216" t="s">
        <v>1677</v>
      </c>
      <c r="D2216" t="s">
        <v>28</v>
      </c>
      <c r="E2216" t="s">
        <v>56</v>
      </c>
      <c r="F2216" t="s">
        <v>57</v>
      </c>
      <c r="G2216" t="s">
        <v>2426</v>
      </c>
      <c r="H2216" s="8">
        <v>2301.6999999999998</v>
      </c>
      <c r="I2216" s="8">
        <v>658.12</v>
      </c>
      <c r="J2216" s="8">
        <v>0.08</v>
      </c>
      <c r="K2216" t="str">
        <f>IF(SalesData[[#This Row],[Profit]]&gt;0,"Profit","Loss")</f>
        <v>Profit</v>
      </c>
      <c r="L2216" s="8">
        <f>SalesData[[#This Row],[Profit]]/SalesData[[#This Row],[Sales]]</f>
        <v>0.28592779250119477</v>
      </c>
      <c r="M2216" t="str">
        <f>TEXT(SalesData[[#This Row],[Order_Date]],"mmm")</f>
        <v>May</v>
      </c>
      <c r="N2216">
        <f>YEAR(SalesData[[#This Row],[Order_Date]])</f>
        <v>2023</v>
      </c>
    </row>
    <row r="2217" spans="1:14" x14ac:dyDescent="0.3">
      <c r="A2217" t="s">
        <v>3485</v>
      </c>
      <c r="B2217" s="1">
        <v>44937</v>
      </c>
      <c r="C2217" t="s">
        <v>3336</v>
      </c>
      <c r="D2217" t="s">
        <v>12</v>
      </c>
      <c r="E2217" t="s">
        <v>56</v>
      </c>
      <c r="F2217" t="s">
        <v>73</v>
      </c>
      <c r="G2217" t="s">
        <v>1046</v>
      </c>
      <c r="H2217" s="8">
        <v>164.33</v>
      </c>
      <c r="I2217" s="8">
        <v>33.86</v>
      </c>
      <c r="J2217" s="8">
        <v>0.03</v>
      </c>
      <c r="K2217" t="str">
        <f>IF(SalesData[[#This Row],[Profit]]&gt;0,"Profit","Loss")</f>
        <v>Profit</v>
      </c>
      <c r="L2217" s="8">
        <f>SalesData[[#This Row],[Profit]]/SalesData[[#This Row],[Sales]]</f>
        <v>0.20604880423538</v>
      </c>
      <c r="M2217" t="str">
        <f>TEXT(SalesData[[#This Row],[Order_Date]],"mmm")</f>
        <v>Jan</v>
      </c>
      <c r="N2217">
        <f>YEAR(SalesData[[#This Row],[Order_Date]])</f>
        <v>2023</v>
      </c>
    </row>
    <row r="2218" spans="1:14" x14ac:dyDescent="0.3">
      <c r="A2218" t="s">
        <v>3486</v>
      </c>
      <c r="B2218" s="1">
        <v>44624</v>
      </c>
      <c r="C2218" t="s">
        <v>2693</v>
      </c>
      <c r="D2218" t="s">
        <v>12</v>
      </c>
      <c r="E2218" t="s">
        <v>13</v>
      </c>
      <c r="F2218" t="s">
        <v>14</v>
      </c>
      <c r="G2218" t="s">
        <v>2546</v>
      </c>
      <c r="H2218" s="8">
        <v>4355.32</v>
      </c>
      <c r="I2218" s="8">
        <v>-106.13</v>
      </c>
      <c r="J2218" s="8">
        <v>0.03</v>
      </c>
      <c r="K2218" t="str">
        <f>IF(SalesData[[#This Row],[Profit]]&gt;0,"Profit","Loss")</f>
        <v>Loss</v>
      </c>
      <c r="L2218" s="8">
        <f>SalesData[[#This Row],[Profit]]/SalesData[[#This Row],[Sales]]</f>
        <v>-2.4367899488441723E-2</v>
      </c>
      <c r="M2218" t="str">
        <f>TEXT(SalesData[[#This Row],[Order_Date]],"mmm")</f>
        <v>Mar</v>
      </c>
      <c r="N2218">
        <f>YEAR(SalesData[[#This Row],[Order_Date]])</f>
        <v>2022</v>
      </c>
    </row>
    <row r="2219" spans="1:14" x14ac:dyDescent="0.3">
      <c r="A2219" t="s">
        <v>3487</v>
      </c>
      <c r="B2219" s="1">
        <v>45291</v>
      </c>
      <c r="C2219" t="s">
        <v>944</v>
      </c>
      <c r="D2219" t="s">
        <v>40</v>
      </c>
      <c r="E2219" t="s">
        <v>13</v>
      </c>
      <c r="F2219" t="s">
        <v>14</v>
      </c>
      <c r="G2219" t="s">
        <v>33</v>
      </c>
      <c r="H2219" s="8">
        <v>2102.08</v>
      </c>
      <c r="I2219" s="8">
        <v>-415.52</v>
      </c>
      <c r="J2219" s="8">
        <v>0.03</v>
      </c>
      <c r="K2219" t="str">
        <f>IF(SalesData[[#This Row],[Profit]]&gt;0,"Profit","Loss")</f>
        <v>Loss</v>
      </c>
      <c r="L2219" s="8">
        <f>SalesData[[#This Row],[Profit]]/SalesData[[#This Row],[Sales]]</f>
        <v>-0.19767087836809255</v>
      </c>
      <c r="M2219" t="str">
        <f>TEXT(SalesData[[#This Row],[Order_Date]],"mmm")</f>
        <v>Dec</v>
      </c>
      <c r="N2219">
        <f>YEAR(SalesData[[#This Row],[Order_Date]])</f>
        <v>2023</v>
      </c>
    </row>
    <row r="2220" spans="1:14" x14ac:dyDescent="0.3">
      <c r="A2220" t="s">
        <v>3488</v>
      </c>
      <c r="B2220" s="1">
        <v>44869</v>
      </c>
      <c r="C2220" t="s">
        <v>2448</v>
      </c>
      <c r="D2220" t="s">
        <v>28</v>
      </c>
      <c r="E2220" t="s">
        <v>56</v>
      </c>
      <c r="F2220" t="s">
        <v>95</v>
      </c>
      <c r="G2220" t="s">
        <v>711</v>
      </c>
      <c r="H2220" s="8">
        <v>1869.49</v>
      </c>
      <c r="I2220" s="8">
        <v>-363.94</v>
      </c>
      <c r="J2220" s="8">
        <v>0.16</v>
      </c>
      <c r="K2220" t="str">
        <f>IF(SalesData[[#This Row],[Profit]]&gt;0,"Profit","Loss")</f>
        <v>Loss</v>
      </c>
      <c r="L2220" s="8">
        <f>SalesData[[#This Row],[Profit]]/SalesData[[#This Row],[Sales]]</f>
        <v>-0.19467341360477991</v>
      </c>
      <c r="M2220" t="str">
        <f>TEXT(SalesData[[#This Row],[Order_Date]],"mmm")</f>
        <v>Nov</v>
      </c>
      <c r="N2220">
        <f>YEAR(SalesData[[#This Row],[Order_Date]])</f>
        <v>2022</v>
      </c>
    </row>
    <row r="2221" spans="1:14" x14ac:dyDescent="0.3">
      <c r="A2221" t="s">
        <v>3489</v>
      </c>
      <c r="B2221" s="1">
        <v>44919</v>
      </c>
      <c r="C2221" t="s">
        <v>3490</v>
      </c>
      <c r="D2221" t="s">
        <v>40</v>
      </c>
      <c r="E2221" t="s">
        <v>56</v>
      </c>
      <c r="F2221" t="s">
        <v>73</v>
      </c>
      <c r="G2221" t="s">
        <v>872</v>
      </c>
      <c r="H2221" s="8">
        <v>1063.1099999999999</v>
      </c>
      <c r="I2221" s="8">
        <v>54.28</v>
      </c>
      <c r="J2221" s="8">
        <v>0.01</v>
      </c>
      <c r="K2221" t="str">
        <f>IF(SalesData[[#This Row],[Profit]]&gt;0,"Profit","Loss")</f>
        <v>Profit</v>
      </c>
      <c r="L2221" s="8">
        <f>SalesData[[#This Row],[Profit]]/SalesData[[#This Row],[Sales]]</f>
        <v>5.1057745670720814E-2</v>
      </c>
      <c r="M2221" t="str">
        <f>TEXT(SalesData[[#This Row],[Order_Date]],"mmm")</f>
        <v>Dec</v>
      </c>
      <c r="N2221">
        <f>YEAR(SalesData[[#This Row],[Order_Date]])</f>
        <v>2022</v>
      </c>
    </row>
    <row r="2222" spans="1:14" x14ac:dyDescent="0.3">
      <c r="A2222" t="s">
        <v>3491</v>
      </c>
      <c r="B2222" s="1">
        <v>44685</v>
      </c>
      <c r="C2222" t="s">
        <v>17</v>
      </c>
      <c r="D2222" t="s">
        <v>12</v>
      </c>
      <c r="E2222" t="s">
        <v>19</v>
      </c>
      <c r="F2222" t="s">
        <v>141</v>
      </c>
      <c r="G2222" t="s">
        <v>345</v>
      </c>
      <c r="H2222" s="8">
        <v>2204.48</v>
      </c>
      <c r="I2222" s="8">
        <v>-577.99</v>
      </c>
      <c r="J2222" s="8">
        <v>0.08</v>
      </c>
      <c r="K2222" t="str">
        <f>IF(SalesData[[#This Row],[Profit]]&gt;0,"Profit","Loss")</f>
        <v>Loss</v>
      </c>
      <c r="L2222" s="8">
        <f>SalesData[[#This Row],[Profit]]/SalesData[[#This Row],[Sales]]</f>
        <v>-0.26218881550297574</v>
      </c>
      <c r="M2222" t="str">
        <f>TEXT(SalesData[[#This Row],[Order_Date]],"mmm")</f>
        <v>May</v>
      </c>
      <c r="N2222">
        <f>YEAR(SalesData[[#This Row],[Order_Date]])</f>
        <v>2022</v>
      </c>
    </row>
    <row r="2223" spans="1:14" x14ac:dyDescent="0.3">
      <c r="A2223" t="s">
        <v>3492</v>
      </c>
      <c r="B2223" s="1">
        <v>44722</v>
      </c>
      <c r="C2223" t="s">
        <v>948</v>
      </c>
      <c r="D2223" t="s">
        <v>40</v>
      </c>
      <c r="E2223" t="s">
        <v>56</v>
      </c>
      <c r="F2223" t="s">
        <v>73</v>
      </c>
      <c r="G2223" t="s">
        <v>797</v>
      </c>
      <c r="H2223" s="8">
        <v>4037.9</v>
      </c>
      <c r="I2223" s="8">
        <v>-265.77999999999997</v>
      </c>
      <c r="J2223" s="8">
        <v>0.23</v>
      </c>
      <c r="K2223" t="str">
        <f>IF(SalesData[[#This Row],[Profit]]&gt;0,"Profit","Loss")</f>
        <v>Loss</v>
      </c>
      <c r="L2223" s="8">
        <f>SalesData[[#This Row],[Profit]]/SalesData[[#This Row],[Sales]]</f>
        <v>-6.5821342777186154E-2</v>
      </c>
      <c r="M2223" t="str">
        <f>TEXT(SalesData[[#This Row],[Order_Date]],"mmm")</f>
        <v>Jun</v>
      </c>
      <c r="N2223">
        <f>YEAR(SalesData[[#This Row],[Order_Date]])</f>
        <v>2022</v>
      </c>
    </row>
    <row r="2224" spans="1:14" x14ac:dyDescent="0.3">
      <c r="A2224" t="s">
        <v>3493</v>
      </c>
      <c r="B2224" s="1">
        <v>44627</v>
      </c>
      <c r="C2224" t="s">
        <v>3494</v>
      </c>
      <c r="D2224" t="s">
        <v>18</v>
      </c>
      <c r="E2224" t="s">
        <v>19</v>
      </c>
      <c r="F2224" t="s">
        <v>29</v>
      </c>
      <c r="G2224" t="s">
        <v>395</v>
      </c>
      <c r="H2224" s="8">
        <v>2240.36</v>
      </c>
      <c r="I2224" s="8">
        <v>-62.86</v>
      </c>
      <c r="J2224" s="8">
        <v>0.04</v>
      </c>
      <c r="K2224" t="str">
        <f>IF(SalesData[[#This Row],[Profit]]&gt;0,"Profit","Loss")</f>
        <v>Loss</v>
      </c>
      <c r="L2224" s="8">
        <f>SalesData[[#This Row],[Profit]]/SalesData[[#This Row],[Sales]]</f>
        <v>-2.8057990680069273E-2</v>
      </c>
      <c r="M2224" t="str">
        <f>TEXT(SalesData[[#This Row],[Order_Date]],"mmm")</f>
        <v>Mar</v>
      </c>
      <c r="N2224">
        <f>YEAR(SalesData[[#This Row],[Order_Date]])</f>
        <v>2022</v>
      </c>
    </row>
    <row r="2225" spans="1:14" x14ac:dyDescent="0.3">
      <c r="A2225" t="s">
        <v>3495</v>
      </c>
      <c r="B2225" s="1">
        <v>44834</v>
      </c>
      <c r="C2225" t="s">
        <v>2425</v>
      </c>
      <c r="D2225" t="s">
        <v>28</v>
      </c>
      <c r="E2225" t="s">
        <v>56</v>
      </c>
      <c r="F2225" t="s">
        <v>73</v>
      </c>
      <c r="G2225" t="s">
        <v>300</v>
      </c>
      <c r="H2225" s="8">
        <v>4283.37</v>
      </c>
      <c r="I2225" s="8">
        <v>-751.52</v>
      </c>
      <c r="J2225" s="8">
        <v>0.01</v>
      </c>
      <c r="K2225" t="str">
        <f>IF(SalesData[[#This Row],[Profit]]&gt;0,"Profit","Loss")</f>
        <v>Loss</v>
      </c>
      <c r="L2225" s="8">
        <f>SalesData[[#This Row],[Profit]]/SalesData[[#This Row],[Sales]]</f>
        <v>-0.17545063816574333</v>
      </c>
      <c r="M2225" t="str">
        <f>TEXT(SalesData[[#This Row],[Order_Date]],"mmm")</f>
        <v>Sep</v>
      </c>
      <c r="N2225">
        <f>YEAR(SalesData[[#This Row],[Order_Date]])</f>
        <v>2022</v>
      </c>
    </row>
    <row r="2226" spans="1:14" x14ac:dyDescent="0.3">
      <c r="A2226" t="s">
        <v>3496</v>
      </c>
      <c r="B2226" s="1">
        <v>44631</v>
      </c>
      <c r="C2226" t="s">
        <v>1757</v>
      </c>
      <c r="D2226" t="s">
        <v>12</v>
      </c>
      <c r="E2226" t="s">
        <v>56</v>
      </c>
      <c r="F2226" t="s">
        <v>95</v>
      </c>
      <c r="G2226" t="s">
        <v>872</v>
      </c>
      <c r="H2226" s="8">
        <v>4828.8999999999996</v>
      </c>
      <c r="I2226" s="8">
        <v>-1811.03</v>
      </c>
      <c r="J2226" s="8">
        <v>0.19</v>
      </c>
      <c r="K2226" t="str">
        <f>IF(SalesData[[#This Row],[Profit]]&gt;0,"Profit","Loss")</f>
        <v>Loss</v>
      </c>
      <c r="L2226" s="8">
        <f>SalesData[[#This Row],[Profit]]/SalesData[[#This Row],[Sales]]</f>
        <v>-0.37503986415125601</v>
      </c>
      <c r="M2226" t="str">
        <f>TEXT(SalesData[[#This Row],[Order_Date]],"mmm")</f>
        <v>Mar</v>
      </c>
      <c r="N2226">
        <f>YEAR(SalesData[[#This Row],[Order_Date]])</f>
        <v>2022</v>
      </c>
    </row>
    <row r="2227" spans="1:14" x14ac:dyDescent="0.3">
      <c r="A2227" t="s">
        <v>3497</v>
      </c>
      <c r="B2227" s="1">
        <v>44582</v>
      </c>
      <c r="C2227" t="s">
        <v>2840</v>
      </c>
      <c r="D2227" t="s">
        <v>40</v>
      </c>
      <c r="E2227" t="s">
        <v>13</v>
      </c>
      <c r="F2227" t="s">
        <v>36</v>
      </c>
      <c r="G2227" t="s">
        <v>1128</v>
      </c>
      <c r="H2227" s="8">
        <v>3366.03</v>
      </c>
      <c r="I2227" s="8">
        <v>-298.26</v>
      </c>
      <c r="J2227" s="8">
        <v>0.04</v>
      </c>
      <c r="K2227" t="str">
        <f>IF(SalesData[[#This Row],[Profit]]&gt;0,"Profit","Loss")</f>
        <v>Loss</v>
      </c>
      <c r="L2227" s="8">
        <f>SalesData[[#This Row],[Profit]]/SalesData[[#This Row],[Sales]]</f>
        <v>-8.8608835928378524E-2</v>
      </c>
      <c r="M2227" t="str">
        <f>TEXT(SalesData[[#This Row],[Order_Date]],"mmm")</f>
        <v>Jan</v>
      </c>
      <c r="N2227">
        <f>YEAR(SalesData[[#This Row],[Order_Date]])</f>
        <v>2022</v>
      </c>
    </row>
    <row r="2228" spans="1:14" x14ac:dyDescent="0.3">
      <c r="A2228" t="s">
        <v>3498</v>
      </c>
      <c r="B2228" s="1">
        <v>45138</v>
      </c>
      <c r="C2228" t="s">
        <v>727</v>
      </c>
      <c r="D2228" t="s">
        <v>40</v>
      </c>
      <c r="E2228" t="s">
        <v>56</v>
      </c>
      <c r="F2228" t="s">
        <v>73</v>
      </c>
      <c r="G2228" t="s">
        <v>279</v>
      </c>
      <c r="H2228" s="8">
        <v>3864.54</v>
      </c>
      <c r="I2228" s="8">
        <v>472.74</v>
      </c>
      <c r="J2228" s="8">
        <v>0.17</v>
      </c>
      <c r="K2228" t="str">
        <f>IF(SalesData[[#This Row],[Profit]]&gt;0,"Profit","Loss")</f>
        <v>Profit</v>
      </c>
      <c r="L2228" s="8">
        <f>SalesData[[#This Row],[Profit]]/SalesData[[#This Row],[Sales]]</f>
        <v>0.12232762502134795</v>
      </c>
      <c r="M2228" t="str">
        <f>TEXT(SalesData[[#This Row],[Order_Date]],"mmm")</f>
        <v>Jul</v>
      </c>
      <c r="N2228">
        <f>YEAR(SalesData[[#This Row],[Order_Date]])</f>
        <v>2023</v>
      </c>
    </row>
    <row r="2229" spans="1:14" x14ac:dyDescent="0.3">
      <c r="A2229" t="s">
        <v>3499</v>
      </c>
      <c r="B2229" s="1">
        <v>44738</v>
      </c>
      <c r="C2229" t="s">
        <v>1779</v>
      </c>
      <c r="D2229" t="s">
        <v>40</v>
      </c>
      <c r="E2229" t="s">
        <v>56</v>
      </c>
      <c r="F2229" t="s">
        <v>95</v>
      </c>
      <c r="G2229" t="s">
        <v>680</v>
      </c>
      <c r="H2229" s="8">
        <v>1321.52</v>
      </c>
      <c r="I2229" s="8">
        <v>-608.6</v>
      </c>
      <c r="J2229" s="8">
        <v>0.3</v>
      </c>
      <c r="K2229" t="str">
        <f>IF(SalesData[[#This Row],[Profit]]&gt;0,"Profit","Loss")</f>
        <v>Loss</v>
      </c>
      <c r="L2229" s="8">
        <f>SalesData[[#This Row],[Profit]]/SalesData[[#This Row],[Sales]]</f>
        <v>-0.46053029844421578</v>
      </c>
      <c r="M2229" t="str">
        <f>TEXT(SalesData[[#This Row],[Order_Date]],"mmm")</f>
        <v>Jun</v>
      </c>
      <c r="N2229">
        <f>YEAR(SalesData[[#This Row],[Order_Date]])</f>
        <v>2022</v>
      </c>
    </row>
    <row r="2230" spans="1:14" x14ac:dyDescent="0.3">
      <c r="A2230" t="s">
        <v>3500</v>
      </c>
      <c r="B2230" s="1">
        <v>45174</v>
      </c>
      <c r="C2230" t="s">
        <v>1023</v>
      </c>
      <c r="D2230" t="s">
        <v>28</v>
      </c>
      <c r="E2230" t="s">
        <v>13</v>
      </c>
      <c r="F2230" t="s">
        <v>24</v>
      </c>
      <c r="G2230" t="s">
        <v>957</v>
      </c>
      <c r="H2230" s="8">
        <v>285.7</v>
      </c>
      <c r="I2230" s="8">
        <v>2.27</v>
      </c>
      <c r="J2230" s="8">
        <v>0.18</v>
      </c>
      <c r="K2230" t="str">
        <f>IF(SalesData[[#This Row],[Profit]]&gt;0,"Profit","Loss")</f>
        <v>Profit</v>
      </c>
      <c r="L2230" s="8">
        <f>SalesData[[#This Row],[Profit]]/SalesData[[#This Row],[Sales]]</f>
        <v>7.9453972698634943E-3</v>
      </c>
      <c r="M2230" t="str">
        <f>TEXT(SalesData[[#This Row],[Order_Date]],"mmm")</f>
        <v>Sep</v>
      </c>
      <c r="N2230">
        <f>YEAR(SalesData[[#This Row],[Order_Date]])</f>
        <v>2023</v>
      </c>
    </row>
    <row r="2231" spans="1:14" x14ac:dyDescent="0.3">
      <c r="A2231" t="s">
        <v>3501</v>
      </c>
      <c r="B2231" s="1">
        <v>44765</v>
      </c>
      <c r="C2231" t="s">
        <v>2693</v>
      </c>
      <c r="D2231" t="s">
        <v>28</v>
      </c>
      <c r="E2231" t="s">
        <v>13</v>
      </c>
      <c r="F2231" t="s">
        <v>24</v>
      </c>
      <c r="G2231" t="s">
        <v>47</v>
      </c>
      <c r="H2231" s="8">
        <v>4949.5200000000004</v>
      </c>
      <c r="I2231" s="8">
        <v>-5.86</v>
      </c>
      <c r="J2231" s="8">
        <v>0.19</v>
      </c>
      <c r="K2231" t="str">
        <f>IF(SalesData[[#This Row],[Profit]]&gt;0,"Profit","Loss")</f>
        <v>Loss</v>
      </c>
      <c r="L2231" s="8">
        <f>SalesData[[#This Row],[Profit]]/SalesData[[#This Row],[Sales]]</f>
        <v>-1.1839531914205823E-3</v>
      </c>
      <c r="M2231" t="str">
        <f>TEXT(SalesData[[#This Row],[Order_Date]],"mmm")</f>
        <v>Jul</v>
      </c>
      <c r="N2231">
        <f>YEAR(SalesData[[#This Row],[Order_Date]])</f>
        <v>2022</v>
      </c>
    </row>
    <row r="2232" spans="1:14" x14ac:dyDescent="0.3">
      <c r="A2232" t="s">
        <v>3502</v>
      </c>
      <c r="B2232" s="1">
        <v>44982</v>
      </c>
      <c r="C2232" t="s">
        <v>2025</v>
      </c>
      <c r="D2232" t="s">
        <v>12</v>
      </c>
      <c r="E2232" t="s">
        <v>56</v>
      </c>
      <c r="F2232" t="s">
        <v>95</v>
      </c>
      <c r="G2232" t="s">
        <v>2014</v>
      </c>
      <c r="H2232" s="8">
        <v>1972.88</v>
      </c>
      <c r="I2232" s="8">
        <v>-383.59</v>
      </c>
      <c r="J2232" s="8">
        <v>0.17</v>
      </c>
      <c r="K2232" t="str">
        <f>IF(SalesData[[#This Row],[Profit]]&gt;0,"Profit","Loss")</f>
        <v>Loss</v>
      </c>
      <c r="L2232" s="8">
        <f>SalesData[[#This Row],[Profit]]/SalesData[[#This Row],[Sales]]</f>
        <v>-0.19443149101820686</v>
      </c>
      <c r="M2232" t="str">
        <f>TEXT(SalesData[[#This Row],[Order_Date]],"mmm")</f>
        <v>Feb</v>
      </c>
      <c r="N2232">
        <f>YEAR(SalesData[[#This Row],[Order_Date]])</f>
        <v>2023</v>
      </c>
    </row>
    <row r="2233" spans="1:14" x14ac:dyDescent="0.3">
      <c r="A2233" t="s">
        <v>3503</v>
      </c>
      <c r="B2233" s="1">
        <v>44834</v>
      </c>
      <c r="C2233" t="s">
        <v>1364</v>
      </c>
      <c r="D2233" t="s">
        <v>18</v>
      </c>
      <c r="E2233" t="s">
        <v>56</v>
      </c>
      <c r="F2233" t="s">
        <v>95</v>
      </c>
      <c r="G2233" t="s">
        <v>395</v>
      </c>
      <c r="H2233" s="8">
        <v>1504.61</v>
      </c>
      <c r="I2233" s="8">
        <v>117.26</v>
      </c>
      <c r="J2233" s="8">
        <v>0.01</v>
      </c>
      <c r="K2233" t="str">
        <f>IF(SalesData[[#This Row],[Profit]]&gt;0,"Profit","Loss")</f>
        <v>Profit</v>
      </c>
      <c r="L2233" s="8">
        <f>SalesData[[#This Row],[Profit]]/SalesData[[#This Row],[Sales]]</f>
        <v>7.7933816736562966E-2</v>
      </c>
      <c r="M2233" t="str">
        <f>TEXT(SalesData[[#This Row],[Order_Date]],"mmm")</f>
        <v>Sep</v>
      </c>
      <c r="N2233">
        <f>YEAR(SalesData[[#This Row],[Order_Date]])</f>
        <v>2022</v>
      </c>
    </row>
    <row r="2234" spans="1:14" x14ac:dyDescent="0.3">
      <c r="A2234" t="s">
        <v>3504</v>
      </c>
      <c r="B2234" s="1">
        <v>45089</v>
      </c>
      <c r="C2234" t="s">
        <v>1976</v>
      </c>
      <c r="D2234" t="s">
        <v>40</v>
      </c>
      <c r="E2234" t="s">
        <v>56</v>
      </c>
      <c r="F2234" t="s">
        <v>95</v>
      </c>
      <c r="G2234" t="s">
        <v>669</v>
      </c>
      <c r="H2234" s="8">
        <v>2240.7800000000002</v>
      </c>
      <c r="I2234" s="8">
        <v>343.58</v>
      </c>
      <c r="J2234" s="8">
        <v>0.06</v>
      </c>
      <c r="K2234" t="str">
        <f>IF(SalesData[[#This Row],[Profit]]&gt;0,"Profit","Loss")</f>
        <v>Profit</v>
      </c>
      <c r="L2234" s="8">
        <f>SalesData[[#This Row],[Profit]]/SalesData[[#This Row],[Sales]]</f>
        <v>0.1533305366881175</v>
      </c>
      <c r="M2234" t="str">
        <f>TEXT(SalesData[[#This Row],[Order_Date]],"mmm")</f>
        <v>Jun</v>
      </c>
      <c r="N2234">
        <f>YEAR(SalesData[[#This Row],[Order_Date]])</f>
        <v>2023</v>
      </c>
    </row>
    <row r="2235" spans="1:14" x14ac:dyDescent="0.3">
      <c r="A2235" t="s">
        <v>3505</v>
      </c>
      <c r="B2235" s="1">
        <v>45290</v>
      </c>
      <c r="C2235" t="s">
        <v>1181</v>
      </c>
      <c r="D2235" t="s">
        <v>18</v>
      </c>
      <c r="E2235" t="s">
        <v>13</v>
      </c>
      <c r="F2235" t="s">
        <v>14</v>
      </c>
      <c r="G2235" t="s">
        <v>2041</v>
      </c>
      <c r="H2235" s="8">
        <v>4978.79</v>
      </c>
      <c r="I2235" s="8">
        <v>-1599.21</v>
      </c>
      <c r="J2235" s="8">
        <v>0.13</v>
      </c>
      <c r="K2235" t="str">
        <f>IF(SalesData[[#This Row],[Profit]]&gt;0,"Profit","Loss")</f>
        <v>Loss</v>
      </c>
      <c r="L2235" s="8">
        <f>SalesData[[#This Row],[Profit]]/SalesData[[#This Row],[Sales]]</f>
        <v>-0.32120454969982665</v>
      </c>
      <c r="M2235" t="str">
        <f>TEXT(SalesData[[#This Row],[Order_Date]],"mmm")</f>
        <v>Dec</v>
      </c>
      <c r="N2235">
        <f>YEAR(SalesData[[#This Row],[Order_Date]])</f>
        <v>2023</v>
      </c>
    </row>
    <row r="2236" spans="1:14" x14ac:dyDescent="0.3">
      <c r="A2236" t="s">
        <v>3506</v>
      </c>
      <c r="B2236" s="1">
        <v>45033</v>
      </c>
      <c r="C2236" t="s">
        <v>107</v>
      </c>
      <c r="D2236" t="s">
        <v>18</v>
      </c>
      <c r="E2236" t="s">
        <v>19</v>
      </c>
      <c r="F2236" t="s">
        <v>141</v>
      </c>
      <c r="G2236" t="s">
        <v>833</v>
      </c>
      <c r="H2236" s="8">
        <v>783.88</v>
      </c>
      <c r="I2236" s="8">
        <v>-179.83</v>
      </c>
      <c r="J2236" s="8">
        <v>0.06</v>
      </c>
      <c r="K2236" t="str">
        <f>IF(SalesData[[#This Row],[Profit]]&gt;0,"Profit","Loss")</f>
        <v>Loss</v>
      </c>
      <c r="L2236" s="8">
        <f>SalesData[[#This Row],[Profit]]/SalesData[[#This Row],[Sales]]</f>
        <v>-0.2294101137929275</v>
      </c>
      <c r="M2236" t="str">
        <f>TEXT(SalesData[[#This Row],[Order_Date]],"mmm")</f>
        <v>Apr</v>
      </c>
      <c r="N2236">
        <f>YEAR(SalesData[[#This Row],[Order_Date]])</f>
        <v>2023</v>
      </c>
    </row>
    <row r="2237" spans="1:14" x14ac:dyDescent="0.3">
      <c r="A2237" t="s">
        <v>3507</v>
      </c>
      <c r="B2237" s="1">
        <v>44590</v>
      </c>
      <c r="C2237" t="s">
        <v>1169</v>
      </c>
      <c r="D2237" t="s">
        <v>40</v>
      </c>
      <c r="E2237" t="s">
        <v>56</v>
      </c>
      <c r="F2237" t="s">
        <v>95</v>
      </c>
      <c r="G2237" t="s">
        <v>1483</v>
      </c>
      <c r="H2237" s="8">
        <v>369.12</v>
      </c>
      <c r="I2237" s="8">
        <v>55.08</v>
      </c>
      <c r="J2237" s="8">
        <v>0.05</v>
      </c>
      <c r="K2237" t="str">
        <f>IF(SalesData[[#This Row],[Profit]]&gt;0,"Profit","Loss")</f>
        <v>Profit</v>
      </c>
      <c r="L2237" s="8">
        <f>SalesData[[#This Row],[Profit]]/SalesData[[#This Row],[Sales]]</f>
        <v>0.14921976592977892</v>
      </c>
      <c r="M2237" t="str">
        <f>TEXT(SalesData[[#This Row],[Order_Date]],"mmm")</f>
        <v>Jan</v>
      </c>
      <c r="N2237">
        <f>YEAR(SalesData[[#This Row],[Order_Date]])</f>
        <v>2022</v>
      </c>
    </row>
    <row r="2238" spans="1:14" x14ac:dyDescent="0.3">
      <c r="A2238" t="s">
        <v>3508</v>
      </c>
      <c r="B2238" s="1">
        <v>45147</v>
      </c>
      <c r="C2238" t="s">
        <v>1936</v>
      </c>
      <c r="D2238" t="s">
        <v>28</v>
      </c>
      <c r="E2238" t="s">
        <v>13</v>
      </c>
      <c r="F2238" t="s">
        <v>14</v>
      </c>
      <c r="G2238" t="s">
        <v>2289</v>
      </c>
      <c r="H2238" s="8">
        <v>1252.53</v>
      </c>
      <c r="I2238" s="8">
        <v>50.8</v>
      </c>
      <c r="J2238" s="8">
        <v>0.21</v>
      </c>
      <c r="K2238" t="str">
        <f>IF(SalesData[[#This Row],[Profit]]&gt;0,"Profit","Loss")</f>
        <v>Profit</v>
      </c>
      <c r="L2238" s="8">
        <f>SalesData[[#This Row],[Profit]]/SalesData[[#This Row],[Sales]]</f>
        <v>4.0557910788563946E-2</v>
      </c>
      <c r="M2238" t="str">
        <f>TEXT(SalesData[[#This Row],[Order_Date]],"mmm")</f>
        <v>Aug</v>
      </c>
      <c r="N2238">
        <f>YEAR(SalesData[[#This Row],[Order_Date]])</f>
        <v>2023</v>
      </c>
    </row>
    <row r="2239" spans="1:14" x14ac:dyDescent="0.3">
      <c r="A2239" t="s">
        <v>3509</v>
      </c>
      <c r="B2239" s="1">
        <v>45112</v>
      </c>
      <c r="C2239" t="s">
        <v>2314</v>
      </c>
      <c r="D2239" t="s">
        <v>40</v>
      </c>
      <c r="E2239" t="s">
        <v>56</v>
      </c>
      <c r="F2239" t="s">
        <v>57</v>
      </c>
      <c r="G2239" t="s">
        <v>83</v>
      </c>
      <c r="H2239" s="8">
        <v>509.15</v>
      </c>
      <c r="I2239" s="8">
        <v>-161.16999999999999</v>
      </c>
      <c r="J2239" s="8">
        <v>0.13</v>
      </c>
      <c r="K2239" t="str">
        <f>IF(SalesData[[#This Row],[Profit]]&gt;0,"Profit","Loss")</f>
        <v>Loss</v>
      </c>
      <c r="L2239" s="8">
        <f>SalesData[[#This Row],[Profit]]/SalesData[[#This Row],[Sales]]</f>
        <v>-0.31654718648728269</v>
      </c>
      <c r="M2239" t="str">
        <f>TEXT(SalesData[[#This Row],[Order_Date]],"mmm")</f>
        <v>Jul</v>
      </c>
      <c r="N2239">
        <f>YEAR(SalesData[[#This Row],[Order_Date]])</f>
        <v>2023</v>
      </c>
    </row>
    <row r="2240" spans="1:14" x14ac:dyDescent="0.3">
      <c r="A2240" t="s">
        <v>3510</v>
      </c>
      <c r="B2240" s="1">
        <v>45121</v>
      </c>
      <c r="C2240" t="s">
        <v>3511</v>
      </c>
      <c r="D2240" t="s">
        <v>40</v>
      </c>
      <c r="E2240" t="s">
        <v>13</v>
      </c>
      <c r="F2240" t="s">
        <v>24</v>
      </c>
      <c r="G2240" t="s">
        <v>184</v>
      </c>
      <c r="H2240" s="8">
        <v>249.63</v>
      </c>
      <c r="I2240" s="8">
        <v>-101.76</v>
      </c>
      <c r="J2240" s="8">
        <v>0.25</v>
      </c>
      <c r="K2240" t="str">
        <f>IF(SalesData[[#This Row],[Profit]]&gt;0,"Profit","Loss")</f>
        <v>Loss</v>
      </c>
      <c r="L2240" s="8">
        <f>SalesData[[#This Row],[Profit]]/SalesData[[#This Row],[Sales]]</f>
        <v>-0.40764331210191085</v>
      </c>
      <c r="M2240" t="str">
        <f>TEXT(SalesData[[#This Row],[Order_Date]],"mmm")</f>
        <v>Jul</v>
      </c>
      <c r="N2240">
        <f>YEAR(SalesData[[#This Row],[Order_Date]])</f>
        <v>2023</v>
      </c>
    </row>
    <row r="2241" spans="1:14" x14ac:dyDescent="0.3">
      <c r="A2241" t="s">
        <v>3512</v>
      </c>
      <c r="B2241" s="1">
        <v>44926</v>
      </c>
      <c r="C2241" t="s">
        <v>3427</v>
      </c>
      <c r="D2241" t="s">
        <v>18</v>
      </c>
      <c r="E2241" t="s">
        <v>13</v>
      </c>
      <c r="F2241" t="s">
        <v>14</v>
      </c>
      <c r="G2241" t="s">
        <v>840</v>
      </c>
      <c r="H2241" s="8">
        <v>887.51</v>
      </c>
      <c r="I2241" s="8">
        <v>291.18</v>
      </c>
      <c r="J2241" s="8">
        <v>0.04</v>
      </c>
      <c r="K2241" t="str">
        <f>IF(SalesData[[#This Row],[Profit]]&gt;0,"Profit","Loss")</f>
        <v>Profit</v>
      </c>
      <c r="L2241" s="8">
        <f>SalesData[[#This Row],[Profit]]/SalesData[[#This Row],[Sales]]</f>
        <v>0.32808644409640458</v>
      </c>
      <c r="M2241" t="str">
        <f>TEXT(SalesData[[#This Row],[Order_Date]],"mmm")</f>
        <v>Dec</v>
      </c>
      <c r="N2241">
        <f>YEAR(SalesData[[#This Row],[Order_Date]])</f>
        <v>2022</v>
      </c>
    </row>
    <row r="2242" spans="1:14" x14ac:dyDescent="0.3">
      <c r="A2242" t="s">
        <v>3513</v>
      </c>
      <c r="B2242" s="1">
        <v>44625</v>
      </c>
      <c r="C2242" t="s">
        <v>597</v>
      </c>
      <c r="D2242" t="s">
        <v>40</v>
      </c>
      <c r="E2242" t="s">
        <v>19</v>
      </c>
      <c r="F2242" t="s">
        <v>141</v>
      </c>
      <c r="G2242" t="s">
        <v>74</v>
      </c>
      <c r="H2242" s="8">
        <v>1931.62</v>
      </c>
      <c r="I2242" s="8">
        <v>-302.38</v>
      </c>
      <c r="J2242" s="8">
        <v>0.28000000000000003</v>
      </c>
      <c r="K2242" t="str">
        <f>IF(SalesData[[#This Row],[Profit]]&gt;0,"Profit","Loss")</f>
        <v>Loss</v>
      </c>
      <c r="L2242" s="8">
        <f>SalesData[[#This Row],[Profit]]/SalesData[[#This Row],[Sales]]</f>
        <v>-0.15654217703274972</v>
      </c>
      <c r="M2242" t="str">
        <f>TEXT(SalesData[[#This Row],[Order_Date]],"mmm")</f>
        <v>Mar</v>
      </c>
      <c r="N2242">
        <f>YEAR(SalesData[[#This Row],[Order_Date]])</f>
        <v>2022</v>
      </c>
    </row>
    <row r="2243" spans="1:14" x14ac:dyDescent="0.3">
      <c r="A2243" t="s">
        <v>3514</v>
      </c>
      <c r="B2243" s="1">
        <v>44746</v>
      </c>
      <c r="C2243" t="s">
        <v>2333</v>
      </c>
      <c r="D2243" t="s">
        <v>28</v>
      </c>
      <c r="E2243" t="s">
        <v>56</v>
      </c>
      <c r="F2243" t="s">
        <v>95</v>
      </c>
      <c r="G2243" t="s">
        <v>239</v>
      </c>
      <c r="H2243" s="8">
        <v>2424.11</v>
      </c>
      <c r="I2243" s="8">
        <v>-687.92</v>
      </c>
      <c r="J2243" s="8">
        <v>0.14000000000000001</v>
      </c>
      <c r="K2243" t="str">
        <f>IF(SalesData[[#This Row],[Profit]]&gt;0,"Profit","Loss")</f>
        <v>Loss</v>
      </c>
      <c r="L2243" s="8">
        <f>SalesData[[#This Row],[Profit]]/SalesData[[#This Row],[Sales]]</f>
        <v>-0.28378250161915092</v>
      </c>
      <c r="M2243" t="str">
        <f>TEXT(SalesData[[#This Row],[Order_Date]],"mmm")</f>
        <v>Jul</v>
      </c>
      <c r="N2243">
        <f>YEAR(SalesData[[#This Row],[Order_Date]])</f>
        <v>2022</v>
      </c>
    </row>
    <row r="2244" spans="1:14" x14ac:dyDescent="0.3">
      <c r="A2244" t="s">
        <v>3515</v>
      </c>
      <c r="B2244" s="1">
        <v>44648</v>
      </c>
      <c r="C2244" t="s">
        <v>376</v>
      </c>
      <c r="D2244" t="s">
        <v>28</v>
      </c>
      <c r="E2244" t="s">
        <v>56</v>
      </c>
      <c r="F2244" t="s">
        <v>95</v>
      </c>
      <c r="G2244" t="s">
        <v>187</v>
      </c>
      <c r="H2244" s="8">
        <v>3018.83</v>
      </c>
      <c r="I2244" s="8">
        <v>479.3</v>
      </c>
      <c r="J2244" s="8">
        <v>0.03</v>
      </c>
      <c r="K2244" t="str">
        <f>IF(SalesData[[#This Row],[Profit]]&gt;0,"Profit","Loss")</f>
        <v>Profit</v>
      </c>
      <c r="L2244" s="8">
        <f>SalesData[[#This Row],[Profit]]/SalesData[[#This Row],[Sales]]</f>
        <v>0.15877011954962686</v>
      </c>
      <c r="M2244" t="str">
        <f>TEXT(SalesData[[#This Row],[Order_Date]],"mmm")</f>
        <v>Mar</v>
      </c>
      <c r="N2244">
        <f>YEAR(SalesData[[#This Row],[Order_Date]])</f>
        <v>2022</v>
      </c>
    </row>
    <row r="2245" spans="1:14" x14ac:dyDescent="0.3">
      <c r="A2245" t="s">
        <v>3516</v>
      </c>
      <c r="B2245" s="1">
        <v>45078</v>
      </c>
      <c r="C2245" t="s">
        <v>1987</v>
      </c>
      <c r="D2245" t="s">
        <v>28</v>
      </c>
      <c r="E2245" t="s">
        <v>13</v>
      </c>
      <c r="F2245" t="s">
        <v>36</v>
      </c>
      <c r="G2245" t="s">
        <v>1279</v>
      </c>
      <c r="H2245" s="8">
        <v>3978.17</v>
      </c>
      <c r="I2245" s="8">
        <v>-500.91</v>
      </c>
      <c r="J2245" s="8">
        <v>0.18</v>
      </c>
      <c r="K2245" t="str">
        <f>IF(SalesData[[#This Row],[Profit]]&gt;0,"Profit","Loss")</f>
        <v>Loss</v>
      </c>
      <c r="L2245" s="8">
        <f>SalesData[[#This Row],[Profit]]/SalesData[[#This Row],[Sales]]</f>
        <v>-0.12591467936262152</v>
      </c>
      <c r="M2245" t="str">
        <f>TEXT(SalesData[[#This Row],[Order_Date]],"mmm")</f>
        <v>Jun</v>
      </c>
      <c r="N2245">
        <f>YEAR(SalesData[[#This Row],[Order_Date]])</f>
        <v>2023</v>
      </c>
    </row>
    <row r="2246" spans="1:14" x14ac:dyDescent="0.3">
      <c r="A2246" t="s">
        <v>3517</v>
      </c>
      <c r="B2246" s="1">
        <v>45242</v>
      </c>
      <c r="C2246" t="s">
        <v>3074</v>
      </c>
      <c r="D2246" t="s">
        <v>12</v>
      </c>
      <c r="E2246" t="s">
        <v>19</v>
      </c>
      <c r="F2246" t="s">
        <v>141</v>
      </c>
      <c r="G2246" t="s">
        <v>1849</v>
      </c>
      <c r="H2246" s="8">
        <v>4722.0200000000004</v>
      </c>
      <c r="I2246" s="8">
        <v>513.55999999999995</v>
      </c>
      <c r="J2246" s="8">
        <v>0.2</v>
      </c>
      <c r="K2246" t="str">
        <f>IF(SalesData[[#This Row],[Profit]]&gt;0,"Profit","Loss")</f>
        <v>Profit</v>
      </c>
      <c r="L2246" s="8">
        <f>SalesData[[#This Row],[Profit]]/SalesData[[#This Row],[Sales]]</f>
        <v>0.10875853977746809</v>
      </c>
      <c r="M2246" t="str">
        <f>TEXT(SalesData[[#This Row],[Order_Date]],"mmm")</f>
        <v>Nov</v>
      </c>
      <c r="N2246">
        <f>YEAR(SalesData[[#This Row],[Order_Date]])</f>
        <v>2023</v>
      </c>
    </row>
    <row r="2247" spans="1:14" x14ac:dyDescent="0.3">
      <c r="A2247" t="s">
        <v>3518</v>
      </c>
      <c r="B2247" s="1">
        <v>44652</v>
      </c>
      <c r="C2247" t="s">
        <v>171</v>
      </c>
      <c r="D2247" t="s">
        <v>28</v>
      </c>
      <c r="E2247" t="s">
        <v>56</v>
      </c>
      <c r="F2247" t="s">
        <v>73</v>
      </c>
      <c r="G2247" t="s">
        <v>67</v>
      </c>
      <c r="H2247" s="8">
        <v>1837.74</v>
      </c>
      <c r="I2247" s="8">
        <v>-468.27</v>
      </c>
      <c r="J2247" s="8">
        <v>0.21</v>
      </c>
      <c r="K2247" t="str">
        <f>IF(SalesData[[#This Row],[Profit]]&gt;0,"Profit","Loss")</f>
        <v>Loss</v>
      </c>
      <c r="L2247" s="8">
        <f>SalesData[[#This Row],[Profit]]/SalesData[[#This Row],[Sales]]</f>
        <v>-0.25480753534232264</v>
      </c>
      <c r="M2247" t="str">
        <f>TEXT(SalesData[[#This Row],[Order_Date]],"mmm")</f>
        <v>Apr</v>
      </c>
      <c r="N2247">
        <f>YEAR(SalesData[[#This Row],[Order_Date]])</f>
        <v>2022</v>
      </c>
    </row>
    <row r="2248" spans="1:14" x14ac:dyDescent="0.3">
      <c r="A2248" t="s">
        <v>3519</v>
      </c>
      <c r="B2248" s="1">
        <v>44743</v>
      </c>
      <c r="C2248" t="s">
        <v>1959</v>
      </c>
      <c r="D2248" t="s">
        <v>40</v>
      </c>
      <c r="E2248" t="s">
        <v>19</v>
      </c>
      <c r="F2248" t="s">
        <v>29</v>
      </c>
      <c r="G2248" t="s">
        <v>187</v>
      </c>
      <c r="H2248" s="8">
        <v>315.7</v>
      </c>
      <c r="I2248" s="8">
        <v>-26.71</v>
      </c>
      <c r="J2248" s="8">
        <v>0.27</v>
      </c>
      <c r="K2248" t="str">
        <f>IF(SalesData[[#This Row],[Profit]]&gt;0,"Profit","Loss")</f>
        <v>Loss</v>
      </c>
      <c r="L2248" s="8">
        <f>SalesData[[#This Row],[Profit]]/SalesData[[#This Row],[Sales]]</f>
        <v>-8.4605638264174859E-2</v>
      </c>
      <c r="M2248" t="str">
        <f>TEXT(SalesData[[#This Row],[Order_Date]],"mmm")</f>
        <v>Jul</v>
      </c>
      <c r="N2248">
        <f>YEAR(SalesData[[#This Row],[Order_Date]])</f>
        <v>2022</v>
      </c>
    </row>
    <row r="2249" spans="1:14" x14ac:dyDescent="0.3">
      <c r="A2249" t="s">
        <v>3520</v>
      </c>
      <c r="B2249" s="1">
        <v>44671</v>
      </c>
      <c r="C2249" t="s">
        <v>2940</v>
      </c>
      <c r="D2249" t="s">
        <v>28</v>
      </c>
      <c r="E2249" t="s">
        <v>13</v>
      </c>
      <c r="F2249" t="s">
        <v>24</v>
      </c>
      <c r="G2249" t="s">
        <v>1644</v>
      </c>
      <c r="H2249" s="8">
        <v>2835.12</v>
      </c>
      <c r="I2249" s="8">
        <v>-208.57</v>
      </c>
      <c r="J2249" s="8">
        <v>0.1</v>
      </c>
      <c r="K2249" t="str">
        <f>IF(SalesData[[#This Row],[Profit]]&gt;0,"Profit","Loss")</f>
        <v>Loss</v>
      </c>
      <c r="L2249" s="8">
        <f>SalesData[[#This Row],[Profit]]/SalesData[[#This Row],[Sales]]</f>
        <v>-7.3566550974914643E-2</v>
      </c>
      <c r="M2249" t="str">
        <f>TEXT(SalesData[[#This Row],[Order_Date]],"mmm")</f>
        <v>Apr</v>
      </c>
      <c r="N2249">
        <f>YEAR(SalesData[[#This Row],[Order_Date]])</f>
        <v>2022</v>
      </c>
    </row>
    <row r="2250" spans="1:14" x14ac:dyDescent="0.3">
      <c r="A2250" t="s">
        <v>3521</v>
      </c>
      <c r="B2250" s="1">
        <v>45181</v>
      </c>
      <c r="C2250" t="s">
        <v>1189</v>
      </c>
      <c r="D2250" t="s">
        <v>40</v>
      </c>
      <c r="E2250" t="s">
        <v>13</v>
      </c>
      <c r="F2250" t="s">
        <v>24</v>
      </c>
      <c r="G2250" t="s">
        <v>1780</v>
      </c>
      <c r="H2250" s="8">
        <v>3241.77</v>
      </c>
      <c r="I2250" s="8">
        <v>434.39</v>
      </c>
      <c r="J2250" s="8">
        <v>0.05</v>
      </c>
      <c r="K2250" t="str">
        <f>IF(SalesData[[#This Row],[Profit]]&gt;0,"Profit","Loss")</f>
        <v>Profit</v>
      </c>
      <c r="L2250" s="8">
        <f>SalesData[[#This Row],[Profit]]/SalesData[[#This Row],[Sales]]</f>
        <v>0.13399778516057587</v>
      </c>
      <c r="M2250" t="str">
        <f>TEXT(SalesData[[#This Row],[Order_Date]],"mmm")</f>
        <v>Sep</v>
      </c>
      <c r="N2250">
        <f>YEAR(SalesData[[#This Row],[Order_Date]])</f>
        <v>2023</v>
      </c>
    </row>
    <row r="2251" spans="1:14" x14ac:dyDescent="0.3">
      <c r="A2251" t="s">
        <v>3522</v>
      </c>
      <c r="B2251" s="1">
        <v>45188</v>
      </c>
      <c r="C2251" t="s">
        <v>3523</v>
      </c>
      <c r="D2251" t="s">
        <v>12</v>
      </c>
      <c r="E2251" t="s">
        <v>13</v>
      </c>
      <c r="F2251" t="s">
        <v>36</v>
      </c>
      <c r="G2251" t="s">
        <v>1849</v>
      </c>
      <c r="H2251" s="8">
        <v>1980.28</v>
      </c>
      <c r="I2251" s="8">
        <v>-220.01</v>
      </c>
      <c r="J2251" s="8">
        <v>7.0000000000000007E-2</v>
      </c>
      <c r="K2251" t="str">
        <f>IF(SalesData[[#This Row],[Profit]]&gt;0,"Profit","Loss")</f>
        <v>Loss</v>
      </c>
      <c r="L2251" s="8">
        <f>SalesData[[#This Row],[Profit]]/SalesData[[#This Row],[Sales]]</f>
        <v>-0.11110045044135172</v>
      </c>
      <c r="M2251" t="str">
        <f>TEXT(SalesData[[#This Row],[Order_Date]],"mmm")</f>
        <v>Sep</v>
      </c>
      <c r="N2251">
        <f>YEAR(SalesData[[#This Row],[Order_Date]])</f>
        <v>2023</v>
      </c>
    </row>
    <row r="2252" spans="1:14" x14ac:dyDescent="0.3">
      <c r="A2252" t="s">
        <v>3524</v>
      </c>
      <c r="B2252" s="1">
        <v>45136</v>
      </c>
      <c r="C2252" t="s">
        <v>1069</v>
      </c>
      <c r="D2252" t="s">
        <v>12</v>
      </c>
      <c r="E2252" t="s">
        <v>19</v>
      </c>
      <c r="F2252" t="s">
        <v>141</v>
      </c>
      <c r="G2252" t="s">
        <v>175</v>
      </c>
      <c r="H2252" s="8">
        <v>1630.73</v>
      </c>
      <c r="I2252" s="8">
        <v>-347.4</v>
      </c>
      <c r="J2252" s="8">
        <v>0.02</v>
      </c>
      <c r="K2252" t="str">
        <f>IF(SalesData[[#This Row],[Profit]]&gt;0,"Profit","Loss")</f>
        <v>Loss</v>
      </c>
      <c r="L2252" s="8">
        <f>SalesData[[#This Row],[Profit]]/SalesData[[#This Row],[Sales]]</f>
        <v>-0.21303342674753023</v>
      </c>
      <c r="M2252" t="str">
        <f>TEXT(SalesData[[#This Row],[Order_Date]],"mmm")</f>
        <v>Jul</v>
      </c>
      <c r="N2252">
        <f>YEAR(SalesData[[#This Row],[Order_Date]])</f>
        <v>2023</v>
      </c>
    </row>
    <row r="2253" spans="1:14" x14ac:dyDescent="0.3">
      <c r="A2253" t="s">
        <v>3525</v>
      </c>
      <c r="B2253" s="1">
        <v>45207</v>
      </c>
      <c r="C2253" t="s">
        <v>696</v>
      </c>
      <c r="D2253" t="s">
        <v>40</v>
      </c>
      <c r="E2253" t="s">
        <v>56</v>
      </c>
      <c r="F2253" t="s">
        <v>57</v>
      </c>
      <c r="G2253" t="s">
        <v>3526</v>
      </c>
      <c r="H2253" s="8">
        <v>4908.01</v>
      </c>
      <c r="I2253" s="8">
        <v>716.71</v>
      </c>
      <c r="J2253" s="8">
        <v>0.11</v>
      </c>
      <c r="K2253" t="str">
        <f>IF(SalesData[[#This Row],[Profit]]&gt;0,"Profit","Loss")</f>
        <v>Profit</v>
      </c>
      <c r="L2253" s="8">
        <f>SalesData[[#This Row],[Profit]]/SalesData[[#This Row],[Sales]]</f>
        <v>0.14602863482348244</v>
      </c>
      <c r="M2253" t="str">
        <f>TEXT(SalesData[[#This Row],[Order_Date]],"mmm")</f>
        <v>Oct</v>
      </c>
      <c r="N2253">
        <f>YEAR(SalesData[[#This Row],[Order_Date]])</f>
        <v>2023</v>
      </c>
    </row>
    <row r="2254" spans="1:14" x14ac:dyDescent="0.3">
      <c r="A2254" t="s">
        <v>3527</v>
      </c>
      <c r="B2254" s="1">
        <v>44789</v>
      </c>
      <c r="C2254" t="s">
        <v>1468</v>
      </c>
      <c r="D2254" t="s">
        <v>28</v>
      </c>
      <c r="E2254" t="s">
        <v>13</v>
      </c>
      <c r="F2254" t="s">
        <v>14</v>
      </c>
      <c r="G2254" t="s">
        <v>1470</v>
      </c>
      <c r="H2254" s="8">
        <v>101.68</v>
      </c>
      <c r="I2254" s="8">
        <v>8.75</v>
      </c>
      <c r="J2254" s="8">
        <v>0.28999999999999998</v>
      </c>
      <c r="K2254" t="str">
        <f>IF(SalesData[[#This Row],[Profit]]&gt;0,"Profit","Loss")</f>
        <v>Profit</v>
      </c>
      <c r="L2254" s="8">
        <f>SalesData[[#This Row],[Profit]]/SalesData[[#This Row],[Sales]]</f>
        <v>8.6054287962234452E-2</v>
      </c>
      <c r="M2254" t="str">
        <f>TEXT(SalesData[[#This Row],[Order_Date]],"mmm")</f>
        <v>Aug</v>
      </c>
      <c r="N2254">
        <f>YEAR(SalesData[[#This Row],[Order_Date]])</f>
        <v>2022</v>
      </c>
    </row>
    <row r="2255" spans="1:14" x14ac:dyDescent="0.3">
      <c r="A2255" t="s">
        <v>3528</v>
      </c>
      <c r="B2255" s="1">
        <v>44826</v>
      </c>
      <c r="C2255" t="s">
        <v>1398</v>
      </c>
      <c r="D2255" t="s">
        <v>28</v>
      </c>
      <c r="E2255" t="s">
        <v>13</v>
      </c>
      <c r="F2255" t="s">
        <v>24</v>
      </c>
      <c r="G2255" t="s">
        <v>214</v>
      </c>
      <c r="H2255" s="8">
        <v>1216.97</v>
      </c>
      <c r="I2255" s="8">
        <v>62.73</v>
      </c>
      <c r="J2255" s="8">
        <v>0.01</v>
      </c>
      <c r="K2255" t="str">
        <f>IF(SalesData[[#This Row],[Profit]]&gt;0,"Profit","Loss")</f>
        <v>Profit</v>
      </c>
      <c r="L2255" s="8">
        <f>SalesData[[#This Row],[Profit]]/SalesData[[#This Row],[Sales]]</f>
        <v>5.1546052901879254E-2</v>
      </c>
      <c r="M2255" t="str">
        <f>TEXT(SalesData[[#This Row],[Order_Date]],"mmm")</f>
        <v>Sep</v>
      </c>
      <c r="N2255">
        <f>YEAR(SalesData[[#This Row],[Order_Date]])</f>
        <v>2022</v>
      </c>
    </row>
    <row r="2256" spans="1:14" x14ac:dyDescent="0.3">
      <c r="A2256" t="s">
        <v>3529</v>
      </c>
      <c r="B2256" s="1">
        <v>44626</v>
      </c>
      <c r="C2256" t="s">
        <v>1410</v>
      </c>
      <c r="D2256" t="s">
        <v>40</v>
      </c>
      <c r="E2256" t="s">
        <v>13</v>
      </c>
      <c r="F2256" t="s">
        <v>36</v>
      </c>
      <c r="G2256" t="s">
        <v>2559</v>
      </c>
      <c r="H2256" s="8">
        <v>3049.52</v>
      </c>
      <c r="I2256" s="8">
        <v>-630.54</v>
      </c>
      <c r="J2256" s="8">
        <v>0.02</v>
      </c>
      <c r="K2256" t="str">
        <f>IF(SalesData[[#This Row],[Profit]]&gt;0,"Profit","Loss")</f>
        <v>Loss</v>
      </c>
      <c r="L2256" s="8">
        <f>SalesData[[#This Row],[Profit]]/SalesData[[#This Row],[Sales]]</f>
        <v>-0.20676696660458038</v>
      </c>
      <c r="M2256" t="str">
        <f>TEXT(SalesData[[#This Row],[Order_Date]],"mmm")</f>
        <v>Mar</v>
      </c>
      <c r="N2256">
        <f>YEAR(SalesData[[#This Row],[Order_Date]])</f>
        <v>2022</v>
      </c>
    </row>
    <row r="2257" spans="1:14" x14ac:dyDescent="0.3">
      <c r="A2257" t="s">
        <v>3530</v>
      </c>
      <c r="B2257" s="1">
        <v>44928</v>
      </c>
      <c r="C2257" t="s">
        <v>3271</v>
      </c>
      <c r="D2257" t="s">
        <v>18</v>
      </c>
      <c r="E2257" t="s">
        <v>56</v>
      </c>
      <c r="F2257" t="s">
        <v>57</v>
      </c>
      <c r="G2257" t="s">
        <v>282</v>
      </c>
      <c r="H2257" s="8">
        <v>2973.84</v>
      </c>
      <c r="I2257" s="8">
        <v>14.46</v>
      </c>
      <c r="J2257" s="8">
        <v>0.23</v>
      </c>
      <c r="K2257" t="str">
        <f>IF(SalesData[[#This Row],[Profit]]&gt;0,"Profit","Loss")</f>
        <v>Profit</v>
      </c>
      <c r="L2257" s="8">
        <f>SalesData[[#This Row],[Profit]]/SalesData[[#This Row],[Sales]]</f>
        <v>4.8624001291259784E-3</v>
      </c>
      <c r="M2257" t="str">
        <f>TEXT(SalesData[[#This Row],[Order_Date]],"mmm")</f>
        <v>Jan</v>
      </c>
      <c r="N2257">
        <f>YEAR(SalesData[[#This Row],[Order_Date]])</f>
        <v>2023</v>
      </c>
    </row>
    <row r="2258" spans="1:14" x14ac:dyDescent="0.3">
      <c r="A2258" t="s">
        <v>3531</v>
      </c>
      <c r="B2258" s="1">
        <v>44979</v>
      </c>
      <c r="C2258" t="s">
        <v>2248</v>
      </c>
      <c r="D2258" t="s">
        <v>40</v>
      </c>
      <c r="E2258" t="s">
        <v>56</v>
      </c>
      <c r="F2258" t="s">
        <v>73</v>
      </c>
      <c r="G2258" t="s">
        <v>828</v>
      </c>
      <c r="H2258" s="8">
        <v>2096.16</v>
      </c>
      <c r="I2258" s="8">
        <v>31.58</v>
      </c>
      <c r="J2258" s="8">
        <v>7.0000000000000007E-2</v>
      </c>
      <c r="K2258" t="str">
        <f>IF(SalesData[[#This Row],[Profit]]&gt;0,"Profit","Loss")</f>
        <v>Profit</v>
      </c>
      <c r="L2258" s="8">
        <f>SalesData[[#This Row],[Profit]]/SalesData[[#This Row],[Sales]]</f>
        <v>1.5065643843981376E-2</v>
      </c>
      <c r="M2258" t="str">
        <f>TEXT(SalesData[[#This Row],[Order_Date]],"mmm")</f>
        <v>Feb</v>
      </c>
      <c r="N2258">
        <f>YEAR(SalesData[[#This Row],[Order_Date]])</f>
        <v>2023</v>
      </c>
    </row>
    <row r="2259" spans="1:14" x14ac:dyDescent="0.3">
      <c r="A2259" t="s">
        <v>3532</v>
      </c>
      <c r="B2259" s="1">
        <v>44972</v>
      </c>
      <c r="C2259" t="s">
        <v>2489</v>
      </c>
      <c r="D2259" t="s">
        <v>12</v>
      </c>
      <c r="E2259" t="s">
        <v>56</v>
      </c>
      <c r="F2259" t="s">
        <v>57</v>
      </c>
      <c r="G2259" t="s">
        <v>2257</v>
      </c>
      <c r="H2259" s="8">
        <v>4599.92</v>
      </c>
      <c r="I2259" s="8">
        <v>30.48</v>
      </c>
      <c r="J2259" s="8">
        <v>0.1</v>
      </c>
      <c r="K2259" t="str">
        <f>IF(SalesData[[#This Row],[Profit]]&gt;0,"Profit","Loss")</f>
        <v>Profit</v>
      </c>
      <c r="L2259" s="8">
        <f>SalesData[[#This Row],[Profit]]/SalesData[[#This Row],[Sales]]</f>
        <v>6.6262021948207796E-3</v>
      </c>
      <c r="M2259" t="str">
        <f>TEXT(SalesData[[#This Row],[Order_Date]],"mmm")</f>
        <v>Feb</v>
      </c>
      <c r="N2259">
        <f>YEAR(SalesData[[#This Row],[Order_Date]])</f>
        <v>2023</v>
      </c>
    </row>
    <row r="2260" spans="1:14" x14ac:dyDescent="0.3">
      <c r="A2260" t="s">
        <v>3533</v>
      </c>
      <c r="B2260" s="1">
        <v>44710</v>
      </c>
      <c r="C2260" t="s">
        <v>2767</v>
      </c>
      <c r="D2260" t="s">
        <v>12</v>
      </c>
      <c r="E2260" t="s">
        <v>56</v>
      </c>
      <c r="F2260" t="s">
        <v>95</v>
      </c>
      <c r="G2260" t="s">
        <v>254</v>
      </c>
      <c r="H2260" s="8">
        <v>4541.5</v>
      </c>
      <c r="I2260" s="8">
        <v>-448.46</v>
      </c>
      <c r="J2260" s="8">
        <v>0.08</v>
      </c>
      <c r="K2260" t="str">
        <f>IF(SalesData[[#This Row],[Profit]]&gt;0,"Profit","Loss")</f>
        <v>Loss</v>
      </c>
      <c r="L2260" s="8">
        <f>SalesData[[#This Row],[Profit]]/SalesData[[#This Row],[Sales]]</f>
        <v>-9.8747109985687545E-2</v>
      </c>
      <c r="M2260" t="str">
        <f>TEXT(SalesData[[#This Row],[Order_Date]],"mmm")</f>
        <v>May</v>
      </c>
      <c r="N2260">
        <f>YEAR(SalesData[[#This Row],[Order_Date]])</f>
        <v>2022</v>
      </c>
    </row>
    <row r="2261" spans="1:14" x14ac:dyDescent="0.3">
      <c r="A2261" t="s">
        <v>3534</v>
      </c>
      <c r="B2261" s="1">
        <v>44858</v>
      </c>
      <c r="C2261" t="s">
        <v>2059</v>
      </c>
      <c r="D2261" t="s">
        <v>12</v>
      </c>
      <c r="E2261" t="s">
        <v>56</v>
      </c>
      <c r="F2261" t="s">
        <v>95</v>
      </c>
      <c r="G2261" t="s">
        <v>1737</v>
      </c>
      <c r="H2261" s="8">
        <v>1657.63</v>
      </c>
      <c r="I2261" s="8">
        <v>-155.9</v>
      </c>
      <c r="J2261" s="8">
        <v>0.01</v>
      </c>
      <c r="K2261" t="str">
        <f>IF(SalesData[[#This Row],[Profit]]&gt;0,"Profit","Loss")</f>
        <v>Loss</v>
      </c>
      <c r="L2261" s="8">
        <f>SalesData[[#This Row],[Profit]]/SalesData[[#This Row],[Sales]]</f>
        <v>-9.4049938768000094E-2</v>
      </c>
      <c r="M2261" t="str">
        <f>TEXT(SalesData[[#This Row],[Order_Date]],"mmm")</f>
        <v>Oct</v>
      </c>
      <c r="N2261">
        <f>YEAR(SalesData[[#This Row],[Order_Date]])</f>
        <v>2022</v>
      </c>
    </row>
    <row r="2262" spans="1:14" x14ac:dyDescent="0.3">
      <c r="A2262" t="s">
        <v>3535</v>
      </c>
      <c r="B2262" s="1">
        <v>45057</v>
      </c>
      <c r="C2262" t="s">
        <v>116</v>
      </c>
      <c r="D2262" t="s">
        <v>12</v>
      </c>
      <c r="E2262" t="s">
        <v>13</v>
      </c>
      <c r="F2262" t="s">
        <v>36</v>
      </c>
      <c r="G2262" t="s">
        <v>339</v>
      </c>
      <c r="H2262" s="8">
        <v>2070.12</v>
      </c>
      <c r="I2262" s="8">
        <v>483.09</v>
      </c>
      <c r="J2262" s="8">
        <v>0.02</v>
      </c>
      <c r="K2262" t="str">
        <f>IF(SalesData[[#This Row],[Profit]]&gt;0,"Profit","Loss")</f>
        <v>Profit</v>
      </c>
      <c r="L2262" s="8">
        <f>SalesData[[#This Row],[Profit]]/SalesData[[#This Row],[Sales]]</f>
        <v>0.23336328328792533</v>
      </c>
      <c r="M2262" t="str">
        <f>TEXT(SalesData[[#This Row],[Order_Date]],"mmm")</f>
        <v>May</v>
      </c>
      <c r="N2262">
        <f>YEAR(SalesData[[#This Row],[Order_Date]])</f>
        <v>2023</v>
      </c>
    </row>
    <row r="2263" spans="1:14" x14ac:dyDescent="0.3">
      <c r="A2263" t="s">
        <v>3536</v>
      </c>
      <c r="B2263" s="1">
        <v>45121</v>
      </c>
      <c r="C2263" t="s">
        <v>1169</v>
      </c>
      <c r="D2263" t="s">
        <v>12</v>
      </c>
      <c r="E2263" t="s">
        <v>13</v>
      </c>
      <c r="F2263" t="s">
        <v>14</v>
      </c>
      <c r="G2263" t="s">
        <v>908</v>
      </c>
      <c r="H2263" s="8">
        <v>3530.95</v>
      </c>
      <c r="I2263" s="8">
        <v>-127.32</v>
      </c>
      <c r="J2263" s="8">
        <v>0.18</v>
      </c>
      <c r="K2263" t="str">
        <f>IF(SalesData[[#This Row],[Profit]]&gt;0,"Profit","Loss")</f>
        <v>Loss</v>
      </c>
      <c r="L2263" s="8">
        <f>SalesData[[#This Row],[Profit]]/SalesData[[#This Row],[Sales]]</f>
        <v>-3.6058284597629532E-2</v>
      </c>
      <c r="M2263" t="str">
        <f>TEXT(SalesData[[#This Row],[Order_Date]],"mmm")</f>
        <v>Jul</v>
      </c>
      <c r="N2263">
        <f>YEAR(SalesData[[#This Row],[Order_Date]])</f>
        <v>2023</v>
      </c>
    </row>
    <row r="2264" spans="1:14" x14ac:dyDescent="0.3">
      <c r="A2264" t="s">
        <v>3537</v>
      </c>
      <c r="B2264" s="1">
        <v>44710</v>
      </c>
      <c r="C2264" t="s">
        <v>655</v>
      </c>
      <c r="D2264" t="s">
        <v>40</v>
      </c>
      <c r="E2264" t="s">
        <v>13</v>
      </c>
      <c r="F2264" t="s">
        <v>24</v>
      </c>
      <c r="G2264" t="s">
        <v>33</v>
      </c>
      <c r="H2264" s="8">
        <v>113.97</v>
      </c>
      <c r="I2264" s="8">
        <v>20.51</v>
      </c>
      <c r="J2264" s="8">
        <v>0.12</v>
      </c>
      <c r="K2264" t="str">
        <f>IF(SalesData[[#This Row],[Profit]]&gt;0,"Profit","Loss")</f>
        <v>Profit</v>
      </c>
      <c r="L2264" s="8">
        <f>SalesData[[#This Row],[Profit]]/SalesData[[#This Row],[Sales]]</f>
        <v>0.17995963850136001</v>
      </c>
      <c r="M2264" t="str">
        <f>TEXT(SalesData[[#This Row],[Order_Date]],"mmm")</f>
        <v>May</v>
      </c>
      <c r="N2264">
        <f>YEAR(SalesData[[#This Row],[Order_Date]])</f>
        <v>2022</v>
      </c>
    </row>
    <row r="2265" spans="1:14" x14ac:dyDescent="0.3">
      <c r="A2265" t="s">
        <v>3538</v>
      </c>
      <c r="B2265" s="1">
        <v>44793</v>
      </c>
      <c r="C2265" t="s">
        <v>2140</v>
      </c>
      <c r="D2265" t="s">
        <v>18</v>
      </c>
      <c r="E2265" t="s">
        <v>19</v>
      </c>
      <c r="F2265" t="s">
        <v>29</v>
      </c>
      <c r="G2265" t="s">
        <v>1355</v>
      </c>
      <c r="H2265" s="8">
        <v>2127.13</v>
      </c>
      <c r="I2265" s="8">
        <v>-823.73</v>
      </c>
      <c r="J2265" s="8">
        <v>0.25</v>
      </c>
      <c r="K2265" t="str">
        <f>IF(SalesData[[#This Row],[Profit]]&gt;0,"Profit","Loss")</f>
        <v>Loss</v>
      </c>
      <c r="L2265" s="8">
        <f>SalesData[[#This Row],[Profit]]/SalesData[[#This Row],[Sales]]</f>
        <v>-0.38724948639716422</v>
      </c>
      <c r="M2265" t="str">
        <f>TEXT(SalesData[[#This Row],[Order_Date]],"mmm")</f>
        <v>Aug</v>
      </c>
      <c r="N2265">
        <f>YEAR(SalesData[[#This Row],[Order_Date]])</f>
        <v>2022</v>
      </c>
    </row>
    <row r="2266" spans="1:14" x14ac:dyDescent="0.3">
      <c r="A2266" t="s">
        <v>3539</v>
      </c>
      <c r="B2266" s="1">
        <v>45241</v>
      </c>
      <c r="C2266" t="s">
        <v>221</v>
      </c>
      <c r="D2266" t="s">
        <v>18</v>
      </c>
      <c r="E2266" t="s">
        <v>19</v>
      </c>
      <c r="F2266" t="s">
        <v>141</v>
      </c>
      <c r="G2266" t="s">
        <v>25</v>
      </c>
      <c r="H2266" s="8">
        <v>1945.01</v>
      </c>
      <c r="I2266" s="8">
        <v>-51.91</v>
      </c>
      <c r="J2266" s="8">
        <v>0.08</v>
      </c>
      <c r="K2266" t="str">
        <f>IF(SalesData[[#This Row],[Profit]]&gt;0,"Profit","Loss")</f>
        <v>Loss</v>
      </c>
      <c r="L2266" s="8">
        <f>SalesData[[#This Row],[Profit]]/SalesData[[#This Row],[Sales]]</f>
        <v>-2.6688808797898211E-2</v>
      </c>
      <c r="M2266" t="str">
        <f>TEXT(SalesData[[#This Row],[Order_Date]],"mmm")</f>
        <v>Nov</v>
      </c>
      <c r="N2266">
        <f>YEAR(SalesData[[#This Row],[Order_Date]])</f>
        <v>2023</v>
      </c>
    </row>
    <row r="2267" spans="1:14" x14ac:dyDescent="0.3">
      <c r="A2267" t="s">
        <v>3540</v>
      </c>
      <c r="B2267" s="1">
        <v>45080</v>
      </c>
      <c r="C2267" t="s">
        <v>1429</v>
      </c>
      <c r="D2267" t="s">
        <v>40</v>
      </c>
      <c r="E2267" t="s">
        <v>13</v>
      </c>
      <c r="F2267" t="s">
        <v>36</v>
      </c>
      <c r="G2267" t="s">
        <v>1442</v>
      </c>
      <c r="H2267" s="8">
        <v>3512.75</v>
      </c>
      <c r="I2267" s="8">
        <v>-607.80999999999995</v>
      </c>
      <c r="J2267" s="8">
        <v>0.16</v>
      </c>
      <c r="K2267" t="str">
        <f>IF(SalesData[[#This Row],[Profit]]&gt;0,"Profit","Loss")</f>
        <v>Loss</v>
      </c>
      <c r="L2267" s="8">
        <f>SalesData[[#This Row],[Profit]]/SalesData[[#This Row],[Sales]]</f>
        <v>-0.17302967760301757</v>
      </c>
      <c r="M2267" t="str">
        <f>TEXT(SalesData[[#This Row],[Order_Date]],"mmm")</f>
        <v>Jun</v>
      </c>
      <c r="N2267">
        <f>YEAR(SalesData[[#This Row],[Order_Date]])</f>
        <v>2023</v>
      </c>
    </row>
    <row r="2268" spans="1:14" x14ac:dyDescent="0.3">
      <c r="A2268" t="s">
        <v>3541</v>
      </c>
      <c r="B2268" s="1">
        <v>45237</v>
      </c>
      <c r="C2268" t="s">
        <v>470</v>
      </c>
      <c r="D2268" t="s">
        <v>12</v>
      </c>
      <c r="E2268" t="s">
        <v>56</v>
      </c>
      <c r="F2268" t="s">
        <v>95</v>
      </c>
      <c r="G2268" t="s">
        <v>933</v>
      </c>
      <c r="H2268" s="8">
        <v>1767.4</v>
      </c>
      <c r="I2268" s="8">
        <v>-162.37</v>
      </c>
      <c r="J2268" s="8">
        <v>0.08</v>
      </c>
      <c r="K2268" t="str">
        <f>IF(SalesData[[#This Row],[Profit]]&gt;0,"Profit","Loss")</f>
        <v>Loss</v>
      </c>
      <c r="L2268" s="8">
        <f>SalesData[[#This Row],[Profit]]/SalesData[[#This Row],[Sales]]</f>
        <v>-9.1869412696616498E-2</v>
      </c>
      <c r="M2268" t="str">
        <f>TEXT(SalesData[[#This Row],[Order_Date]],"mmm")</f>
        <v>Nov</v>
      </c>
      <c r="N2268">
        <f>YEAR(SalesData[[#This Row],[Order_Date]])</f>
        <v>2023</v>
      </c>
    </row>
    <row r="2269" spans="1:14" x14ac:dyDescent="0.3">
      <c r="A2269" t="s">
        <v>3542</v>
      </c>
      <c r="B2269" s="1">
        <v>45265</v>
      </c>
      <c r="C2269" t="s">
        <v>577</v>
      </c>
      <c r="D2269" t="s">
        <v>28</v>
      </c>
      <c r="E2269" t="s">
        <v>13</v>
      </c>
      <c r="F2269" t="s">
        <v>14</v>
      </c>
      <c r="G2269" t="s">
        <v>611</v>
      </c>
      <c r="H2269" s="8">
        <v>3639.67</v>
      </c>
      <c r="I2269" s="8">
        <v>-1327.92</v>
      </c>
      <c r="J2269" s="8">
        <v>0.2</v>
      </c>
      <c r="K2269" t="str">
        <f>IF(SalesData[[#This Row],[Profit]]&gt;0,"Profit","Loss")</f>
        <v>Loss</v>
      </c>
      <c r="L2269" s="8">
        <f>SalesData[[#This Row],[Profit]]/SalesData[[#This Row],[Sales]]</f>
        <v>-0.36484626353488092</v>
      </c>
      <c r="M2269" t="str">
        <f>TEXT(SalesData[[#This Row],[Order_Date]],"mmm")</f>
        <v>Dec</v>
      </c>
      <c r="N2269">
        <f>YEAR(SalesData[[#This Row],[Order_Date]])</f>
        <v>2023</v>
      </c>
    </row>
    <row r="2270" spans="1:14" x14ac:dyDescent="0.3">
      <c r="A2270" t="s">
        <v>3543</v>
      </c>
      <c r="B2270" s="1">
        <v>44678</v>
      </c>
      <c r="C2270" t="s">
        <v>1617</v>
      </c>
      <c r="D2270" t="s">
        <v>28</v>
      </c>
      <c r="E2270" t="s">
        <v>56</v>
      </c>
      <c r="F2270" t="s">
        <v>73</v>
      </c>
      <c r="G2270" t="s">
        <v>33</v>
      </c>
      <c r="H2270" s="8">
        <v>4650.87</v>
      </c>
      <c r="I2270" s="8">
        <v>-2061.7600000000002</v>
      </c>
      <c r="J2270" s="8">
        <v>0.27</v>
      </c>
      <c r="K2270" t="str">
        <f>IF(SalesData[[#This Row],[Profit]]&gt;0,"Profit","Loss")</f>
        <v>Loss</v>
      </c>
      <c r="L2270" s="8">
        <f>SalesData[[#This Row],[Profit]]/SalesData[[#This Row],[Sales]]</f>
        <v>-0.44330630613197108</v>
      </c>
      <c r="M2270" t="str">
        <f>TEXT(SalesData[[#This Row],[Order_Date]],"mmm")</f>
        <v>Apr</v>
      </c>
      <c r="N2270">
        <f>YEAR(SalesData[[#This Row],[Order_Date]])</f>
        <v>2022</v>
      </c>
    </row>
    <row r="2271" spans="1:14" x14ac:dyDescent="0.3">
      <c r="A2271" t="s">
        <v>3544</v>
      </c>
      <c r="B2271" s="1">
        <v>45130</v>
      </c>
      <c r="C2271" t="s">
        <v>1398</v>
      </c>
      <c r="D2271" t="s">
        <v>18</v>
      </c>
      <c r="E2271" t="s">
        <v>19</v>
      </c>
      <c r="F2271" t="s">
        <v>141</v>
      </c>
      <c r="G2271" t="s">
        <v>1650</v>
      </c>
      <c r="H2271" s="8">
        <v>3668.17</v>
      </c>
      <c r="I2271" s="8">
        <v>321.35000000000002</v>
      </c>
      <c r="J2271" s="8">
        <v>7.0000000000000007E-2</v>
      </c>
      <c r="K2271" t="str">
        <f>IF(SalesData[[#This Row],[Profit]]&gt;0,"Profit","Loss")</f>
        <v>Profit</v>
      </c>
      <c r="L2271" s="8">
        <f>SalesData[[#This Row],[Profit]]/SalesData[[#This Row],[Sales]]</f>
        <v>8.7604991044580818E-2</v>
      </c>
      <c r="M2271" t="str">
        <f>TEXT(SalesData[[#This Row],[Order_Date]],"mmm")</f>
        <v>Jul</v>
      </c>
      <c r="N2271">
        <f>YEAR(SalesData[[#This Row],[Order_Date]])</f>
        <v>2023</v>
      </c>
    </row>
    <row r="2272" spans="1:14" x14ac:dyDescent="0.3">
      <c r="A2272" t="s">
        <v>3545</v>
      </c>
      <c r="B2272" s="1">
        <v>45089</v>
      </c>
      <c r="C2272" t="s">
        <v>2114</v>
      </c>
      <c r="D2272" t="s">
        <v>40</v>
      </c>
      <c r="E2272" t="s">
        <v>19</v>
      </c>
      <c r="F2272" t="s">
        <v>20</v>
      </c>
      <c r="G2272" t="s">
        <v>660</v>
      </c>
      <c r="H2272" s="8">
        <v>2112.87</v>
      </c>
      <c r="I2272" s="8">
        <v>-706.84</v>
      </c>
      <c r="J2272" s="8">
        <v>0.21</v>
      </c>
      <c r="K2272" t="str">
        <f>IF(SalesData[[#This Row],[Profit]]&gt;0,"Profit","Loss")</f>
        <v>Loss</v>
      </c>
      <c r="L2272" s="8">
        <f>SalesData[[#This Row],[Profit]]/SalesData[[#This Row],[Sales]]</f>
        <v>-0.3345402225409041</v>
      </c>
      <c r="M2272" t="str">
        <f>TEXT(SalesData[[#This Row],[Order_Date]],"mmm")</f>
        <v>Jun</v>
      </c>
      <c r="N2272">
        <f>YEAR(SalesData[[#This Row],[Order_Date]])</f>
        <v>2023</v>
      </c>
    </row>
    <row r="2273" spans="1:14" x14ac:dyDescent="0.3">
      <c r="A2273" t="s">
        <v>3546</v>
      </c>
      <c r="B2273" s="1">
        <v>45170</v>
      </c>
      <c r="C2273" t="s">
        <v>2537</v>
      </c>
      <c r="D2273" t="s">
        <v>40</v>
      </c>
      <c r="E2273" t="s">
        <v>19</v>
      </c>
      <c r="F2273" t="s">
        <v>141</v>
      </c>
      <c r="G2273" t="s">
        <v>2087</v>
      </c>
      <c r="H2273" s="8">
        <v>373.48</v>
      </c>
      <c r="I2273" s="8">
        <v>-119.7</v>
      </c>
      <c r="J2273" s="8">
        <v>0.15</v>
      </c>
      <c r="K2273" t="str">
        <f>IF(SalesData[[#This Row],[Profit]]&gt;0,"Profit","Loss")</f>
        <v>Loss</v>
      </c>
      <c r="L2273" s="8">
        <f>SalesData[[#This Row],[Profit]]/SalesData[[#This Row],[Sales]]</f>
        <v>-0.32049908964335438</v>
      </c>
      <c r="M2273" t="str">
        <f>TEXT(SalesData[[#This Row],[Order_Date]],"mmm")</f>
        <v>Sep</v>
      </c>
      <c r="N2273">
        <f>YEAR(SalesData[[#This Row],[Order_Date]])</f>
        <v>2023</v>
      </c>
    </row>
    <row r="2274" spans="1:14" x14ac:dyDescent="0.3">
      <c r="A2274" t="s">
        <v>3547</v>
      </c>
      <c r="B2274" s="1">
        <v>44862</v>
      </c>
      <c r="C2274" t="s">
        <v>3548</v>
      </c>
      <c r="D2274" t="s">
        <v>28</v>
      </c>
      <c r="E2274" t="s">
        <v>56</v>
      </c>
      <c r="F2274" t="s">
        <v>95</v>
      </c>
      <c r="G2274" t="s">
        <v>1251</v>
      </c>
      <c r="H2274" s="8">
        <v>2698.73</v>
      </c>
      <c r="I2274" s="8">
        <v>-708.8</v>
      </c>
      <c r="J2274" s="8">
        <v>0.17</v>
      </c>
      <c r="K2274" t="str">
        <f>IF(SalesData[[#This Row],[Profit]]&gt;0,"Profit","Loss")</f>
        <v>Loss</v>
      </c>
      <c r="L2274" s="8">
        <f>SalesData[[#This Row],[Profit]]/SalesData[[#This Row],[Sales]]</f>
        <v>-0.26264205756040804</v>
      </c>
      <c r="M2274" t="str">
        <f>TEXT(SalesData[[#This Row],[Order_Date]],"mmm")</f>
        <v>Oct</v>
      </c>
      <c r="N2274">
        <f>YEAR(SalesData[[#This Row],[Order_Date]])</f>
        <v>2022</v>
      </c>
    </row>
    <row r="2275" spans="1:14" x14ac:dyDescent="0.3">
      <c r="A2275" t="s">
        <v>3549</v>
      </c>
      <c r="B2275" s="1">
        <v>44982</v>
      </c>
      <c r="C2275" t="s">
        <v>201</v>
      </c>
      <c r="D2275" t="s">
        <v>40</v>
      </c>
      <c r="E2275" t="s">
        <v>19</v>
      </c>
      <c r="F2275" t="s">
        <v>141</v>
      </c>
      <c r="G2275" t="s">
        <v>864</v>
      </c>
      <c r="H2275" s="8">
        <v>4321.66</v>
      </c>
      <c r="I2275" s="8">
        <v>-523.77</v>
      </c>
      <c r="J2275" s="8">
        <v>0.18</v>
      </c>
      <c r="K2275" t="str">
        <f>IF(SalesData[[#This Row],[Profit]]&gt;0,"Profit","Loss")</f>
        <v>Loss</v>
      </c>
      <c r="L2275" s="8">
        <f>SalesData[[#This Row],[Profit]]/SalesData[[#This Row],[Sales]]</f>
        <v>-0.12119648468412601</v>
      </c>
      <c r="M2275" t="str">
        <f>TEXT(SalesData[[#This Row],[Order_Date]],"mmm")</f>
        <v>Feb</v>
      </c>
      <c r="N2275">
        <f>YEAR(SalesData[[#This Row],[Order_Date]])</f>
        <v>2023</v>
      </c>
    </row>
    <row r="2276" spans="1:14" x14ac:dyDescent="0.3">
      <c r="A2276" t="s">
        <v>3550</v>
      </c>
      <c r="B2276" s="1">
        <v>44884</v>
      </c>
      <c r="C2276" t="s">
        <v>82</v>
      </c>
      <c r="D2276" t="s">
        <v>40</v>
      </c>
      <c r="E2276" t="s">
        <v>19</v>
      </c>
      <c r="F2276" t="s">
        <v>29</v>
      </c>
      <c r="G2276" t="s">
        <v>897</v>
      </c>
      <c r="H2276" s="8">
        <v>892.96</v>
      </c>
      <c r="I2276" s="8">
        <v>97.19</v>
      </c>
      <c r="J2276" s="8">
        <v>0.25</v>
      </c>
      <c r="K2276" t="str">
        <f>IF(SalesData[[#This Row],[Profit]]&gt;0,"Profit","Loss")</f>
        <v>Profit</v>
      </c>
      <c r="L2276" s="8">
        <f>SalesData[[#This Row],[Profit]]/SalesData[[#This Row],[Sales]]</f>
        <v>0.10884026160186346</v>
      </c>
      <c r="M2276" t="str">
        <f>TEXT(SalesData[[#This Row],[Order_Date]],"mmm")</f>
        <v>Nov</v>
      </c>
      <c r="N2276">
        <f>YEAR(SalesData[[#This Row],[Order_Date]])</f>
        <v>2022</v>
      </c>
    </row>
    <row r="2277" spans="1:14" x14ac:dyDescent="0.3">
      <c r="A2277" t="s">
        <v>3551</v>
      </c>
      <c r="B2277" s="1">
        <v>44877</v>
      </c>
      <c r="C2277" t="s">
        <v>2852</v>
      </c>
      <c r="D2277" t="s">
        <v>40</v>
      </c>
      <c r="E2277" t="s">
        <v>19</v>
      </c>
      <c r="F2277" t="s">
        <v>29</v>
      </c>
      <c r="G2277" t="s">
        <v>1954</v>
      </c>
      <c r="H2277" s="8">
        <v>2733.84</v>
      </c>
      <c r="I2277" s="8">
        <v>165.05</v>
      </c>
      <c r="J2277" s="8">
        <v>0.01</v>
      </c>
      <c r="K2277" t="str">
        <f>IF(SalesData[[#This Row],[Profit]]&gt;0,"Profit","Loss")</f>
        <v>Profit</v>
      </c>
      <c r="L2277" s="8">
        <f>SalesData[[#This Row],[Profit]]/SalesData[[#This Row],[Sales]]</f>
        <v>6.0372955257074298E-2</v>
      </c>
      <c r="M2277" t="str">
        <f>TEXT(SalesData[[#This Row],[Order_Date]],"mmm")</f>
        <v>Nov</v>
      </c>
      <c r="N2277">
        <f>YEAR(SalesData[[#This Row],[Order_Date]])</f>
        <v>2022</v>
      </c>
    </row>
    <row r="2278" spans="1:14" x14ac:dyDescent="0.3">
      <c r="A2278" t="s">
        <v>3552</v>
      </c>
      <c r="B2278" s="1">
        <v>44695</v>
      </c>
      <c r="C2278" t="s">
        <v>2876</v>
      </c>
      <c r="D2278" t="s">
        <v>40</v>
      </c>
      <c r="E2278" t="s">
        <v>56</v>
      </c>
      <c r="F2278" t="s">
        <v>57</v>
      </c>
      <c r="G2278" t="s">
        <v>2265</v>
      </c>
      <c r="H2278" s="8">
        <v>3928.17</v>
      </c>
      <c r="I2278" s="8">
        <v>-1660.3</v>
      </c>
      <c r="J2278" s="8">
        <v>0.24</v>
      </c>
      <c r="K2278" t="str">
        <f>IF(SalesData[[#This Row],[Profit]]&gt;0,"Profit","Loss")</f>
        <v>Loss</v>
      </c>
      <c r="L2278" s="8">
        <f>SalesData[[#This Row],[Profit]]/SalesData[[#This Row],[Sales]]</f>
        <v>-0.42266500686070102</v>
      </c>
      <c r="M2278" t="str">
        <f>TEXT(SalesData[[#This Row],[Order_Date]],"mmm")</f>
        <v>May</v>
      </c>
      <c r="N2278">
        <f>YEAR(SalesData[[#This Row],[Order_Date]])</f>
        <v>2022</v>
      </c>
    </row>
    <row r="2279" spans="1:14" x14ac:dyDescent="0.3">
      <c r="A2279" t="s">
        <v>3553</v>
      </c>
      <c r="B2279" s="1">
        <v>44990</v>
      </c>
      <c r="C2279" t="s">
        <v>2198</v>
      </c>
      <c r="D2279" t="s">
        <v>40</v>
      </c>
      <c r="E2279" t="s">
        <v>19</v>
      </c>
      <c r="F2279" t="s">
        <v>29</v>
      </c>
      <c r="G2279" t="s">
        <v>1492</v>
      </c>
      <c r="H2279" s="8">
        <v>3938.07</v>
      </c>
      <c r="I2279" s="8">
        <v>-1375.98</v>
      </c>
      <c r="J2279" s="8">
        <v>0.26</v>
      </c>
      <c r="K2279" t="str">
        <f>IF(SalesData[[#This Row],[Profit]]&gt;0,"Profit","Loss")</f>
        <v>Loss</v>
      </c>
      <c r="L2279" s="8">
        <f>SalesData[[#This Row],[Profit]]/SalesData[[#This Row],[Sales]]</f>
        <v>-0.34940465761146955</v>
      </c>
      <c r="M2279" t="str">
        <f>TEXT(SalesData[[#This Row],[Order_Date]],"mmm")</f>
        <v>Mar</v>
      </c>
      <c r="N2279">
        <f>YEAR(SalesData[[#This Row],[Order_Date]])</f>
        <v>2023</v>
      </c>
    </row>
    <row r="2280" spans="1:14" x14ac:dyDescent="0.3">
      <c r="A2280" t="s">
        <v>3554</v>
      </c>
      <c r="B2280" s="1">
        <v>44616</v>
      </c>
      <c r="C2280" t="s">
        <v>899</v>
      </c>
      <c r="D2280" t="s">
        <v>28</v>
      </c>
      <c r="E2280" t="s">
        <v>56</v>
      </c>
      <c r="F2280" t="s">
        <v>95</v>
      </c>
      <c r="G2280" t="s">
        <v>1274</v>
      </c>
      <c r="H2280" s="8">
        <v>3199.86</v>
      </c>
      <c r="I2280" s="8">
        <v>-549.69000000000005</v>
      </c>
      <c r="J2280" s="8">
        <v>0.18</v>
      </c>
      <c r="K2280" t="str">
        <f>IF(SalesData[[#This Row],[Profit]]&gt;0,"Profit","Loss")</f>
        <v>Loss</v>
      </c>
      <c r="L2280" s="8">
        <f>SalesData[[#This Row],[Profit]]/SalesData[[#This Row],[Sales]]</f>
        <v>-0.1717856406217772</v>
      </c>
      <c r="M2280" t="str">
        <f>TEXT(SalesData[[#This Row],[Order_Date]],"mmm")</f>
        <v>Feb</v>
      </c>
      <c r="N2280">
        <f>YEAR(SalesData[[#This Row],[Order_Date]])</f>
        <v>2022</v>
      </c>
    </row>
    <row r="2281" spans="1:14" x14ac:dyDescent="0.3">
      <c r="A2281" t="s">
        <v>3555</v>
      </c>
      <c r="B2281" s="1">
        <v>45024</v>
      </c>
      <c r="C2281" t="s">
        <v>3381</v>
      </c>
      <c r="D2281" t="s">
        <v>28</v>
      </c>
      <c r="E2281" t="s">
        <v>56</v>
      </c>
      <c r="F2281" t="s">
        <v>57</v>
      </c>
      <c r="G2281" t="s">
        <v>365</v>
      </c>
      <c r="H2281" s="8">
        <v>957.05</v>
      </c>
      <c r="I2281" s="8">
        <v>275.60000000000002</v>
      </c>
      <c r="J2281" s="8">
        <v>0.09</v>
      </c>
      <c r="K2281" t="str">
        <f>IF(SalesData[[#This Row],[Profit]]&gt;0,"Profit","Loss")</f>
        <v>Profit</v>
      </c>
      <c r="L2281" s="8">
        <f>SalesData[[#This Row],[Profit]]/SalesData[[#This Row],[Sales]]</f>
        <v>0.28796823572436137</v>
      </c>
      <c r="M2281" t="str">
        <f>TEXT(SalesData[[#This Row],[Order_Date]],"mmm")</f>
        <v>Apr</v>
      </c>
      <c r="N2281">
        <f>YEAR(SalesData[[#This Row],[Order_Date]])</f>
        <v>2023</v>
      </c>
    </row>
    <row r="2282" spans="1:14" x14ac:dyDescent="0.3">
      <c r="A2282" t="s">
        <v>3556</v>
      </c>
      <c r="B2282" s="1">
        <v>44630</v>
      </c>
      <c r="C2282" t="s">
        <v>1851</v>
      </c>
      <c r="D2282" t="s">
        <v>12</v>
      </c>
      <c r="E2282" t="s">
        <v>13</v>
      </c>
      <c r="F2282" t="s">
        <v>36</v>
      </c>
      <c r="G2282" t="s">
        <v>3557</v>
      </c>
      <c r="H2282" s="8">
        <v>1622.02</v>
      </c>
      <c r="I2282" s="8">
        <v>-81.739999999999995</v>
      </c>
      <c r="J2282" s="8">
        <v>0.04</v>
      </c>
      <c r="K2282" t="str">
        <f>IF(SalesData[[#This Row],[Profit]]&gt;0,"Profit","Loss")</f>
        <v>Loss</v>
      </c>
      <c r="L2282" s="8">
        <f>SalesData[[#This Row],[Profit]]/SalesData[[#This Row],[Sales]]</f>
        <v>-5.0393953218825907E-2</v>
      </c>
      <c r="M2282" t="str">
        <f>TEXT(SalesData[[#This Row],[Order_Date]],"mmm")</f>
        <v>Mar</v>
      </c>
      <c r="N2282">
        <f>YEAR(SalesData[[#This Row],[Order_Date]])</f>
        <v>2022</v>
      </c>
    </row>
    <row r="2283" spans="1:14" x14ac:dyDescent="0.3">
      <c r="A2283" t="s">
        <v>3558</v>
      </c>
      <c r="B2283" s="1">
        <v>45077</v>
      </c>
      <c r="C2283" t="s">
        <v>845</v>
      </c>
      <c r="D2283" t="s">
        <v>28</v>
      </c>
      <c r="E2283" t="s">
        <v>56</v>
      </c>
      <c r="F2283" t="s">
        <v>57</v>
      </c>
      <c r="G2283" t="s">
        <v>1386</v>
      </c>
      <c r="H2283" s="8">
        <v>1476.56</v>
      </c>
      <c r="I2283" s="8">
        <v>-656.51</v>
      </c>
      <c r="J2283" s="8">
        <v>0.3</v>
      </c>
      <c r="K2283" t="str">
        <f>IF(SalesData[[#This Row],[Profit]]&gt;0,"Profit","Loss")</f>
        <v>Loss</v>
      </c>
      <c r="L2283" s="8">
        <f>SalesData[[#This Row],[Profit]]/SalesData[[#This Row],[Sales]]</f>
        <v>-0.44462128189846672</v>
      </c>
      <c r="M2283" t="str">
        <f>TEXT(SalesData[[#This Row],[Order_Date]],"mmm")</f>
        <v>May</v>
      </c>
      <c r="N2283">
        <f>YEAR(SalesData[[#This Row],[Order_Date]])</f>
        <v>2023</v>
      </c>
    </row>
    <row r="2284" spans="1:14" x14ac:dyDescent="0.3">
      <c r="A2284" t="s">
        <v>3559</v>
      </c>
      <c r="B2284" s="1">
        <v>44967</v>
      </c>
      <c r="C2284" t="s">
        <v>2086</v>
      </c>
      <c r="D2284" t="s">
        <v>28</v>
      </c>
      <c r="E2284" t="s">
        <v>56</v>
      </c>
      <c r="F2284" t="s">
        <v>73</v>
      </c>
      <c r="G2284" t="s">
        <v>1358</v>
      </c>
      <c r="H2284" s="8">
        <v>173.57</v>
      </c>
      <c r="I2284" s="8">
        <v>-5.25</v>
      </c>
      <c r="J2284" s="8">
        <v>0.14000000000000001</v>
      </c>
      <c r="K2284" t="str">
        <f>IF(SalesData[[#This Row],[Profit]]&gt;0,"Profit","Loss")</f>
        <v>Loss</v>
      </c>
      <c r="L2284" s="8">
        <f>SalesData[[#This Row],[Profit]]/SalesData[[#This Row],[Sales]]</f>
        <v>-3.0247162528086652E-2</v>
      </c>
      <c r="M2284" t="str">
        <f>TEXT(SalesData[[#This Row],[Order_Date]],"mmm")</f>
        <v>Feb</v>
      </c>
      <c r="N2284">
        <f>YEAR(SalesData[[#This Row],[Order_Date]])</f>
        <v>2023</v>
      </c>
    </row>
    <row r="2285" spans="1:14" x14ac:dyDescent="0.3">
      <c r="A2285" t="s">
        <v>3560</v>
      </c>
      <c r="B2285" s="1">
        <v>44928</v>
      </c>
      <c r="C2285" t="s">
        <v>364</v>
      </c>
      <c r="D2285" t="s">
        <v>12</v>
      </c>
      <c r="E2285" t="s">
        <v>56</v>
      </c>
      <c r="F2285" t="s">
        <v>57</v>
      </c>
      <c r="G2285" t="s">
        <v>882</v>
      </c>
      <c r="H2285" s="8">
        <v>4385.63</v>
      </c>
      <c r="I2285" s="8">
        <v>470.64</v>
      </c>
      <c r="J2285" s="8">
        <v>0.05</v>
      </c>
      <c r="K2285" t="str">
        <f>IF(SalesData[[#This Row],[Profit]]&gt;0,"Profit","Loss")</f>
        <v>Profit</v>
      </c>
      <c r="L2285" s="8">
        <f>SalesData[[#This Row],[Profit]]/SalesData[[#This Row],[Sales]]</f>
        <v>0.10731411450578365</v>
      </c>
      <c r="M2285" t="str">
        <f>TEXT(SalesData[[#This Row],[Order_Date]],"mmm")</f>
        <v>Jan</v>
      </c>
      <c r="N2285">
        <f>YEAR(SalesData[[#This Row],[Order_Date]])</f>
        <v>2023</v>
      </c>
    </row>
    <row r="2286" spans="1:14" x14ac:dyDescent="0.3">
      <c r="A2286" t="s">
        <v>3561</v>
      </c>
      <c r="B2286" s="1">
        <v>44730</v>
      </c>
      <c r="C2286" t="s">
        <v>1436</v>
      </c>
      <c r="D2286" t="s">
        <v>28</v>
      </c>
      <c r="E2286" t="s">
        <v>19</v>
      </c>
      <c r="F2286" t="s">
        <v>29</v>
      </c>
      <c r="G2286" t="s">
        <v>590</v>
      </c>
      <c r="H2286" s="8">
        <v>761.06</v>
      </c>
      <c r="I2286" s="8">
        <v>42.25</v>
      </c>
      <c r="J2286" s="8">
        <v>0.22</v>
      </c>
      <c r="K2286" t="str">
        <f>IF(SalesData[[#This Row],[Profit]]&gt;0,"Profit","Loss")</f>
        <v>Profit</v>
      </c>
      <c r="L2286" s="8">
        <f>SalesData[[#This Row],[Profit]]/SalesData[[#This Row],[Sales]]</f>
        <v>5.5514676898010672E-2</v>
      </c>
      <c r="M2286" t="str">
        <f>TEXT(SalesData[[#This Row],[Order_Date]],"mmm")</f>
        <v>Jun</v>
      </c>
      <c r="N2286">
        <f>YEAR(SalesData[[#This Row],[Order_Date]])</f>
        <v>2022</v>
      </c>
    </row>
    <row r="2287" spans="1:14" x14ac:dyDescent="0.3">
      <c r="A2287" t="s">
        <v>3562</v>
      </c>
      <c r="B2287" s="1">
        <v>44819</v>
      </c>
      <c r="C2287" t="s">
        <v>944</v>
      </c>
      <c r="D2287" t="s">
        <v>28</v>
      </c>
      <c r="E2287" t="s">
        <v>56</v>
      </c>
      <c r="F2287" t="s">
        <v>73</v>
      </c>
      <c r="G2287" t="s">
        <v>878</v>
      </c>
      <c r="H2287" s="8">
        <v>643.45000000000005</v>
      </c>
      <c r="I2287" s="8">
        <v>-82.15</v>
      </c>
      <c r="J2287" s="8">
        <v>0.05</v>
      </c>
      <c r="K2287" t="str">
        <f>IF(SalesData[[#This Row],[Profit]]&gt;0,"Profit","Loss")</f>
        <v>Loss</v>
      </c>
      <c r="L2287" s="8">
        <f>SalesData[[#This Row],[Profit]]/SalesData[[#This Row],[Sales]]</f>
        <v>-0.1276711477193255</v>
      </c>
      <c r="M2287" t="str">
        <f>TEXT(SalesData[[#This Row],[Order_Date]],"mmm")</f>
        <v>Sep</v>
      </c>
      <c r="N2287">
        <f>YEAR(SalesData[[#This Row],[Order_Date]])</f>
        <v>2022</v>
      </c>
    </row>
    <row r="2288" spans="1:14" x14ac:dyDescent="0.3">
      <c r="A2288" t="s">
        <v>3563</v>
      </c>
      <c r="B2288" s="1">
        <v>45107</v>
      </c>
      <c r="C2288" t="s">
        <v>2010</v>
      </c>
      <c r="D2288" t="s">
        <v>28</v>
      </c>
      <c r="E2288" t="s">
        <v>56</v>
      </c>
      <c r="F2288" t="s">
        <v>95</v>
      </c>
      <c r="G2288" t="s">
        <v>1084</v>
      </c>
      <c r="H2288" s="8">
        <v>1794.02</v>
      </c>
      <c r="I2288" s="8">
        <v>-266.37</v>
      </c>
      <c r="J2288" s="8">
        <v>0.18</v>
      </c>
      <c r="K2288" t="str">
        <f>IF(SalesData[[#This Row],[Profit]]&gt;0,"Profit","Loss")</f>
        <v>Loss</v>
      </c>
      <c r="L2288" s="8">
        <f>SalesData[[#This Row],[Profit]]/SalesData[[#This Row],[Sales]]</f>
        <v>-0.14847660561197756</v>
      </c>
      <c r="M2288" t="str">
        <f>TEXT(SalesData[[#This Row],[Order_Date]],"mmm")</f>
        <v>Jun</v>
      </c>
      <c r="N2288">
        <f>YEAR(SalesData[[#This Row],[Order_Date]])</f>
        <v>2023</v>
      </c>
    </row>
    <row r="2289" spans="1:14" x14ac:dyDescent="0.3">
      <c r="A2289" t="s">
        <v>3564</v>
      </c>
      <c r="B2289" s="1">
        <v>44741</v>
      </c>
      <c r="C2289" t="s">
        <v>1591</v>
      </c>
      <c r="D2289" t="s">
        <v>18</v>
      </c>
      <c r="E2289" t="s">
        <v>19</v>
      </c>
      <c r="F2289" t="s">
        <v>141</v>
      </c>
      <c r="G2289" t="s">
        <v>933</v>
      </c>
      <c r="H2289" s="8">
        <v>927.14</v>
      </c>
      <c r="I2289" s="8">
        <v>63.78</v>
      </c>
      <c r="J2289" s="8">
        <v>0.3</v>
      </c>
      <c r="K2289" t="str">
        <f>IF(SalesData[[#This Row],[Profit]]&gt;0,"Profit","Loss")</f>
        <v>Profit</v>
      </c>
      <c r="L2289" s="8">
        <f>SalesData[[#This Row],[Profit]]/SalesData[[#This Row],[Sales]]</f>
        <v>6.8792199667795595E-2</v>
      </c>
      <c r="M2289" t="str">
        <f>TEXT(SalesData[[#This Row],[Order_Date]],"mmm")</f>
        <v>Jun</v>
      </c>
      <c r="N2289">
        <f>YEAR(SalesData[[#This Row],[Order_Date]])</f>
        <v>2022</v>
      </c>
    </row>
    <row r="2290" spans="1:14" x14ac:dyDescent="0.3">
      <c r="A2290" t="s">
        <v>3565</v>
      </c>
      <c r="B2290" s="1">
        <v>44821</v>
      </c>
      <c r="C2290" t="s">
        <v>490</v>
      </c>
      <c r="D2290" t="s">
        <v>40</v>
      </c>
      <c r="E2290" t="s">
        <v>13</v>
      </c>
      <c r="F2290" t="s">
        <v>24</v>
      </c>
      <c r="G2290" t="s">
        <v>646</v>
      </c>
      <c r="H2290" s="8">
        <v>3504.11</v>
      </c>
      <c r="I2290" s="8">
        <v>-264.27999999999997</v>
      </c>
      <c r="J2290" s="8">
        <v>7.0000000000000007E-2</v>
      </c>
      <c r="K2290" t="str">
        <f>IF(SalesData[[#This Row],[Profit]]&gt;0,"Profit","Loss")</f>
        <v>Loss</v>
      </c>
      <c r="L2290" s="8">
        <f>SalesData[[#This Row],[Profit]]/SalesData[[#This Row],[Sales]]</f>
        <v>-7.5420006792024208E-2</v>
      </c>
      <c r="M2290" t="str">
        <f>TEXT(SalesData[[#This Row],[Order_Date]],"mmm")</f>
        <v>Sep</v>
      </c>
      <c r="N2290">
        <f>YEAR(SalesData[[#This Row],[Order_Date]])</f>
        <v>2022</v>
      </c>
    </row>
    <row r="2291" spans="1:14" x14ac:dyDescent="0.3">
      <c r="A2291" t="s">
        <v>3566</v>
      </c>
      <c r="B2291" s="1">
        <v>44854</v>
      </c>
      <c r="C2291" t="s">
        <v>314</v>
      </c>
      <c r="D2291" t="s">
        <v>28</v>
      </c>
      <c r="E2291" t="s">
        <v>56</v>
      </c>
      <c r="F2291" t="s">
        <v>73</v>
      </c>
      <c r="G2291" t="s">
        <v>2017</v>
      </c>
      <c r="H2291" s="8">
        <v>4728.41</v>
      </c>
      <c r="I2291" s="8">
        <v>528.13</v>
      </c>
      <c r="J2291" s="8">
        <v>0.08</v>
      </c>
      <c r="K2291" t="str">
        <f>IF(SalesData[[#This Row],[Profit]]&gt;0,"Profit","Loss")</f>
        <v>Profit</v>
      </c>
      <c r="L2291" s="8">
        <f>SalesData[[#This Row],[Profit]]/SalesData[[#This Row],[Sales]]</f>
        <v>0.11169293694920703</v>
      </c>
      <c r="M2291" t="str">
        <f>TEXT(SalesData[[#This Row],[Order_Date]],"mmm")</f>
        <v>Oct</v>
      </c>
      <c r="N2291">
        <f>YEAR(SalesData[[#This Row],[Order_Date]])</f>
        <v>2022</v>
      </c>
    </row>
    <row r="2292" spans="1:14" x14ac:dyDescent="0.3">
      <c r="A2292" t="s">
        <v>3567</v>
      </c>
      <c r="B2292" s="1">
        <v>44705</v>
      </c>
      <c r="C2292" t="s">
        <v>539</v>
      </c>
      <c r="D2292" t="s">
        <v>18</v>
      </c>
      <c r="E2292" t="s">
        <v>13</v>
      </c>
      <c r="F2292" t="s">
        <v>14</v>
      </c>
      <c r="G2292" t="s">
        <v>700</v>
      </c>
      <c r="H2292" s="8">
        <v>4362.3599999999997</v>
      </c>
      <c r="I2292" s="8">
        <v>-1762.3</v>
      </c>
      <c r="J2292" s="8">
        <v>0.25</v>
      </c>
      <c r="K2292" t="str">
        <f>IF(SalesData[[#This Row],[Profit]]&gt;0,"Profit","Loss")</f>
        <v>Loss</v>
      </c>
      <c r="L2292" s="8">
        <f>SalesData[[#This Row],[Profit]]/SalesData[[#This Row],[Sales]]</f>
        <v>-0.40397858040143408</v>
      </c>
      <c r="M2292" t="str">
        <f>TEXT(SalesData[[#This Row],[Order_Date]],"mmm")</f>
        <v>May</v>
      </c>
      <c r="N2292">
        <f>YEAR(SalesData[[#This Row],[Order_Date]])</f>
        <v>2022</v>
      </c>
    </row>
    <row r="2293" spans="1:14" x14ac:dyDescent="0.3">
      <c r="A2293" t="s">
        <v>3568</v>
      </c>
      <c r="B2293" s="1">
        <v>45065</v>
      </c>
      <c r="C2293" t="s">
        <v>3569</v>
      </c>
      <c r="D2293" t="s">
        <v>12</v>
      </c>
      <c r="E2293" t="s">
        <v>13</v>
      </c>
      <c r="F2293" t="s">
        <v>36</v>
      </c>
      <c r="G2293" t="s">
        <v>288</v>
      </c>
      <c r="H2293" s="8">
        <v>1498.78</v>
      </c>
      <c r="I2293" s="8">
        <v>148.69</v>
      </c>
      <c r="J2293" s="8">
        <v>0.16</v>
      </c>
      <c r="K2293" t="str">
        <f>IF(SalesData[[#This Row],[Profit]]&gt;0,"Profit","Loss")</f>
        <v>Profit</v>
      </c>
      <c r="L2293" s="8">
        <f>SalesData[[#This Row],[Profit]]/SalesData[[#This Row],[Sales]]</f>
        <v>9.9207355315656734E-2</v>
      </c>
      <c r="M2293" t="str">
        <f>TEXT(SalesData[[#This Row],[Order_Date]],"mmm")</f>
        <v>May</v>
      </c>
      <c r="N2293">
        <f>YEAR(SalesData[[#This Row],[Order_Date]])</f>
        <v>2023</v>
      </c>
    </row>
    <row r="2294" spans="1:14" x14ac:dyDescent="0.3">
      <c r="A2294" t="s">
        <v>3570</v>
      </c>
      <c r="B2294" s="1">
        <v>45218</v>
      </c>
      <c r="C2294" t="s">
        <v>3343</v>
      </c>
      <c r="D2294" t="s">
        <v>18</v>
      </c>
      <c r="E2294" t="s">
        <v>19</v>
      </c>
      <c r="F2294" t="s">
        <v>29</v>
      </c>
      <c r="G2294" t="s">
        <v>897</v>
      </c>
      <c r="H2294" s="8">
        <v>3844.37</v>
      </c>
      <c r="I2294" s="8">
        <v>-361.06</v>
      </c>
      <c r="J2294" s="8">
        <v>7.0000000000000007E-2</v>
      </c>
      <c r="K2294" t="str">
        <f>IF(SalesData[[#This Row],[Profit]]&gt;0,"Profit","Loss")</f>
        <v>Loss</v>
      </c>
      <c r="L2294" s="8">
        <f>SalesData[[#This Row],[Profit]]/SalesData[[#This Row],[Sales]]</f>
        <v>-9.3919159706271765E-2</v>
      </c>
      <c r="M2294" t="str">
        <f>TEXT(SalesData[[#This Row],[Order_Date]],"mmm")</f>
        <v>Oct</v>
      </c>
      <c r="N2294">
        <f>YEAR(SalesData[[#This Row],[Order_Date]])</f>
        <v>2023</v>
      </c>
    </row>
    <row r="2295" spans="1:14" x14ac:dyDescent="0.3">
      <c r="A2295" t="s">
        <v>3571</v>
      </c>
      <c r="B2295" s="1">
        <v>45263</v>
      </c>
      <c r="C2295" t="s">
        <v>794</v>
      </c>
      <c r="D2295" t="s">
        <v>12</v>
      </c>
      <c r="E2295" t="s">
        <v>56</v>
      </c>
      <c r="F2295" t="s">
        <v>57</v>
      </c>
      <c r="G2295" t="s">
        <v>951</v>
      </c>
      <c r="H2295" s="8">
        <v>1038.98</v>
      </c>
      <c r="I2295" s="8">
        <v>-131.6</v>
      </c>
      <c r="J2295" s="8">
        <v>0.25</v>
      </c>
      <c r="K2295" t="str">
        <f>IF(SalesData[[#This Row],[Profit]]&gt;0,"Profit","Loss")</f>
        <v>Loss</v>
      </c>
      <c r="L2295" s="8">
        <f>SalesData[[#This Row],[Profit]]/SalesData[[#This Row],[Sales]]</f>
        <v>-0.12666268840593659</v>
      </c>
      <c r="M2295" t="str">
        <f>TEXT(SalesData[[#This Row],[Order_Date]],"mmm")</f>
        <v>Dec</v>
      </c>
      <c r="N2295">
        <f>YEAR(SalesData[[#This Row],[Order_Date]])</f>
        <v>2023</v>
      </c>
    </row>
    <row r="2296" spans="1:14" x14ac:dyDescent="0.3">
      <c r="A2296" t="s">
        <v>3572</v>
      </c>
      <c r="B2296" s="1">
        <v>44630</v>
      </c>
      <c r="C2296" t="s">
        <v>2803</v>
      </c>
      <c r="D2296" t="s">
        <v>28</v>
      </c>
      <c r="E2296" t="s">
        <v>19</v>
      </c>
      <c r="F2296" t="s">
        <v>29</v>
      </c>
      <c r="G2296" t="s">
        <v>3009</v>
      </c>
      <c r="H2296" s="8">
        <v>3599.66</v>
      </c>
      <c r="I2296" s="8">
        <v>-1308.5999999999999</v>
      </c>
      <c r="J2296" s="8">
        <v>0.2</v>
      </c>
      <c r="K2296" t="str">
        <f>IF(SalesData[[#This Row],[Profit]]&gt;0,"Profit","Loss")</f>
        <v>Loss</v>
      </c>
      <c r="L2296" s="8">
        <f>SalesData[[#This Row],[Profit]]/SalesData[[#This Row],[Sales]]</f>
        <v>-0.36353433379819206</v>
      </c>
      <c r="M2296" t="str">
        <f>TEXT(SalesData[[#This Row],[Order_Date]],"mmm")</f>
        <v>Mar</v>
      </c>
      <c r="N2296">
        <f>YEAR(SalesData[[#This Row],[Order_Date]])</f>
        <v>2022</v>
      </c>
    </row>
    <row r="2297" spans="1:14" x14ac:dyDescent="0.3">
      <c r="A2297" t="s">
        <v>3573</v>
      </c>
      <c r="B2297" s="1">
        <v>44957</v>
      </c>
      <c r="C2297" t="s">
        <v>968</v>
      </c>
      <c r="D2297" t="s">
        <v>18</v>
      </c>
      <c r="E2297" t="s">
        <v>56</v>
      </c>
      <c r="F2297" t="s">
        <v>57</v>
      </c>
      <c r="G2297" t="s">
        <v>1376</v>
      </c>
      <c r="H2297" s="8">
        <v>1349.16</v>
      </c>
      <c r="I2297" s="8">
        <v>-395.82</v>
      </c>
      <c r="J2297" s="8">
        <v>0.21</v>
      </c>
      <c r="K2297" t="str">
        <f>IF(SalesData[[#This Row],[Profit]]&gt;0,"Profit","Loss")</f>
        <v>Loss</v>
      </c>
      <c r="L2297" s="8">
        <f>SalesData[[#This Row],[Profit]]/SalesData[[#This Row],[Sales]]</f>
        <v>-0.29338254914168815</v>
      </c>
      <c r="M2297" t="str">
        <f>TEXT(SalesData[[#This Row],[Order_Date]],"mmm")</f>
        <v>Jan</v>
      </c>
      <c r="N2297">
        <f>YEAR(SalesData[[#This Row],[Order_Date]])</f>
        <v>2023</v>
      </c>
    </row>
    <row r="2298" spans="1:14" x14ac:dyDescent="0.3">
      <c r="A2298" t="s">
        <v>3574</v>
      </c>
      <c r="B2298" s="1">
        <v>44796</v>
      </c>
      <c r="C2298" t="s">
        <v>91</v>
      </c>
      <c r="D2298" t="s">
        <v>18</v>
      </c>
      <c r="E2298" t="s">
        <v>13</v>
      </c>
      <c r="F2298" t="s">
        <v>24</v>
      </c>
      <c r="G2298" t="s">
        <v>2937</v>
      </c>
      <c r="H2298" s="8">
        <v>2564.9</v>
      </c>
      <c r="I2298" s="8">
        <v>344.92</v>
      </c>
      <c r="J2298" s="8">
        <v>0.04</v>
      </c>
      <c r="K2298" t="str">
        <f>IF(SalesData[[#This Row],[Profit]]&gt;0,"Profit","Loss")</f>
        <v>Profit</v>
      </c>
      <c r="L2298" s="8">
        <f>SalesData[[#This Row],[Profit]]/SalesData[[#This Row],[Sales]]</f>
        <v>0.13447697765994776</v>
      </c>
      <c r="M2298" t="str">
        <f>TEXT(SalesData[[#This Row],[Order_Date]],"mmm")</f>
        <v>Aug</v>
      </c>
      <c r="N2298">
        <f>YEAR(SalesData[[#This Row],[Order_Date]])</f>
        <v>2022</v>
      </c>
    </row>
    <row r="2299" spans="1:14" x14ac:dyDescent="0.3">
      <c r="A2299" t="s">
        <v>3575</v>
      </c>
      <c r="B2299" s="1">
        <v>45211</v>
      </c>
      <c r="C2299" t="s">
        <v>691</v>
      </c>
      <c r="D2299" t="s">
        <v>12</v>
      </c>
      <c r="E2299" t="s">
        <v>19</v>
      </c>
      <c r="F2299" t="s">
        <v>20</v>
      </c>
      <c r="G2299" t="s">
        <v>92</v>
      </c>
      <c r="H2299" s="8">
        <v>275.24</v>
      </c>
      <c r="I2299" s="8">
        <v>-16.510000000000002</v>
      </c>
      <c r="J2299" s="8">
        <v>0.28000000000000003</v>
      </c>
      <c r="K2299" t="str">
        <f>IF(SalesData[[#This Row],[Profit]]&gt;0,"Profit","Loss")</f>
        <v>Loss</v>
      </c>
      <c r="L2299" s="8">
        <f>SalesData[[#This Row],[Profit]]/SalesData[[#This Row],[Sales]]</f>
        <v>-5.9984013951460545E-2</v>
      </c>
      <c r="M2299" t="str">
        <f>TEXT(SalesData[[#This Row],[Order_Date]],"mmm")</f>
        <v>Oct</v>
      </c>
      <c r="N2299">
        <f>YEAR(SalesData[[#This Row],[Order_Date]])</f>
        <v>2023</v>
      </c>
    </row>
    <row r="2300" spans="1:14" x14ac:dyDescent="0.3">
      <c r="A2300" t="s">
        <v>3576</v>
      </c>
      <c r="B2300" s="1">
        <v>45088</v>
      </c>
      <c r="C2300" t="s">
        <v>3143</v>
      </c>
      <c r="D2300" t="s">
        <v>28</v>
      </c>
      <c r="E2300" t="s">
        <v>56</v>
      </c>
      <c r="F2300" t="s">
        <v>73</v>
      </c>
      <c r="G2300" t="s">
        <v>473</v>
      </c>
      <c r="H2300" s="8">
        <v>4375.68</v>
      </c>
      <c r="I2300" s="8">
        <v>-117.73</v>
      </c>
      <c r="J2300" s="8">
        <v>0.13</v>
      </c>
      <c r="K2300" t="str">
        <f>IF(SalesData[[#This Row],[Profit]]&gt;0,"Profit","Loss")</f>
        <v>Loss</v>
      </c>
      <c r="L2300" s="8">
        <f>SalesData[[#This Row],[Profit]]/SalesData[[#This Row],[Sales]]</f>
        <v>-2.6905532397250256E-2</v>
      </c>
      <c r="M2300" t="str">
        <f>TEXT(SalesData[[#This Row],[Order_Date]],"mmm")</f>
        <v>Jun</v>
      </c>
      <c r="N2300">
        <f>YEAR(SalesData[[#This Row],[Order_Date]])</f>
        <v>2023</v>
      </c>
    </row>
    <row r="2301" spans="1:14" x14ac:dyDescent="0.3">
      <c r="A2301" t="s">
        <v>3577</v>
      </c>
      <c r="B2301" s="1">
        <v>44829</v>
      </c>
      <c r="C2301" t="s">
        <v>2767</v>
      </c>
      <c r="D2301" t="s">
        <v>28</v>
      </c>
      <c r="E2301" t="s">
        <v>56</v>
      </c>
      <c r="F2301" t="s">
        <v>95</v>
      </c>
      <c r="G2301" t="s">
        <v>1492</v>
      </c>
      <c r="H2301" s="8">
        <v>1345.1</v>
      </c>
      <c r="I2301" s="8">
        <v>125.51</v>
      </c>
      <c r="J2301" s="8">
        <v>0.28000000000000003</v>
      </c>
      <c r="K2301" t="str">
        <f>IF(SalesData[[#This Row],[Profit]]&gt;0,"Profit","Loss")</f>
        <v>Profit</v>
      </c>
      <c r="L2301" s="8">
        <f>SalesData[[#This Row],[Profit]]/SalesData[[#This Row],[Sales]]</f>
        <v>9.3309047654449487E-2</v>
      </c>
      <c r="M2301" t="str">
        <f>TEXT(SalesData[[#This Row],[Order_Date]],"mmm")</f>
        <v>Sep</v>
      </c>
      <c r="N2301">
        <f>YEAR(SalesData[[#This Row],[Order_Date]])</f>
        <v>2022</v>
      </c>
    </row>
    <row r="2302" spans="1:14" x14ac:dyDescent="0.3">
      <c r="A2302" t="s">
        <v>3578</v>
      </c>
      <c r="B2302" s="1">
        <v>45048</v>
      </c>
      <c r="C2302" t="s">
        <v>522</v>
      </c>
      <c r="D2302" t="s">
        <v>18</v>
      </c>
      <c r="E2302" t="s">
        <v>13</v>
      </c>
      <c r="F2302" t="s">
        <v>14</v>
      </c>
      <c r="G2302" t="s">
        <v>288</v>
      </c>
      <c r="H2302" s="8">
        <v>4115.3</v>
      </c>
      <c r="I2302" s="8">
        <v>-193.17</v>
      </c>
      <c r="J2302" s="8">
        <v>0.26</v>
      </c>
      <c r="K2302" t="str">
        <f>IF(SalesData[[#This Row],[Profit]]&gt;0,"Profit","Loss")</f>
        <v>Loss</v>
      </c>
      <c r="L2302" s="8">
        <f>SalesData[[#This Row],[Profit]]/SalesData[[#This Row],[Sales]]</f>
        <v>-4.6939469783490867E-2</v>
      </c>
      <c r="M2302" t="str">
        <f>TEXT(SalesData[[#This Row],[Order_Date]],"mmm")</f>
        <v>May</v>
      </c>
      <c r="N2302">
        <f>YEAR(SalesData[[#This Row],[Order_Date]])</f>
        <v>2023</v>
      </c>
    </row>
    <row r="2303" spans="1:14" x14ac:dyDescent="0.3">
      <c r="A2303" t="s">
        <v>3579</v>
      </c>
      <c r="B2303" s="1">
        <v>45247</v>
      </c>
      <c r="C2303" t="s">
        <v>586</v>
      </c>
      <c r="D2303" t="s">
        <v>18</v>
      </c>
      <c r="E2303" t="s">
        <v>13</v>
      </c>
      <c r="F2303" t="s">
        <v>24</v>
      </c>
      <c r="G2303" t="s">
        <v>1870</v>
      </c>
      <c r="H2303" s="8">
        <v>625.04999999999995</v>
      </c>
      <c r="I2303" s="8">
        <v>0.34</v>
      </c>
      <c r="J2303" s="8">
        <v>0.19</v>
      </c>
      <c r="K2303" t="str">
        <f>IF(SalesData[[#This Row],[Profit]]&gt;0,"Profit","Loss")</f>
        <v>Profit</v>
      </c>
      <c r="L2303" s="8">
        <f>SalesData[[#This Row],[Profit]]/SalesData[[#This Row],[Sales]]</f>
        <v>5.4395648348132155E-4</v>
      </c>
      <c r="M2303" t="str">
        <f>TEXT(SalesData[[#This Row],[Order_Date]],"mmm")</f>
        <v>Nov</v>
      </c>
      <c r="N2303">
        <f>YEAR(SalesData[[#This Row],[Order_Date]])</f>
        <v>2023</v>
      </c>
    </row>
    <row r="2304" spans="1:14" x14ac:dyDescent="0.3">
      <c r="A2304" t="s">
        <v>3580</v>
      </c>
      <c r="B2304" s="1">
        <v>45238</v>
      </c>
      <c r="C2304" t="s">
        <v>2181</v>
      </c>
      <c r="D2304" t="s">
        <v>28</v>
      </c>
      <c r="E2304" t="s">
        <v>13</v>
      </c>
      <c r="F2304" t="s">
        <v>14</v>
      </c>
      <c r="G2304" t="s">
        <v>398</v>
      </c>
      <c r="H2304" s="8">
        <v>820.71</v>
      </c>
      <c r="I2304" s="8">
        <v>-31.68</v>
      </c>
      <c r="J2304" s="8">
        <v>0.14000000000000001</v>
      </c>
      <c r="K2304" t="str">
        <f>IF(SalesData[[#This Row],[Profit]]&gt;0,"Profit","Loss")</f>
        <v>Loss</v>
      </c>
      <c r="L2304" s="8">
        <f>SalesData[[#This Row],[Profit]]/SalesData[[#This Row],[Sales]]</f>
        <v>-3.8600723763570564E-2</v>
      </c>
      <c r="M2304" t="str">
        <f>TEXT(SalesData[[#This Row],[Order_Date]],"mmm")</f>
        <v>Nov</v>
      </c>
      <c r="N2304">
        <f>YEAR(SalesData[[#This Row],[Order_Date]])</f>
        <v>2023</v>
      </c>
    </row>
    <row r="2305" spans="1:14" x14ac:dyDescent="0.3">
      <c r="A2305" t="s">
        <v>3581</v>
      </c>
      <c r="B2305" s="1">
        <v>44720</v>
      </c>
      <c r="C2305" t="s">
        <v>478</v>
      </c>
      <c r="D2305" t="s">
        <v>12</v>
      </c>
      <c r="E2305" t="s">
        <v>13</v>
      </c>
      <c r="F2305" t="s">
        <v>24</v>
      </c>
      <c r="G2305" t="s">
        <v>1271</v>
      </c>
      <c r="H2305" s="8">
        <v>2938.47</v>
      </c>
      <c r="I2305" s="8">
        <v>-538.87</v>
      </c>
      <c r="J2305" s="8">
        <v>0.3</v>
      </c>
      <c r="K2305" t="str">
        <f>IF(SalesData[[#This Row],[Profit]]&gt;0,"Profit","Loss")</f>
        <v>Loss</v>
      </c>
      <c r="L2305" s="8">
        <f>SalesData[[#This Row],[Profit]]/SalesData[[#This Row],[Sales]]</f>
        <v>-0.18338455046333638</v>
      </c>
      <c r="M2305" t="str">
        <f>TEXT(SalesData[[#This Row],[Order_Date]],"mmm")</f>
        <v>Jun</v>
      </c>
      <c r="N2305">
        <f>YEAR(SalesData[[#This Row],[Order_Date]])</f>
        <v>2022</v>
      </c>
    </row>
    <row r="2306" spans="1:14" x14ac:dyDescent="0.3">
      <c r="A2306" t="s">
        <v>3582</v>
      </c>
      <c r="B2306" s="1">
        <v>44842</v>
      </c>
      <c r="C2306" t="s">
        <v>1945</v>
      </c>
      <c r="D2306" t="s">
        <v>18</v>
      </c>
      <c r="E2306" t="s">
        <v>19</v>
      </c>
      <c r="F2306" t="s">
        <v>29</v>
      </c>
      <c r="G2306" t="s">
        <v>1882</v>
      </c>
      <c r="H2306" s="8">
        <v>2936</v>
      </c>
      <c r="I2306" s="8">
        <v>139.77000000000001</v>
      </c>
      <c r="J2306" s="8">
        <v>0.04</v>
      </c>
      <c r="K2306" t="str">
        <f>IF(SalesData[[#This Row],[Profit]]&gt;0,"Profit","Loss")</f>
        <v>Profit</v>
      </c>
      <c r="L2306" s="8">
        <f>SalesData[[#This Row],[Profit]]/SalesData[[#This Row],[Sales]]</f>
        <v>4.7605585831062676E-2</v>
      </c>
      <c r="M2306" t="str">
        <f>TEXT(SalesData[[#This Row],[Order_Date]],"mmm")</f>
        <v>Oct</v>
      </c>
      <c r="N2306">
        <f>YEAR(SalesData[[#This Row],[Order_Date]])</f>
        <v>2022</v>
      </c>
    </row>
    <row r="2307" spans="1:14" x14ac:dyDescent="0.3">
      <c r="A2307" t="s">
        <v>3583</v>
      </c>
      <c r="B2307" s="1">
        <v>45174</v>
      </c>
      <c r="C2307" t="s">
        <v>107</v>
      </c>
      <c r="D2307" t="s">
        <v>28</v>
      </c>
      <c r="E2307" t="s">
        <v>19</v>
      </c>
      <c r="F2307" t="s">
        <v>20</v>
      </c>
      <c r="G2307" t="s">
        <v>606</v>
      </c>
      <c r="H2307" s="8">
        <v>278.5</v>
      </c>
      <c r="I2307" s="8">
        <v>57.74</v>
      </c>
      <c r="J2307" s="8">
        <v>0.03</v>
      </c>
      <c r="K2307" t="str">
        <f>IF(SalesData[[#This Row],[Profit]]&gt;0,"Profit","Loss")</f>
        <v>Profit</v>
      </c>
      <c r="L2307" s="8">
        <f>SalesData[[#This Row],[Profit]]/SalesData[[#This Row],[Sales]]</f>
        <v>0.2073249551166966</v>
      </c>
      <c r="M2307" t="str">
        <f>TEXT(SalesData[[#This Row],[Order_Date]],"mmm")</f>
        <v>Sep</v>
      </c>
      <c r="N2307">
        <f>YEAR(SalesData[[#This Row],[Order_Date]])</f>
        <v>2023</v>
      </c>
    </row>
    <row r="2308" spans="1:14" x14ac:dyDescent="0.3">
      <c r="A2308" t="s">
        <v>3584</v>
      </c>
      <c r="B2308" s="1">
        <v>45226</v>
      </c>
      <c r="C2308" t="s">
        <v>287</v>
      </c>
      <c r="D2308" t="s">
        <v>28</v>
      </c>
      <c r="E2308" t="s">
        <v>19</v>
      </c>
      <c r="F2308" t="s">
        <v>20</v>
      </c>
      <c r="G2308" t="s">
        <v>971</v>
      </c>
      <c r="H2308" s="8">
        <v>1412.22</v>
      </c>
      <c r="I2308" s="8">
        <v>40.93</v>
      </c>
      <c r="J2308" s="8">
        <v>0.27</v>
      </c>
      <c r="K2308" t="str">
        <f>IF(SalesData[[#This Row],[Profit]]&gt;0,"Profit","Loss")</f>
        <v>Profit</v>
      </c>
      <c r="L2308" s="8">
        <f>SalesData[[#This Row],[Profit]]/SalesData[[#This Row],[Sales]]</f>
        <v>2.8982736400844061E-2</v>
      </c>
      <c r="M2308" t="str">
        <f>TEXT(SalesData[[#This Row],[Order_Date]],"mmm")</f>
        <v>Oct</v>
      </c>
      <c r="N2308">
        <f>YEAR(SalesData[[#This Row],[Order_Date]])</f>
        <v>2023</v>
      </c>
    </row>
    <row r="2309" spans="1:14" x14ac:dyDescent="0.3">
      <c r="A2309" t="s">
        <v>3585</v>
      </c>
      <c r="B2309" s="1">
        <v>44677</v>
      </c>
      <c r="C2309" t="s">
        <v>1108</v>
      </c>
      <c r="D2309" t="s">
        <v>28</v>
      </c>
      <c r="E2309" t="s">
        <v>13</v>
      </c>
      <c r="F2309" t="s">
        <v>14</v>
      </c>
      <c r="G2309" t="s">
        <v>826</v>
      </c>
      <c r="H2309" s="8">
        <v>1267.51</v>
      </c>
      <c r="I2309" s="8">
        <v>-442.91</v>
      </c>
      <c r="J2309" s="8">
        <v>0.24</v>
      </c>
      <c r="K2309" t="str">
        <f>IF(SalesData[[#This Row],[Profit]]&gt;0,"Profit","Loss")</f>
        <v>Loss</v>
      </c>
      <c r="L2309" s="8">
        <f>SalesData[[#This Row],[Profit]]/SalesData[[#This Row],[Sales]]</f>
        <v>-0.34943314056693836</v>
      </c>
      <c r="M2309" t="str">
        <f>TEXT(SalesData[[#This Row],[Order_Date]],"mmm")</f>
        <v>Apr</v>
      </c>
      <c r="N2309">
        <f>YEAR(SalesData[[#This Row],[Order_Date]])</f>
        <v>2022</v>
      </c>
    </row>
    <row r="2310" spans="1:14" x14ac:dyDescent="0.3">
      <c r="A2310" t="s">
        <v>3586</v>
      </c>
      <c r="B2310" s="1">
        <v>45091</v>
      </c>
      <c r="C2310" t="s">
        <v>574</v>
      </c>
      <c r="D2310" t="s">
        <v>12</v>
      </c>
      <c r="E2310" t="s">
        <v>19</v>
      </c>
      <c r="F2310" t="s">
        <v>20</v>
      </c>
      <c r="G2310" t="s">
        <v>438</v>
      </c>
      <c r="H2310" s="8">
        <v>4724.1400000000003</v>
      </c>
      <c r="I2310" s="8">
        <v>1039.52</v>
      </c>
      <c r="J2310" s="8">
        <v>0.17</v>
      </c>
      <c r="K2310" t="str">
        <f>IF(SalesData[[#This Row],[Profit]]&gt;0,"Profit","Loss")</f>
        <v>Profit</v>
      </c>
      <c r="L2310" s="8">
        <f>SalesData[[#This Row],[Profit]]/SalesData[[#This Row],[Sales]]</f>
        <v>0.22004428319228472</v>
      </c>
      <c r="M2310" t="str">
        <f>TEXT(SalesData[[#This Row],[Order_Date]],"mmm")</f>
        <v>Jun</v>
      </c>
      <c r="N2310">
        <f>YEAR(SalesData[[#This Row],[Order_Date]])</f>
        <v>2023</v>
      </c>
    </row>
    <row r="2311" spans="1:14" x14ac:dyDescent="0.3">
      <c r="A2311" t="s">
        <v>3587</v>
      </c>
      <c r="B2311" s="1">
        <v>44681</v>
      </c>
      <c r="C2311" t="s">
        <v>2505</v>
      </c>
      <c r="D2311" t="s">
        <v>18</v>
      </c>
      <c r="E2311" t="s">
        <v>13</v>
      </c>
      <c r="F2311" t="s">
        <v>24</v>
      </c>
      <c r="G2311" t="s">
        <v>816</v>
      </c>
      <c r="H2311" s="8">
        <v>4628.2</v>
      </c>
      <c r="I2311" s="8">
        <v>-820.69</v>
      </c>
      <c r="J2311" s="8">
        <v>0.05</v>
      </c>
      <c r="K2311" t="str">
        <f>IF(SalesData[[#This Row],[Profit]]&gt;0,"Profit","Loss")</f>
        <v>Loss</v>
      </c>
      <c r="L2311" s="8">
        <f>SalesData[[#This Row],[Profit]]/SalesData[[#This Row],[Sales]]</f>
        <v>-0.1773237975886954</v>
      </c>
      <c r="M2311" t="str">
        <f>TEXT(SalesData[[#This Row],[Order_Date]],"mmm")</f>
        <v>Apr</v>
      </c>
      <c r="N2311">
        <f>YEAR(SalesData[[#This Row],[Order_Date]])</f>
        <v>2022</v>
      </c>
    </row>
    <row r="2312" spans="1:14" x14ac:dyDescent="0.3">
      <c r="A2312" t="s">
        <v>3588</v>
      </c>
      <c r="B2312" s="1">
        <v>45006</v>
      </c>
      <c r="C2312" t="s">
        <v>3589</v>
      </c>
      <c r="D2312" t="s">
        <v>12</v>
      </c>
      <c r="E2312" t="s">
        <v>56</v>
      </c>
      <c r="F2312" t="s">
        <v>57</v>
      </c>
      <c r="G2312" t="s">
        <v>37</v>
      </c>
      <c r="H2312" s="8">
        <v>179.76</v>
      </c>
      <c r="I2312" s="8">
        <v>-32.08</v>
      </c>
      <c r="J2312" s="8">
        <v>0.21</v>
      </c>
      <c r="K2312" t="str">
        <f>IF(SalesData[[#This Row],[Profit]]&gt;0,"Profit","Loss")</f>
        <v>Loss</v>
      </c>
      <c r="L2312" s="8">
        <f>SalesData[[#This Row],[Profit]]/SalesData[[#This Row],[Sales]]</f>
        <v>-0.17846016911437473</v>
      </c>
      <c r="M2312" t="str">
        <f>TEXT(SalesData[[#This Row],[Order_Date]],"mmm")</f>
        <v>Mar</v>
      </c>
      <c r="N2312">
        <f>YEAR(SalesData[[#This Row],[Order_Date]])</f>
        <v>2023</v>
      </c>
    </row>
    <row r="2313" spans="1:14" x14ac:dyDescent="0.3">
      <c r="A2313" t="s">
        <v>3590</v>
      </c>
      <c r="B2313" s="1">
        <v>45254</v>
      </c>
      <c r="C2313" t="s">
        <v>2086</v>
      </c>
      <c r="D2313" t="s">
        <v>28</v>
      </c>
      <c r="E2313" t="s">
        <v>56</v>
      </c>
      <c r="F2313" t="s">
        <v>73</v>
      </c>
      <c r="G2313" t="s">
        <v>640</v>
      </c>
      <c r="H2313" s="8">
        <v>4222.25</v>
      </c>
      <c r="I2313" s="8">
        <v>594.08000000000004</v>
      </c>
      <c r="J2313" s="8">
        <v>0.18</v>
      </c>
      <c r="K2313" t="str">
        <f>IF(SalesData[[#This Row],[Profit]]&gt;0,"Profit","Loss")</f>
        <v>Profit</v>
      </c>
      <c r="L2313" s="8">
        <f>SalesData[[#This Row],[Profit]]/SalesData[[#This Row],[Sales]]</f>
        <v>0.14070223222215644</v>
      </c>
      <c r="M2313" t="str">
        <f>TEXT(SalesData[[#This Row],[Order_Date]],"mmm")</f>
        <v>Nov</v>
      </c>
      <c r="N2313">
        <f>YEAR(SalesData[[#This Row],[Order_Date]])</f>
        <v>2023</v>
      </c>
    </row>
    <row r="2314" spans="1:14" x14ac:dyDescent="0.3">
      <c r="A2314" t="s">
        <v>3591</v>
      </c>
      <c r="B2314" s="1">
        <v>44657</v>
      </c>
      <c r="C2314" t="s">
        <v>296</v>
      </c>
      <c r="D2314" t="s">
        <v>12</v>
      </c>
      <c r="E2314" t="s">
        <v>56</v>
      </c>
      <c r="F2314" t="s">
        <v>73</v>
      </c>
      <c r="G2314" t="s">
        <v>202</v>
      </c>
      <c r="H2314" s="8">
        <v>509.7</v>
      </c>
      <c r="I2314" s="8">
        <v>-33.840000000000003</v>
      </c>
      <c r="J2314" s="8">
        <v>0.09</v>
      </c>
      <c r="K2314" t="str">
        <f>IF(SalesData[[#This Row],[Profit]]&gt;0,"Profit","Loss")</f>
        <v>Loss</v>
      </c>
      <c r="L2314" s="8">
        <f>SalesData[[#This Row],[Profit]]/SalesData[[#This Row],[Sales]]</f>
        <v>-6.6391995291347858E-2</v>
      </c>
      <c r="M2314" t="str">
        <f>TEXT(SalesData[[#This Row],[Order_Date]],"mmm")</f>
        <v>Apr</v>
      </c>
      <c r="N2314">
        <f>YEAR(SalesData[[#This Row],[Order_Date]])</f>
        <v>2022</v>
      </c>
    </row>
    <row r="2315" spans="1:14" x14ac:dyDescent="0.3">
      <c r="A2315" t="s">
        <v>3592</v>
      </c>
      <c r="B2315" s="1">
        <v>44811</v>
      </c>
      <c r="C2315" t="s">
        <v>2238</v>
      </c>
      <c r="D2315" t="s">
        <v>12</v>
      </c>
      <c r="E2315" t="s">
        <v>13</v>
      </c>
      <c r="F2315" t="s">
        <v>14</v>
      </c>
      <c r="G2315" t="s">
        <v>89</v>
      </c>
      <c r="H2315" s="8">
        <v>4498.93</v>
      </c>
      <c r="I2315" s="8">
        <v>-442.72</v>
      </c>
      <c r="J2315" s="8">
        <v>0.09</v>
      </c>
      <c r="K2315" t="str">
        <f>IF(SalesData[[#This Row],[Profit]]&gt;0,"Profit","Loss")</f>
        <v>Loss</v>
      </c>
      <c r="L2315" s="8">
        <f>SalesData[[#This Row],[Profit]]/SalesData[[#This Row],[Sales]]</f>
        <v>-9.8405620892078785E-2</v>
      </c>
      <c r="M2315" t="str">
        <f>TEXT(SalesData[[#This Row],[Order_Date]],"mmm")</f>
        <v>Sep</v>
      </c>
      <c r="N2315">
        <f>YEAR(SalesData[[#This Row],[Order_Date]])</f>
        <v>2022</v>
      </c>
    </row>
    <row r="2316" spans="1:14" x14ac:dyDescent="0.3">
      <c r="A2316" t="s">
        <v>3593</v>
      </c>
      <c r="B2316" s="1">
        <v>45125</v>
      </c>
      <c r="C2316" t="s">
        <v>2238</v>
      </c>
      <c r="D2316" t="s">
        <v>18</v>
      </c>
      <c r="E2316" t="s">
        <v>13</v>
      </c>
      <c r="F2316" t="s">
        <v>14</v>
      </c>
      <c r="G2316" t="s">
        <v>1574</v>
      </c>
      <c r="H2316" s="8">
        <v>3952.23</v>
      </c>
      <c r="I2316" s="8">
        <v>750.22</v>
      </c>
      <c r="J2316" s="8">
        <v>0.08</v>
      </c>
      <c r="K2316" t="str">
        <f>IF(SalesData[[#This Row],[Profit]]&gt;0,"Profit","Loss")</f>
        <v>Profit</v>
      </c>
      <c r="L2316" s="8">
        <f>SalesData[[#This Row],[Profit]]/SalesData[[#This Row],[Sales]]</f>
        <v>0.18982194862141122</v>
      </c>
      <c r="M2316" t="str">
        <f>TEXT(SalesData[[#This Row],[Order_Date]],"mmm")</f>
        <v>Jul</v>
      </c>
      <c r="N2316">
        <f>YEAR(SalesData[[#This Row],[Order_Date]])</f>
        <v>2023</v>
      </c>
    </row>
    <row r="2317" spans="1:14" x14ac:dyDescent="0.3">
      <c r="A2317" t="s">
        <v>3594</v>
      </c>
      <c r="B2317" s="1">
        <v>45254</v>
      </c>
      <c r="C2317" t="s">
        <v>1278</v>
      </c>
      <c r="D2317" t="s">
        <v>12</v>
      </c>
      <c r="E2317" t="s">
        <v>19</v>
      </c>
      <c r="F2317" t="s">
        <v>29</v>
      </c>
      <c r="G2317" t="s">
        <v>1074</v>
      </c>
      <c r="H2317" s="8">
        <v>2102.4699999999998</v>
      </c>
      <c r="I2317" s="8">
        <v>-631.09</v>
      </c>
      <c r="J2317" s="8">
        <v>0.28999999999999998</v>
      </c>
      <c r="K2317" t="str">
        <f>IF(SalesData[[#This Row],[Profit]]&gt;0,"Profit","Loss")</f>
        <v>Loss</v>
      </c>
      <c r="L2317" s="8">
        <f>SalesData[[#This Row],[Profit]]/SalesData[[#This Row],[Sales]]</f>
        <v>-0.30016599523417697</v>
      </c>
      <c r="M2317" t="str">
        <f>TEXT(SalesData[[#This Row],[Order_Date]],"mmm")</f>
        <v>Nov</v>
      </c>
      <c r="N2317">
        <f>YEAR(SalesData[[#This Row],[Order_Date]])</f>
        <v>2023</v>
      </c>
    </row>
    <row r="2318" spans="1:14" x14ac:dyDescent="0.3">
      <c r="A2318" t="s">
        <v>3595</v>
      </c>
      <c r="B2318" s="1">
        <v>44975</v>
      </c>
      <c r="C2318" t="s">
        <v>1420</v>
      </c>
      <c r="D2318" t="s">
        <v>12</v>
      </c>
      <c r="E2318" t="s">
        <v>56</v>
      </c>
      <c r="F2318" t="s">
        <v>73</v>
      </c>
      <c r="G2318" t="s">
        <v>1657</v>
      </c>
      <c r="H2318" s="8">
        <v>3888.16</v>
      </c>
      <c r="I2318" s="8">
        <v>1132.1600000000001</v>
      </c>
      <c r="J2318" s="8">
        <v>0.01</v>
      </c>
      <c r="K2318" t="str">
        <f>IF(SalesData[[#This Row],[Profit]]&gt;0,"Profit","Loss")</f>
        <v>Profit</v>
      </c>
      <c r="L2318" s="8">
        <f>SalesData[[#This Row],[Profit]]/SalesData[[#This Row],[Sales]]</f>
        <v>0.2911814328628452</v>
      </c>
      <c r="M2318" t="str">
        <f>TEXT(SalesData[[#This Row],[Order_Date]],"mmm")</f>
        <v>Feb</v>
      </c>
      <c r="N2318">
        <f>YEAR(SalesData[[#This Row],[Order_Date]])</f>
        <v>2023</v>
      </c>
    </row>
    <row r="2319" spans="1:14" x14ac:dyDescent="0.3">
      <c r="A2319" t="s">
        <v>3596</v>
      </c>
      <c r="B2319" s="1">
        <v>44638</v>
      </c>
      <c r="C2319" t="s">
        <v>1055</v>
      </c>
      <c r="D2319" t="s">
        <v>12</v>
      </c>
      <c r="E2319" t="s">
        <v>19</v>
      </c>
      <c r="F2319" t="s">
        <v>29</v>
      </c>
      <c r="G2319" t="s">
        <v>1475</v>
      </c>
      <c r="H2319" s="8">
        <v>4767.2299999999996</v>
      </c>
      <c r="I2319" s="8">
        <v>-560.04999999999995</v>
      </c>
      <c r="J2319" s="8">
        <v>0.18</v>
      </c>
      <c r="K2319" t="str">
        <f>IF(SalesData[[#This Row],[Profit]]&gt;0,"Profit","Loss")</f>
        <v>Loss</v>
      </c>
      <c r="L2319" s="8">
        <f>SalesData[[#This Row],[Profit]]/SalesData[[#This Row],[Sales]]</f>
        <v>-0.11747912309664103</v>
      </c>
      <c r="M2319" t="str">
        <f>TEXT(SalesData[[#This Row],[Order_Date]],"mmm")</f>
        <v>Mar</v>
      </c>
      <c r="N2319">
        <f>YEAR(SalesData[[#This Row],[Order_Date]])</f>
        <v>2022</v>
      </c>
    </row>
    <row r="2320" spans="1:14" x14ac:dyDescent="0.3">
      <c r="A2320" t="s">
        <v>3597</v>
      </c>
      <c r="B2320" s="1">
        <v>44994</v>
      </c>
      <c r="C2320" t="s">
        <v>1424</v>
      </c>
      <c r="D2320" t="s">
        <v>12</v>
      </c>
      <c r="E2320" t="s">
        <v>13</v>
      </c>
      <c r="F2320" t="s">
        <v>14</v>
      </c>
      <c r="G2320" t="s">
        <v>2559</v>
      </c>
      <c r="H2320" s="8">
        <v>2235.9699999999998</v>
      </c>
      <c r="I2320" s="8">
        <v>-198.86</v>
      </c>
      <c r="J2320" s="8">
        <v>0.28999999999999998</v>
      </c>
      <c r="K2320" t="str">
        <f>IF(SalesData[[#This Row],[Profit]]&gt;0,"Profit","Loss")</f>
        <v>Loss</v>
      </c>
      <c r="L2320" s="8">
        <f>SalesData[[#This Row],[Profit]]/SalesData[[#This Row],[Sales]]</f>
        <v>-8.8936792532994649E-2</v>
      </c>
      <c r="M2320" t="str">
        <f>TEXT(SalesData[[#This Row],[Order_Date]],"mmm")</f>
        <v>Mar</v>
      </c>
      <c r="N2320">
        <f>YEAR(SalesData[[#This Row],[Order_Date]])</f>
        <v>2023</v>
      </c>
    </row>
    <row r="2321" spans="1:14" x14ac:dyDescent="0.3">
      <c r="A2321" t="s">
        <v>3598</v>
      </c>
      <c r="B2321" s="1">
        <v>45287</v>
      </c>
      <c r="C2321" t="s">
        <v>509</v>
      </c>
      <c r="D2321" t="s">
        <v>18</v>
      </c>
      <c r="E2321" t="s">
        <v>56</v>
      </c>
      <c r="F2321" t="s">
        <v>73</v>
      </c>
      <c r="G2321" t="s">
        <v>1967</v>
      </c>
      <c r="H2321" s="8">
        <v>2025.64</v>
      </c>
      <c r="I2321" s="8">
        <v>426.4</v>
      </c>
      <c r="J2321" s="8">
        <v>0.11</v>
      </c>
      <c r="K2321" t="str">
        <f>IF(SalesData[[#This Row],[Profit]]&gt;0,"Profit","Loss")</f>
        <v>Profit</v>
      </c>
      <c r="L2321" s="8">
        <f>SalesData[[#This Row],[Profit]]/SalesData[[#This Row],[Sales]]</f>
        <v>0.21050137240575817</v>
      </c>
      <c r="M2321" t="str">
        <f>TEXT(SalesData[[#This Row],[Order_Date]],"mmm")</f>
        <v>Dec</v>
      </c>
      <c r="N2321">
        <f>YEAR(SalesData[[#This Row],[Order_Date]])</f>
        <v>2023</v>
      </c>
    </row>
    <row r="2322" spans="1:14" x14ac:dyDescent="0.3">
      <c r="A2322" t="s">
        <v>3599</v>
      </c>
      <c r="B2322" s="1">
        <v>45167</v>
      </c>
      <c r="C2322" t="s">
        <v>1424</v>
      </c>
      <c r="D2322" t="s">
        <v>28</v>
      </c>
      <c r="E2322" t="s">
        <v>56</v>
      </c>
      <c r="F2322" t="s">
        <v>95</v>
      </c>
      <c r="G2322" t="s">
        <v>151</v>
      </c>
      <c r="H2322" s="8">
        <v>2754.1</v>
      </c>
      <c r="I2322" s="8">
        <v>381.36</v>
      </c>
      <c r="J2322" s="8">
        <v>0.03</v>
      </c>
      <c r="K2322" t="str">
        <f>IF(SalesData[[#This Row],[Profit]]&gt;0,"Profit","Loss")</f>
        <v>Profit</v>
      </c>
      <c r="L2322" s="8">
        <f>SalesData[[#This Row],[Profit]]/SalesData[[#This Row],[Sales]]</f>
        <v>0.13846991757743002</v>
      </c>
      <c r="M2322" t="str">
        <f>TEXT(SalesData[[#This Row],[Order_Date]],"mmm")</f>
        <v>Aug</v>
      </c>
      <c r="N2322">
        <f>YEAR(SalesData[[#This Row],[Order_Date]])</f>
        <v>2023</v>
      </c>
    </row>
    <row r="2323" spans="1:14" x14ac:dyDescent="0.3">
      <c r="A2323" t="s">
        <v>3600</v>
      </c>
      <c r="B2323" s="1">
        <v>45002</v>
      </c>
      <c r="C2323" t="s">
        <v>2634</v>
      </c>
      <c r="D2323" t="s">
        <v>18</v>
      </c>
      <c r="E2323" t="s">
        <v>13</v>
      </c>
      <c r="F2323" t="s">
        <v>24</v>
      </c>
      <c r="G2323" t="s">
        <v>2278</v>
      </c>
      <c r="H2323" s="8">
        <v>173.72</v>
      </c>
      <c r="I2323" s="8">
        <v>4.54</v>
      </c>
      <c r="J2323" s="8">
        <v>0.23</v>
      </c>
      <c r="K2323" t="str">
        <f>IF(SalesData[[#This Row],[Profit]]&gt;0,"Profit","Loss")</f>
        <v>Profit</v>
      </c>
      <c r="L2323" s="8">
        <f>SalesData[[#This Row],[Profit]]/SalesData[[#This Row],[Sales]]</f>
        <v>2.6134008749712181E-2</v>
      </c>
      <c r="M2323" t="str">
        <f>TEXT(SalesData[[#This Row],[Order_Date]],"mmm")</f>
        <v>Mar</v>
      </c>
      <c r="N2323">
        <f>YEAR(SalesData[[#This Row],[Order_Date]])</f>
        <v>2023</v>
      </c>
    </row>
    <row r="2324" spans="1:14" x14ac:dyDescent="0.3">
      <c r="A2324" t="s">
        <v>3601</v>
      </c>
      <c r="B2324" s="1">
        <v>44976</v>
      </c>
      <c r="C2324" t="s">
        <v>2971</v>
      </c>
      <c r="D2324" t="s">
        <v>28</v>
      </c>
      <c r="E2324" t="s">
        <v>13</v>
      </c>
      <c r="F2324" t="s">
        <v>14</v>
      </c>
      <c r="G2324" t="s">
        <v>2205</v>
      </c>
      <c r="H2324" s="8">
        <v>1951.81</v>
      </c>
      <c r="I2324" s="8">
        <v>-158.56</v>
      </c>
      <c r="J2324" s="8">
        <v>0.22</v>
      </c>
      <c r="K2324" t="str">
        <f>IF(SalesData[[#This Row],[Profit]]&gt;0,"Profit","Loss")</f>
        <v>Loss</v>
      </c>
      <c r="L2324" s="8">
        <f>SalesData[[#This Row],[Profit]]/SalesData[[#This Row],[Sales]]</f>
        <v>-8.12374155271261E-2</v>
      </c>
      <c r="M2324" t="str">
        <f>TEXT(SalesData[[#This Row],[Order_Date]],"mmm")</f>
        <v>Feb</v>
      </c>
      <c r="N2324">
        <f>YEAR(SalesData[[#This Row],[Order_Date]])</f>
        <v>2023</v>
      </c>
    </row>
    <row r="2325" spans="1:14" x14ac:dyDescent="0.3">
      <c r="A2325" t="s">
        <v>3602</v>
      </c>
      <c r="B2325" s="1">
        <v>45094</v>
      </c>
      <c r="C2325" t="s">
        <v>3074</v>
      </c>
      <c r="D2325" t="s">
        <v>12</v>
      </c>
      <c r="E2325" t="s">
        <v>19</v>
      </c>
      <c r="F2325" t="s">
        <v>20</v>
      </c>
      <c r="G2325" t="s">
        <v>406</v>
      </c>
      <c r="H2325" s="8">
        <v>2686.98</v>
      </c>
      <c r="I2325" s="8">
        <v>-67.66</v>
      </c>
      <c r="J2325" s="8">
        <v>0.16</v>
      </c>
      <c r="K2325" t="str">
        <f>IF(SalesData[[#This Row],[Profit]]&gt;0,"Profit","Loss")</f>
        <v>Loss</v>
      </c>
      <c r="L2325" s="8">
        <f>SalesData[[#This Row],[Profit]]/SalesData[[#This Row],[Sales]]</f>
        <v>-2.5180686123454584E-2</v>
      </c>
      <c r="M2325" t="str">
        <f>TEXT(SalesData[[#This Row],[Order_Date]],"mmm")</f>
        <v>Jun</v>
      </c>
      <c r="N2325">
        <f>YEAR(SalesData[[#This Row],[Order_Date]])</f>
        <v>2023</v>
      </c>
    </row>
    <row r="2326" spans="1:14" x14ac:dyDescent="0.3">
      <c r="A2326" t="s">
        <v>3603</v>
      </c>
      <c r="B2326" s="1">
        <v>44934</v>
      </c>
      <c r="C2326" t="s">
        <v>464</v>
      </c>
      <c r="D2326" t="s">
        <v>40</v>
      </c>
      <c r="E2326" t="s">
        <v>13</v>
      </c>
      <c r="F2326" t="s">
        <v>24</v>
      </c>
      <c r="G2326" t="s">
        <v>398</v>
      </c>
      <c r="H2326" s="8">
        <v>3336.02</v>
      </c>
      <c r="I2326" s="8">
        <v>62.11</v>
      </c>
      <c r="J2326" s="8">
        <v>0.15</v>
      </c>
      <c r="K2326" t="str">
        <f>IF(SalesData[[#This Row],[Profit]]&gt;0,"Profit","Loss")</f>
        <v>Profit</v>
      </c>
      <c r="L2326" s="8">
        <f>SalesData[[#This Row],[Profit]]/SalesData[[#This Row],[Sales]]</f>
        <v>1.8617993896919083E-2</v>
      </c>
      <c r="M2326" t="str">
        <f>TEXT(SalesData[[#This Row],[Order_Date]],"mmm")</f>
        <v>Jan</v>
      </c>
      <c r="N2326">
        <f>YEAR(SalesData[[#This Row],[Order_Date]])</f>
        <v>2023</v>
      </c>
    </row>
    <row r="2327" spans="1:14" x14ac:dyDescent="0.3">
      <c r="A2327" t="s">
        <v>3604</v>
      </c>
      <c r="B2327" s="1">
        <v>45027</v>
      </c>
      <c r="C2327" t="s">
        <v>776</v>
      </c>
      <c r="D2327" t="s">
        <v>12</v>
      </c>
      <c r="E2327" t="s">
        <v>13</v>
      </c>
      <c r="F2327" t="s">
        <v>36</v>
      </c>
      <c r="G2327" t="s">
        <v>268</v>
      </c>
      <c r="H2327" s="8">
        <v>984.99</v>
      </c>
      <c r="I2327" s="8">
        <v>-289.07</v>
      </c>
      <c r="J2327" s="8">
        <v>0.14000000000000001</v>
      </c>
      <c r="K2327" t="str">
        <f>IF(SalesData[[#This Row],[Profit]]&gt;0,"Profit","Loss")</f>
        <v>Loss</v>
      </c>
      <c r="L2327" s="8">
        <f>SalesData[[#This Row],[Profit]]/SalesData[[#This Row],[Sales]]</f>
        <v>-0.29347506066051432</v>
      </c>
      <c r="M2327" t="str">
        <f>TEXT(SalesData[[#This Row],[Order_Date]],"mmm")</f>
        <v>Apr</v>
      </c>
      <c r="N2327">
        <f>YEAR(SalesData[[#This Row],[Order_Date]])</f>
        <v>2023</v>
      </c>
    </row>
    <row r="2328" spans="1:14" x14ac:dyDescent="0.3">
      <c r="A2328" t="s">
        <v>3605</v>
      </c>
      <c r="B2328" s="1">
        <v>45280</v>
      </c>
      <c r="C2328" t="s">
        <v>478</v>
      </c>
      <c r="D2328" t="s">
        <v>40</v>
      </c>
      <c r="E2328" t="s">
        <v>13</v>
      </c>
      <c r="F2328" t="s">
        <v>14</v>
      </c>
      <c r="G2328" t="s">
        <v>41</v>
      </c>
      <c r="H2328" s="8">
        <v>719.87</v>
      </c>
      <c r="I2328" s="8">
        <v>-288.22000000000003</v>
      </c>
      <c r="J2328" s="8">
        <v>0.28000000000000003</v>
      </c>
      <c r="K2328" t="str">
        <f>IF(SalesData[[#This Row],[Profit]]&gt;0,"Profit","Loss")</f>
        <v>Loss</v>
      </c>
      <c r="L2328" s="8">
        <f>SalesData[[#This Row],[Profit]]/SalesData[[#This Row],[Sales]]</f>
        <v>-0.40037784599997223</v>
      </c>
      <c r="M2328" t="str">
        <f>TEXT(SalesData[[#This Row],[Order_Date]],"mmm")</f>
        <v>Dec</v>
      </c>
      <c r="N2328">
        <f>YEAR(SalesData[[#This Row],[Order_Date]])</f>
        <v>2023</v>
      </c>
    </row>
    <row r="2329" spans="1:14" x14ac:dyDescent="0.3">
      <c r="A2329" t="s">
        <v>3606</v>
      </c>
      <c r="B2329" s="1">
        <v>44577</v>
      </c>
      <c r="C2329" t="s">
        <v>379</v>
      </c>
      <c r="D2329" t="s">
        <v>12</v>
      </c>
      <c r="E2329" t="s">
        <v>13</v>
      </c>
      <c r="F2329" t="s">
        <v>24</v>
      </c>
      <c r="G2329" t="s">
        <v>1084</v>
      </c>
      <c r="H2329" s="8">
        <v>2928.83</v>
      </c>
      <c r="I2329" s="8">
        <v>-989.76</v>
      </c>
      <c r="J2329" s="8">
        <v>0.25</v>
      </c>
      <c r="K2329" t="str">
        <f>IF(SalesData[[#This Row],[Profit]]&gt;0,"Profit","Loss")</f>
        <v>Loss</v>
      </c>
      <c r="L2329" s="8">
        <f>SalesData[[#This Row],[Profit]]/SalesData[[#This Row],[Sales]]</f>
        <v>-0.33793699190461723</v>
      </c>
      <c r="M2329" t="str">
        <f>TEXT(SalesData[[#This Row],[Order_Date]],"mmm")</f>
        <v>Jan</v>
      </c>
      <c r="N2329">
        <f>YEAR(SalesData[[#This Row],[Order_Date]])</f>
        <v>2022</v>
      </c>
    </row>
    <row r="2330" spans="1:14" x14ac:dyDescent="0.3">
      <c r="A2330" t="s">
        <v>3607</v>
      </c>
      <c r="B2330" s="1">
        <v>45034</v>
      </c>
      <c r="C2330" t="s">
        <v>1949</v>
      </c>
      <c r="D2330" t="s">
        <v>40</v>
      </c>
      <c r="E2330" t="s">
        <v>56</v>
      </c>
      <c r="F2330" t="s">
        <v>73</v>
      </c>
      <c r="G2330" t="s">
        <v>1941</v>
      </c>
      <c r="H2330" s="8">
        <v>1905.86</v>
      </c>
      <c r="I2330" s="8">
        <v>-374.11</v>
      </c>
      <c r="J2330" s="8">
        <v>0.04</v>
      </c>
      <c r="K2330" t="str">
        <f>IF(SalesData[[#This Row],[Profit]]&gt;0,"Profit","Loss")</f>
        <v>Loss</v>
      </c>
      <c r="L2330" s="8">
        <f>SalesData[[#This Row],[Profit]]/SalesData[[#This Row],[Sales]]</f>
        <v>-0.1962945861710724</v>
      </c>
      <c r="M2330" t="str">
        <f>TEXT(SalesData[[#This Row],[Order_Date]],"mmm")</f>
        <v>Apr</v>
      </c>
      <c r="N2330">
        <f>YEAR(SalesData[[#This Row],[Order_Date]])</f>
        <v>2023</v>
      </c>
    </row>
    <row r="2331" spans="1:14" x14ac:dyDescent="0.3">
      <c r="A2331" t="s">
        <v>3608</v>
      </c>
      <c r="B2331" s="1">
        <v>45249</v>
      </c>
      <c r="C2331" t="s">
        <v>116</v>
      </c>
      <c r="D2331" t="s">
        <v>18</v>
      </c>
      <c r="E2331" t="s">
        <v>19</v>
      </c>
      <c r="F2331" t="s">
        <v>20</v>
      </c>
      <c r="G2331" t="s">
        <v>222</v>
      </c>
      <c r="H2331" s="8">
        <v>2356.8000000000002</v>
      </c>
      <c r="I2331" s="8">
        <v>197.12</v>
      </c>
      <c r="J2331" s="8">
        <v>0.14000000000000001</v>
      </c>
      <c r="K2331" t="str">
        <f>IF(SalesData[[#This Row],[Profit]]&gt;0,"Profit","Loss")</f>
        <v>Profit</v>
      </c>
      <c r="L2331" s="8">
        <f>SalesData[[#This Row],[Profit]]/SalesData[[#This Row],[Sales]]</f>
        <v>8.3638832315003395E-2</v>
      </c>
      <c r="M2331" t="str">
        <f>TEXT(SalesData[[#This Row],[Order_Date]],"mmm")</f>
        <v>Nov</v>
      </c>
      <c r="N2331">
        <f>YEAR(SalesData[[#This Row],[Order_Date]])</f>
        <v>2023</v>
      </c>
    </row>
    <row r="2332" spans="1:14" x14ac:dyDescent="0.3">
      <c r="A2332" t="s">
        <v>3609</v>
      </c>
      <c r="B2332" s="1">
        <v>45251</v>
      </c>
      <c r="C2332" t="s">
        <v>2107</v>
      </c>
      <c r="D2332" t="s">
        <v>18</v>
      </c>
      <c r="E2332" t="s">
        <v>19</v>
      </c>
      <c r="F2332" t="s">
        <v>29</v>
      </c>
      <c r="G2332" t="s">
        <v>2575</v>
      </c>
      <c r="H2332" s="8">
        <v>3050.4</v>
      </c>
      <c r="I2332" s="8">
        <v>-1165.43</v>
      </c>
      <c r="J2332" s="8">
        <v>0.24</v>
      </c>
      <c r="K2332" t="str">
        <f>IF(SalesData[[#This Row],[Profit]]&gt;0,"Profit","Loss")</f>
        <v>Loss</v>
      </c>
      <c r="L2332" s="8">
        <f>SalesData[[#This Row],[Profit]]/SalesData[[#This Row],[Sales]]</f>
        <v>-0.38205809074219776</v>
      </c>
      <c r="M2332" t="str">
        <f>TEXT(SalesData[[#This Row],[Order_Date]],"mmm")</f>
        <v>Nov</v>
      </c>
      <c r="N2332">
        <f>YEAR(SalesData[[#This Row],[Order_Date]])</f>
        <v>2023</v>
      </c>
    </row>
    <row r="2333" spans="1:14" x14ac:dyDescent="0.3">
      <c r="A2333" t="s">
        <v>3610</v>
      </c>
      <c r="B2333" s="1">
        <v>44834</v>
      </c>
      <c r="C2333" t="s">
        <v>2047</v>
      </c>
      <c r="D2333" t="s">
        <v>18</v>
      </c>
      <c r="E2333" t="s">
        <v>56</v>
      </c>
      <c r="F2333" t="s">
        <v>73</v>
      </c>
      <c r="G2333" t="s">
        <v>2490</v>
      </c>
      <c r="H2333" s="8">
        <v>3592.57</v>
      </c>
      <c r="I2333" s="8">
        <v>-852.65</v>
      </c>
      <c r="J2333" s="8">
        <v>0.12</v>
      </c>
      <c r="K2333" t="str">
        <f>IF(SalesData[[#This Row],[Profit]]&gt;0,"Profit","Loss")</f>
        <v>Loss</v>
      </c>
      <c r="L2333" s="8">
        <f>SalesData[[#This Row],[Profit]]/SalesData[[#This Row],[Sales]]</f>
        <v>-0.2373370595423332</v>
      </c>
      <c r="M2333" t="str">
        <f>TEXT(SalesData[[#This Row],[Order_Date]],"mmm")</f>
        <v>Sep</v>
      </c>
      <c r="N2333">
        <f>YEAR(SalesData[[#This Row],[Order_Date]])</f>
        <v>2022</v>
      </c>
    </row>
    <row r="2334" spans="1:14" x14ac:dyDescent="0.3">
      <c r="A2334" t="s">
        <v>3611</v>
      </c>
      <c r="B2334" s="1">
        <v>45286</v>
      </c>
      <c r="C2334" t="s">
        <v>1181</v>
      </c>
      <c r="D2334" t="s">
        <v>40</v>
      </c>
      <c r="E2334" t="s">
        <v>13</v>
      </c>
      <c r="F2334" t="s">
        <v>36</v>
      </c>
      <c r="G2334" t="s">
        <v>1849</v>
      </c>
      <c r="H2334" s="8">
        <v>1737.91</v>
      </c>
      <c r="I2334" s="8">
        <v>-191.92</v>
      </c>
      <c r="J2334" s="8">
        <v>0.18</v>
      </c>
      <c r="K2334" t="str">
        <f>IF(SalesData[[#This Row],[Profit]]&gt;0,"Profit","Loss")</f>
        <v>Loss</v>
      </c>
      <c r="L2334" s="8">
        <f>SalesData[[#This Row],[Profit]]/SalesData[[#This Row],[Sales]]</f>
        <v>-0.11043149530182804</v>
      </c>
      <c r="M2334" t="str">
        <f>TEXT(SalesData[[#This Row],[Order_Date]],"mmm")</f>
        <v>Dec</v>
      </c>
      <c r="N2334">
        <f>YEAR(SalesData[[#This Row],[Order_Date]])</f>
        <v>2023</v>
      </c>
    </row>
    <row r="2335" spans="1:14" x14ac:dyDescent="0.3">
      <c r="A2335" t="s">
        <v>3612</v>
      </c>
      <c r="B2335" s="1">
        <v>45059</v>
      </c>
      <c r="C2335" t="s">
        <v>739</v>
      </c>
      <c r="D2335" t="s">
        <v>40</v>
      </c>
      <c r="E2335" t="s">
        <v>56</v>
      </c>
      <c r="F2335" t="s">
        <v>57</v>
      </c>
      <c r="G2335" t="s">
        <v>1001</v>
      </c>
      <c r="H2335" s="8">
        <v>4134.21</v>
      </c>
      <c r="I2335" s="8">
        <v>-511.86</v>
      </c>
      <c r="J2335" s="8">
        <v>0.1</v>
      </c>
      <c r="K2335" t="str">
        <f>IF(SalesData[[#This Row],[Profit]]&gt;0,"Profit","Loss")</f>
        <v>Loss</v>
      </c>
      <c r="L2335" s="8">
        <f>SalesData[[#This Row],[Profit]]/SalesData[[#This Row],[Sales]]</f>
        <v>-0.12381083689507789</v>
      </c>
      <c r="M2335" t="str">
        <f>TEXT(SalesData[[#This Row],[Order_Date]],"mmm")</f>
        <v>May</v>
      </c>
      <c r="N2335">
        <f>YEAR(SalesData[[#This Row],[Order_Date]])</f>
        <v>2023</v>
      </c>
    </row>
    <row r="2336" spans="1:14" x14ac:dyDescent="0.3">
      <c r="A2336" t="s">
        <v>3613</v>
      </c>
      <c r="B2336" s="1">
        <v>44937</v>
      </c>
      <c r="C2336" t="s">
        <v>1023</v>
      </c>
      <c r="D2336" t="s">
        <v>12</v>
      </c>
      <c r="E2336" t="s">
        <v>13</v>
      </c>
      <c r="F2336" t="s">
        <v>14</v>
      </c>
      <c r="G2336" t="s">
        <v>606</v>
      </c>
      <c r="H2336" s="8">
        <v>114.14</v>
      </c>
      <c r="I2336" s="8">
        <v>-33.58</v>
      </c>
      <c r="J2336" s="8">
        <v>0.17</v>
      </c>
      <c r="K2336" t="str">
        <f>IF(SalesData[[#This Row],[Profit]]&gt;0,"Profit","Loss")</f>
        <v>Loss</v>
      </c>
      <c r="L2336" s="8">
        <f>SalesData[[#This Row],[Profit]]/SalesData[[#This Row],[Sales]]</f>
        <v>-0.29420010513404588</v>
      </c>
      <c r="M2336" t="str">
        <f>TEXT(SalesData[[#This Row],[Order_Date]],"mmm")</f>
        <v>Jan</v>
      </c>
      <c r="N2336">
        <f>YEAR(SalesData[[#This Row],[Order_Date]])</f>
        <v>2023</v>
      </c>
    </row>
    <row r="2337" spans="1:14" x14ac:dyDescent="0.3">
      <c r="A2337" t="s">
        <v>3614</v>
      </c>
      <c r="B2337" s="1">
        <v>44786</v>
      </c>
      <c r="C2337" t="s">
        <v>1115</v>
      </c>
      <c r="D2337" t="s">
        <v>40</v>
      </c>
      <c r="E2337" t="s">
        <v>13</v>
      </c>
      <c r="F2337" t="s">
        <v>14</v>
      </c>
      <c r="G2337" t="s">
        <v>317</v>
      </c>
      <c r="H2337" s="8">
        <v>4696.67</v>
      </c>
      <c r="I2337" s="8">
        <v>795.01</v>
      </c>
      <c r="J2337" s="8">
        <v>0.01</v>
      </c>
      <c r="K2337" t="str">
        <f>IF(SalesData[[#This Row],[Profit]]&gt;0,"Profit","Loss")</f>
        <v>Profit</v>
      </c>
      <c r="L2337" s="8">
        <f>SalesData[[#This Row],[Profit]]/SalesData[[#This Row],[Sales]]</f>
        <v>0.1692709941298835</v>
      </c>
      <c r="M2337" t="str">
        <f>TEXT(SalesData[[#This Row],[Order_Date]],"mmm")</f>
        <v>Aug</v>
      </c>
      <c r="N2337">
        <f>YEAR(SalesData[[#This Row],[Order_Date]])</f>
        <v>2022</v>
      </c>
    </row>
    <row r="2338" spans="1:14" x14ac:dyDescent="0.3">
      <c r="A2338" t="s">
        <v>3615</v>
      </c>
      <c r="B2338" s="1">
        <v>45043</v>
      </c>
      <c r="C2338" t="s">
        <v>2047</v>
      </c>
      <c r="D2338" t="s">
        <v>18</v>
      </c>
      <c r="E2338" t="s">
        <v>19</v>
      </c>
      <c r="F2338" t="s">
        <v>20</v>
      </c>
      <c r="G2338" t="s">
        <v>1355</v>
      </c>
      <c r="H2338" s="8">
        <v>2350.85</v>
      </c>
      <c r="I2338" s="8">
        <v>-419.37</v>
      </c>
      <c r="J2338" s="8">
        <v>0.06</v>
      </c>
      <c r="K2338" t="str">
        <f>IF(SalesData[[#This Row],[Profit]]&gt;0,"Profit","Loss")</f>
        <v>Loss</v>
      </c>
      <c r="L2338" s="8">
        <f>SalesData[[#This Row],[Profit]]/SalesData[[#This Row],[Sales]]</f>
        <v>-0.1783907948188953</v>
      </c>
      <c r="M2338" t="str">
        <f>TEXT(SalesData[[#This Row],[Order_Date]],"mmm")</f>
        <v>Apr</v>
      </c>
      <c r="N2338">
        <f>YEAR(SalesData[[#This Row],[Order_Date]])</f>
        <v>2023</v>
      </c>
    </row>
    <row r="2339" spans="1:14" x14ac:dyDescent="0.3">
      <c r="A2339" t="s">
        <v>3616</v>
      </c>
      <c r="B2339" s="1">
        <v>44567</v>
      </c>
      <c r="C2339" t="s">
        <v>1032</v>
      </c>
      <c r="D2339" t="s">
        <v>12</v>
      </c>
      <c r="E2339" t="s">
        <v>13</v>
      </c>
      <c r="F2339" t="s">
        <v>24</v>
      </c>
      <c r="G2339" t="s">
        <v>2141</v>
      </c>
      <c r="H2339" s="8">
        <v>1707.68</v>
      </c>
      <c r="I2339" s="8">
        <v>89.7</v>
      </c>
      <c r="J2339" s="8">
        <v>0.22</v>
      </c>
      <c r="K2339" t="str">
        <f>IF(SalesData[[#This Row],[Profit]]&gt;0,"Profit","Loss")</f>
        <v>Profit</v>
      </c>
      <c r="L2339" s="8">
        <f>SalesData[[#This Row],[Profit]]/SalesData[[#This Row],[Sales]]</f>
        <v>5.2527405602923266E-2</v>
      </c>
      <c r="M2339" t="str">
        <f>TEXT(SalesData[[#This Row],[Order_Date]],"mmm")</f>
        <v>Jan</v>
      </c>
      <c r="N2339">
        <f>YEAR(SalesData[[#This Row],[Order_Date]])</f>
        <v>2022</v>
      </c>
    </row>
    <row r="2340" spans="1:14" x14ac:dyDescent="0.3">
      <c r="A2340" t="s">
        <v>3617</v>
      </c>
      <c r="B2340" s="1">
        <v>45267</v>
      </c>
      <c r="C2340" t="s">
        <v>2767</v>
      </c>
      <c r="D2340" t="s">
        <v>28</v>
      </c>
      <c r="E2340" t="s">
        <v>13</v>
      </c>
      <c r="F2340" t="s">
        <v>24</v>
      </c>
      <c r="G2340" t="s">
        <v>769</v>
      </c>
      <c r="H2340" s="8">
        <v>4732.07</v>
      </c>
      <c r="I2340" s="8">
        <v>-1610.51</v>
      </c>
      <c r="J2340" s="8">
        <v>0.25</v>
      </c>
      <c r="K2340" t="str">
        <f>IF(SalesData[[#This Row],[Profit]]&gt;0,"Profit","Loss")</f>
        <v>Loss</v>
      </c>
      <c r="L2340" s="8">
        <f>SalesData[[#This Row],[Profit]]/SalesData[[#This Row],[Sales]]</f>
        <v>-0.34033942862214633</v>
      </c>
      <c r="M2340" t="str">
        <f>TEXT(SalesData[[#This Row],[Order_Date]],"mmm")</f>
        <v>Dec</v>
      </c>
      <c r="N2340">
        <f>YEAR(SalesData[[#This Row],[Order_Date]])</f>
        <v>2023</v>
      </c>
    </row>
    <row r="2341" spans="1:14" x14ac:dyDescent="0.3">
      <c r="A2341" t="s">
        <v>3618</v>
      </c>
      <c r="B2341" s="1">
        <v>45117</v>
      </c>
      <c r="C2341" t="s">
        <v>2822</v>
      </c>
      <c r="D2341" t="s">
        <v>40</v>
      </c>
      <c r="E2341" t="s">
        <v>56</v>
      </c>
      <c r="F2341" t="s">
        <v>57</v>
      </c>
      <c r="G2341" t="s">
        <v>462</v>
      </c>
      <c r="H2341" s="8">
        <v>4969.0600000000004</v>
      </c>
      <c r="I2341" s="8">
        <v>1714.12</v>
      </c>
      <c r="J2341" s="8">
        <v>0.02</v>
      </c>
      <c r="K2341" t="str">
        <f>IF(SalesData[[#This Row],[Profit]]&gt;0,"Profit","Loss")</f>
        <v>Profit</v>
      </c>
      <c r="L2341" s="8">
        <f>SalesData[[#This Row],[Profit]]/SalesData[[#This Row],[Sales]]</f>
        <v>0.34495860384056537</v>
      </c>
      <c r="M2341" t="str">
        <f>TEXT(SalesData[[#This Row],[Order_Date]],"mmm")</f>
        <v>Jul</v>
      </c>
      <c r="N2341">
        <f>YEAR(SalesData[[#This Row],[Order_Date]])</f>
        <v>2023</v>
      </c>
    </row>
    <row r="2342" spans="1:14" x14ac:dyDescent="0.3">
      <c r="A2342" t="s">
        <v>3619</v>
      </c>
      <c r="B2342" s="1">
        <v>45276</v>
      </c>
      <c r="C2342" t="s">
        <v>2462</v>
      </c>
      <c r="D2342" t="s">
        <v>12</v>
      </c>
      <c r="E2342" t="s">
        <v>19</v>
      </c>
      <c r="F2342" t="s">
        <v>20</v>
      </c>
      <c r="G2342" t="s">
        <v>392</v>
      </c>
      <c r="H2342" s="8">
        <v>388.7</v>
      </c>
      <c r="I2342" s="8">
        <v>10.68</v>
      </c>
      <c r="J2342" s="8">
        <v>0.11</v>
      </c>
      <c r="K2342" t="str">
        <f>IF(SalesData[[#This Row],[Profit]]&gt;0,"Profit","Loss")</f>
        <v>Profit</v>
      </c>
      <c r="L2342" s="8">
        <f>SalesData[[#This Row],[Profit]]/SalesData[[#This Row],[Sales]]</f>
        <v>2.7476202727038847E-2</v>
      </c>
      <c r="M2342" t="str">
        <f>TEXT(SalesData[[#This Row],[Order_Date]],"mmm")</f>
        <v>Dec</v>
      </c>
      <c r="N2342">
        <f>YEAR(SalesData[[#This Row],[Order_Date]])</f>
        <v>2023</v>
      </c>
    </row>
    <row r="2343" spans="1:14" x14ac:dyDescent="0.3">
      <c r="A2343" t="s">
        <v>3620</v>
      </c>
      <c r="B2343" s="1">
        <v>45036</v>
      </c>
      <c r="C2343" t="s">
        <v>866</v>
      </c>
      <c r="D2343" t="s">
        <v>12</v>
      </c>
      <c r="E2343" t="s">
        <v>56</v>
      </c>
      <c r="F2343" t="s">
        <v>73</v>
      </c>
      <c r="G2343" t="s">
        <v>128</v>
      </c>
      <c r="H2343" s="8">
        <v>1921.83</v>
      </c>
      <c r="I2343" s="8">
        <v>-179.11</v>
      </c>
      <c r="J2343" s="8">
        <v>0</v>
      </c>
      <c r="K2343" t="str">
        <f>IF(SalesData[[#This Row],[Profit]]&gt;0,"Profit","Loss")</f>
        <v>Loss</v>
      </c>
      <c r="L2343" s="8">
        <f>SalesData[[#This Row],[Profit]]/SalesData[[#This Row],[Sales]]</f>
        <v>-9.319762934286592E-2</v>
      </c>
      <c r="M2343" t="str">
        <f>TEXT(SalesData[[#This Row],[Order_Date]],"mmm")</f>
        <v>Apr</v>
      </c>
      <c r="N2343">
        <f>YEAR(SalesData[[#This Row],[Order_Date]])</f>
        <v>2023</v>
      </c>
    </row>
    <row r="2344" spans="1:14" x14ac:dyDescent="0.3">
      <c r="A2344" t="s">
        <v>3621</v>
      </c>
      <c r="B2344" s="1">
        <v>44794</v>
      </c>
      <c r="C2344" t="s">
        <v>3622</v>
      </c>
      <c r="D2344" t="s">
        <v>12</v>
      </c>
      <c r="E2344" t="s">
        <v>56</v>
      </c>
      <c r="F2344" t="s">
        <v>95</v>
      </c>
      <c r="G2344" t="s">
        <v>282</v>
      </c>
      <c r="H2344" s="8">
        <v>496.27</v>
      </c>
      <c r="I2344" s="8">
        <v>-6.79</v>
      </c>
      <c r="J2344" s="8">
        <v>0.26</v>
      </c>
      <c r="K2344" t="str">
        <f>IF(SalesData[[#This Row],[Profit]]&gt;0,"Profit","Loss")</f>
        <v>Loss</v>
      </c>
      <c r="L2344" s="8">
        <f>SalesData[[#This Row],[Profit]]/SalesData[[#This Row],[Sales]]</f>
        <v>-1.3682068228988252E-2</v>
      </c>
      <c r="M2344" t="str">
        <f>TEXT(SalesData[[#This Row],[Order_Date]],"mmm")</f>
        <v>Aug</v>
      </c>
      <c r="N2344">
        <f>YEAR(SalesData[[#This Row],[Order_Date]])</f>
        <v>2022</v>
      </c>
    </row>
    <row r="2345" spans="1:14" x14ac:dyDescent="0.3">
      <c r="A2345" t="s">
        <v>3623</v>
      </c>
      <c r="B2345" s="1">
        <v>45002</v>
      </c>
      <c r="C2345" t="s">
        <v>662</v>
      </c>
      <c r="D2345" t="s">
        <v>40</v>
      </c>
      <c r="E2345" t="s">
        <v>13</v>
      </c>
      <c r="F2345" t="s">
        <v>14</v>
      </c>
      <c r="G2345" t="s">
        <v>502</v>
      </c>
      <c r="H2345" s="8">
        <v>1078.0899999999999</v>
      </c>
      <c r="I2345" s="8">
        <v>-180.55</v>
      </c>
      <c r="J2345" s="8">
        <v>0.01</v>
      </c>
      <c r="K2345" t="str">
        <f>IF(SalesData[[#This Row],[Profit]]&gt;0,"Profit","Loss")</f>
        <v>Loss</v>
      </c>
      <c r="L2345" s="8">
        <f>SalesData[[#This Row],[Profit]]/SalesData[[#This Row],[Sales]]</f>
        <v>-0.16747210344219873</v>
      </c>
      <c r="M2345" t="str">
        <f>TEXT(SalesData[[#This Row],[Order_Date]],"mmm")</f>
        <v>Mar</v>
      </c>
      <c r="N2345">
        <f>YEAR(SalesData[[#This Row],[Order_Date]])</f>
        <v>2023</v>
      </c>
    </row>
    <row r="2346" spans="1:14" x14ac:dyDescent="0.3">
      <c r="A2346" t="s">
        <v>3624</v>
      </c>
      <c r="B2346" s="1">
        <v>45231</v>
      </c>
      <c r="C2346" t="s">
        <v>613</v>
      </c>
      <c r="D2346" t="s">
        <v>40</v>
      </c>
      <c r="E2346" t="s">
        <v>56</v>
      </c>
      <c r="F2346" t="s">
        <v>57</v>
      </c>
      <c r="G2346" t="s">
        <v>1741</v>
      </c>
      <c r="H2346" s="8">
        <v>4789.21</v>
      </c>
      <c r="I2346" s="8">
        <v>672.39</v>
      </c>
      <c r="J2346" s="8">
        <v>0.08</v>
      </c>
      <c r="K2346" t="str">
        <f>IF(SalesData[[#This Row],[Profit]]&gt;0,"Profit","Loss")</f>
        <v>Profit</v>
      </c>
      <c r="L2346" s="8">
        <f>SalesData[[#This Row],[Profit]]/SalesData[[#This Row],[Sales]]</f>
        <v>0.14039685042000663</v>
      </c>
      <c r="M2346" t="str">
        <f>TEXT(SalesData[[#This Row],[Order_Date]],"mmm")</f>
        <v>Nov</v>
      </c>
      <c r="N2346">
        <f>YEAR(SalesData[[#This Row],[Order_Date]])</f>
        <v>2023</v>
      </c>
    </row>
    <row r="2347" spans="1:14" x14ac:dyDescent="0.3">
      <c r="A2347" t="s">
        <v>3625</v>
      </c>
      <c r="B2347" s="1">
        <v>45143</v>
      </c>
      <c r="C2347" t="s">
        <v>3427</v>
      </c>
      <c r="D2347" t="s">
        <v>28</v>
      </c>
      <c r="E2347" t="s">
        <v>13</v>
      </c>
      <c r="F2347" t="s">
        <v>36</v>
      </c>
      <c r="G2347" t="s">
        <v>1220</v>
      </c>
      <c r="H2347" s="8">
        <v>3525.72</v>
      </c>
      <c r="I2347" s="8">
        <v>414.33</v>
      </c>
      <c r="J2347" s="8">
        <v>7.0000000000000007E-2</v>
      </c>
      <c r="K2347" t="str">
        <f>IF(SalesData[[#This Row],[Profit]]&gt;0,"Profit","Loss")</f>
        <v>Profit</v>
      </c>
      <c r="L2347" s="8">
        <f>SalesData[[#This Row],[Profit]]/SalesData[[#This Row],[Sales]]</f>
        <v>0.11751642217759777</v>
      </c>
      <c r="M2347" t="str">
        <f>TEXT(SalesData[[#This Row],[Order_Date]],"mmm")</f>
        <v>Aug</v>
      </c>
      <c r="N2347">
        <f>YEAR(SalesData[[#This Row],[Order_Date]])</f>
        <v>2023</v>
      </c>
    </row>
    <row r="2348" spans="1:14" x14ac:dyDescent="0.3">
      <c r="A2348" t="s">
        <v>3626</v>
      </c>
      <c r="B2348" s="1">
        <v>44696</v>
      </c>
      <c r="C2348" t="s">
        <v>204</v>
      </c>
      <c r="D2348" t="s">
        <v>40</v>
      </c>
      <c r="E2348" t="s">
        <v>13</v>
      </c>
      <c r="F2348" t="s">
        <v>24</v>
      </c>
      <c r="G2348" t="s">
        <v>257</v>
      </c>
      <c r="H2348" s="8">
        <v>2908.11</v>
      </c>
      <c r="I2348" s="8">
        <v>-618.63</v>
      </c>
      <c r="J2348" s="8">
        <v>0.26</v>
      </c>
      <c r="K2348" t="str">
        <f>IF(SalesData[[#This Row],[Profit]]&gt;0,"Profit","Loss")</f>
        <v>Loss</v>
      </c>
      <c r="L2348" s="8">
        <f>SalesData[[#This Row],[Profit]]/SalesData[[#This Row],[Sales]]</f>
        <v>-0.21272579097764527</v>
      </c>
      <c r="M2348" t="str">
        <f>TEXT(SalesData[[#This Row],[Order_Date]],"mmm")</f>
        <v>May</v>
      </c>
      <c r="N2348">
        <f>YEAR(SalesData[[#This Row],[Order_Date]])</f>
        <v>2022</v>
      </c>
    </row>
    <row r="2349" spans="1:14" x14ac:dyDescent="0.3">
      <c r="A2349" t="s">
        <v>3627</v>
      </c>
      <c r="B2349" s="1">
        <v>45089</v>
      </c>
      <c r="C2349" t="s">
        <v>2168</v>
      </c>
      <c r="D2349" t="s">
        <v>28</v>
      </c>
      <c r="E2349" t="s">
        <v>19</v>
      </c>
      <c r="F2349" t="s">
        <v>20</v>
      </c>
      <c r="G2349" t="s">
        <v>2030</v>
      </c>
      <c r="H2349" s="8">
        <v>2125.7600000000002</v>
      </c>
      <c r="I2349" s="8">
        <v>330.77</v>
      </c>
      <c r="J2349" s="8">
        <v>0.22</v>
      </c>
      <c r="K2349" t="str">
        <f>IF(SalesData[[#This Row],[Profit]]&gt;0,"Profit","Loss")</f>
        <v>Profit</v>
      </c>
      <c r="L2349" s="8">
        <f>SalesData[[#This Row],[Profit]]/SalesData[[#This Row],[Sales]]</f>
        <v>0.15560082041246423</v>
      </c>
      <c r="M2349" t="str">
        <f>TEXT(SalesData[[#This Row],[Order_Date]],"mmm")</f>
        <v>Jun</v>
      </c>
      <c r="N2349">
        <f>YEAR(SalesData[[#This Row],[Order_Date]])</f>
        <v>2023</v>
      </c>
    </row>
    <row r="2350" spans="1:14" x14ac:dyDescent="0.3">
      <c r="A2350" t="s">
        <v>3628</v>
      </c>
      <c r="B2350" s="1">
        <v>44634</v>
      </c>
      <c r="C2350" t="s">
        <v>983</v>
      </c>
      <c r="D2350" t="s">
        <v>40</v>
      </c>
      <c r="E2350" t="s">
        <v>19</v>
      </c>
      <c r="F2350" t="s">
        <v>141</v>
      </c>
      <c r="G2350" t="s">
        <v>345</v>
      </c>
      <c r="H2350" s="8">
        <v>504.95</v>
      </c>
      <c r="I2350" s="8">
        <v>-17.57</v>
      </c>
      <c r="J2350" s="8">
        <v>0.27</v>
      </c>
      <c r="K2350" t="str">
        <f>IF(SalesData[[#This Row],[Profit]]&gt;0,"Profit","Loss")</f>
        <v>Loss</v>
      </c>
      <c r="L2350" s="8">
        <f>SalesData[[#This Row],[Profit]]/SalesData[[#This Row],[Sales]]</f>
        <v>-3.4795524309337557E-2</v>
      </c>
      <c r="M2350" t="str">
        <f>TEXT(SalesData[[#This Row],[Order_Date]],"mmm")</f>
        <v>Mar</v>
      </c>
      <c r="N2350">
        <f>YEAR(SalesData[[#This Row],[Order_Date]])</f>
        <v>2022</v>
      </c>
    </row>
    <row r="2351" spans="1:14" x14ac:dyDescent="0.3">
      <c r="A2351" t="s">
        <v>3629</v>
      </c>
      <c r="B2351" s="1">
        <v>44789</v>
      </c>
      <c r="C2351" t="s">
        <v>1418</v>
      </c>
      <c r="D2351" t="s">
        <v>18</v>
      </c>
      <c r="E2351" t="s">
        <v>56</v>
      </c>
      <c r="F2351" t="s">
        <v>57</v>
      </c>
      <c r="G2351" t="s">
        <v>1625</v>
      </c>
      <c r="H2351" s="8">
        <v>1823.8</v>
      </c>
      <c r="I2351" s="8">
        <v>-6.45</v>
      </c>
      <c r="J2351" s="8">
        <v>0.17</v>
      </c>
      <c r="K2351" t="str">
        <f>IF(SalesData[[#This Row],[Profit]]&gt;0,"Profit","Loss")</f>
        <v>Loss</v>
      </c>
      <c r="L2351" s="8">
        <f>SalesData[[#This Row],[Profit]]/SalesData[[#This Row],[Sales]]</f>
        <v>-3.5365719925430422E-3</v>
      </c>
      <c r="M2351" t="str">
        <f>TEXT(SalesData[[#This Row],[Order_Date]],"mmm")</f>
        <v>Aug</v>
      </c>
      <c r="N2351">
        <f>YEAR(SalesData[[#This Row],[Order_Date]])</f>
        <v>2022</v>
      </c>
    </row>
    <row r="2352" spans="1:14" x14ac:dyDescent="0.3">
      <c r="A2352" t="s">
        <v>3630</v>
      </c>
      <c r="B2352" s="1">
        <v>44930</v>
      </c>
      <c r="C2352" t="s">
        <v>1691</v>
      </c>
      <c r="D2352" t="s">
        <v>40</v>
      </c>
      <c r="E2352" t="s">
        <v>19</v>
      </c>
      <c r="F2352" t="s">
        <v>29</v>
      </c>
      <c r="G2352" t="s">
        <v>809</v>
      </c>
      <c r="H2352" s="8">
        <v>1145.3499999999999</v>
      </c>
      <c r="I2352" s="8">
        <v>16.489999999999998</v>
      </c>
      <c r="J2352" s="8">
        <v>0.26</v>
      </c>
      <c r="K2352" t="str">
        <f>IF(SalesData[[#This Row],[Profit]]&gt;0,"Profit","Loss")</f>
        <v>Profit</v>
      </c>
      <c r="L2352" s="8">
        <f>SalesData[[#This Row],[Profit]]/SalesData[[#This Row],[Sales]]</f>
        <v>1.439734578949666E-2</v>
      </c>
      <c r="M2352" t="str">
        <f>TEXT(SalesData[[#This Row],[Order_Date]],"mmm")</f>
        <v>Jan</v>
      </c>
      <c r="N2352">
        <f>YEAR(SalesData[[#This Row],[Order_Date]])</f>
        <v>2023</v>
      </c>
    </row>
    <row r="2353" spans="1:14" x14ac:dyDescent="0.3">
      <c r="A2353" t="s">
        <v>3631</v>
      </c>
      <c r="B2353" s="1">
        <v>44977</v>
      </c>
      <c r="C2353" t="s">
        <v>3632</v>
      </c>
      <c r="D2353" t="s">
        <v>28</v>
      </c>
      <c r="E2353" t="s">
        <v>56</v>
      </c>
      <c r="F2353" t="s">
        <v>95</v>
      </c>
      <c r="G2353" t="s">
        <v>172</v>
      </c>
      <c r="H2353" s="8">
        <v>4369.6499999999996</v>
      </c>
      <c r="I2353" s="8">
        <v>296.98</v>
      </c>
      <c r="J2353" s="8">
        <v>0.05</v>
      </c>
      <c r="K2353" t="str">
        <f>IF(SalesData[[#This Row],[Profit]]&gt;0,"Profit","Loss")</f>
        <v>Profit</v>
      </c>
      <c r="L2353" s="8">
        <f>SalesData[[#This Row],[Profit]]/SalesData[[#This Row],[Sales]]</f>
        <v>6.7964253429908583E-2</v>
      </c>
      <c r="M2353" t="str">
        <f>TEXT(SalesData[[#This Row],[Order_Date]],"mmm")</f>
        <v>Feb</v>
      </c>
      <c r="N2353">
        <f>YEAR(SalesData[[#This Row],[Order_Date]])</f>
        <v>2023</v>
      </c>
    </row>
    <row r="2354" spans="1:14" x14ac:dyDescent="0.3">
      <c r="A2354" t="s">
        <v>3633</v>
      </c>
      <c r="B2354" s="1">
        <v>44819</v>
      </c>
      <c r="C2354" t="s">
        <v>2277</v>
      </c>
      <c r="D2354" t="s">
        <v>18</v>
      </c>
      <c r="E2354" t="s">
        <v>13</v>
      </c>
      <c r="F2354" t="s">
        <v>36</v>
      </c>
      <c r="G2354" t="s">
        <v>1497</v>
      </c>
      <c r="H2354" s="8">
        <v>2294.2399999999998</v>
      </c>
      <c r="I2354" s="8">
        <v>-570.30999999999995</v>
      </c>
      <c r="J2354" s="8">
        <v>0.18</v>
      </c>
      <c r="K2354" t="str">
        <f>IF(SalesData[[#This Row],[Profit]]&gt;0,"Profit","Loss")</f>
        <v>Loss</v>
      </c>
      <c r="L2354" s="8">
        <f>SalesData[[#This Row],[Profit]]/SalesData[[#This Row],[Sales]]</f>
        <v>-0.24858340888485947</v>
      </c>
      <c r="M2354" t="str">
        <f>TEXT(SalesData[[#This Row],[Order_Date]],"mmm")</f>
        <v>Sep</v>
      </c>
      <c r="N2354">
        <f>YEAR(SalesData[[#This Row],[Order_Date]])</f>
        <v>2022</v>
      </c>
    </row>
    <row r="2355" spans="1:14" x14ac:dyDescent="0.3">
      <c r="A2355" t="s">
        <v>3634</v>
      </c>
      <c r="B2355" s="1">
        <v>45207</v>
      </c>
      <c r="C2355" t="s">
        <v>1562</v>
      </c>
      <c r="D2355" t="s">
        <v>28</v>
      </c>
      <c r="E2355" t="s">
        <v>19</v>
      </c>
      <c r="F2355" t="s">
        <v>20</v>
      </c>
      <c r="G2355" t="s">
        <v>782</v>
      </c>
      <c r="H2355" s="8">
        <v>1657.81</v>
      </c>
      <c r="I2355" s="8">
        <v>468.63</v>
      </c>
      <c r="J2355" s="8">
        <v>7.0000000000000007E-2</v>
      </c>
      <c r="K2355" t="str">
        <f>IF(SalesData[[#This Row],[Profit]]&gt;0,"Profit","Loss")</f>
        <v>Profit</v>
      </c>
      <c r="L2355" s="8">
        <f>SalesData[[#This Row],[Profit]]/SalesData[[#This Row],[Sales]]</f>
        <v>0.28268016238290278</v>
      </c>
      <c r="M2355" t="str">
        <f>TEXT(SalesData[[#This Row],[Order_Date]],"mmm")</f>
        <v>Oct</v>
      </c>
      <c r="N2355">
        <f>YEAR(SalesData[[#This Row],[Order_Date]])</f>
        <v>2023</v>
      </c>
    </row>
    <row r="2356" spans="1:14" x14ac:dyDescent="0.3">
      <c r="A2356" t="s">
        <v>3635</v>
      </c>
      <c r="B2356" s="1">
        <v>45016</v>
      </c>
      <c r="C2356" t="s">
        <v>1131</v>
      </c>
      <c r="D2356" t="s">
        <v>12</v>
      </c>
      <c r="E2356" t="s">
        <v>56</v>
      </c>
      <c r="F2356" t="s">
        <v>73</v>
      </c>
      <c r="G2356" t="s">
        <v>1546</v>
      </c>
      <c r="H2356" s="8">
        <v>332.42</v>
      </c>
      <c r="I2356" s="8">
        <v>-10.87</v>
      </c>
      <c r="J2356" s="8">
        <v>0.1</v>
      </c>
      <c r="K2356" t="str">
        <f>IF(SalesData[[#This Row],[Profit]]&gt;0,"Profit","Loss")</f>
        <v>Loss</v>
      </c>
      <c r="L2356" s="8">
        <f>SalesData[[#This Row],[Profit]]/SalesData[[#This Row],[Sales]]</f>
        <v>-3.2699596895493649E-2</v>
      </c>
      <c r="M2356" t="str">
        <f>TEXT(SalesData[[#This Row],[Order_Date]],"mmm")</f>
        <v>Mar</v>
      </c>
      <c r="N2356">
        <f>YEAR(SalesData[[#This Row],[Order_Date]])</f>
        <v>2023</v>
      </c>
    </row>
    <row r="2357" spans="1:14" x14ac:dyDescent="0.3">
      <c r="A2357" t="s">
        <v>3636</v>
      </c>
      <c r="B2357" s="1">
        <v>44968</v>
      </c>
      <c r="C2357" t="s">
        <v>2971</v>
      </c>
      <c r="D2357" t="s">
        <v>18</v>
      </c>
      <c r="E2357" t="s">
        <v>19</v>
      </c>
      <c r="F2357" t="s">
        <v>29</v>
      </c>
      <c r="G2357" t="s">
        <v>930</v>
      </c>
      <c r="H2357" s="8">
        <v>3137.39</v>
      </c>
      <c r="I2357" s="8">
        <v>-286.97000000000003</v>
      </c>
      <c r="J2357" s="8">
        <v>0.11</v>
      </c>
      <c r="K2357" t="str">
        <f>IF(SalesData[[#This Row],[Profit]]&gt;0,"Profit","Loss")</f>
        <v>Loss</v>
      </c>
      <c r="L2357" s="8">
        <f>SalesData[[#This Row],[Profit]]/SalesData[[#This Row],[Sales]]</f>
        <v>-9.1467748670072901E-2</v>
      </c>
      <c r="M2357" t="str">
        <f>TEXT(SalesData[[#This Row],[Order_Date]],"mmm")</f>
        <v>Feb</v>
      </c>
      <c r="N2357">
        <f>YEAR(SalesData[[#This Row],[Order_Date]])</f>
        <v>2023</v>
      </c>
    </row>
    <row r="2358" spans="1:14" x14ac:dyDescent="0.3">
      <c r="A2358" t="s">
        <v>3637</v>
      </c>
      <c r="B2358" s="1">
        <v>44903</v>
      </c>
      <c r="C2358" t="s">
        <v>2212</v>
      </c>
      <c r="D2358" t="s">
        <v>40</v>
      </c>
      <c r="E2358" t="s">
        <v>56</v>
      </c>
      <c r="F2358" t="s">
        <v>73</v>
      </c>
      <c r="G2358" t="s">
        <v>833</v>
      </c>
      <c r="H2358" s="8">
        <v>4140.79</v>
      </c>
      <c r="I2358" s="8">
        <v>-229.79</v>
      </c>
      <c r="J2358" s="8">
        <v>0.18</v>
      </c>
      <c r="K2358" t="str">
        <f>IF(SalesData[[#This Row],[Profit]]&gt;0,"Profit","Loss")</f>
        <v>Loss</v>
      </c>
      <c r="L2358" s="8">
        <f>SalesData[[#This Row],[Profit]]/SalesData[[#This Row],[Sales]]</f>
        <v>-5.5494241437020468E-2</v>
      </c>
      <c r="M2358" t="str">
        <f>TEXT(SalesData[[#This Row],[Order_Date]],"mmm")</f>
        <v>Dec</v>
      </c>
      <c r="N2358">
        <f>YEAR(SalesData[[#This Row],[Order_Date]])</f>
        <v>2022</v>
      </c>
    </row>
    <row r="2359" spans="1:14" x14ac:dyDescent="0.3">
      <c r="A2359" t="s">
        <v>3638</v>
      </c>
      <c r="B2359" s="1">
        <v>45176</v>
      </c>
      <c r="C2359" t="s">
        <v>2232</v>
      </c>
      <c r="D2359" t="s">
        <v>18</v>
      </c>
      <c r="E2359" t="s">
        <v>56</v>
      </c>
      <c r="F2359" t="s">
        <v>95</v>
      </c>
      <c r="G2359" t="s">
        <v>274</v>
      </c>
      <c r="H2359" s="8">
        <v>3181.83</v>
      </c>
      <c r="I2359" s="8">
        <v>-870.12</v>
      </c>
      <c r="J2359" s="8">
        <v>0.09</v>
      </c>
      <c r="K2359" t="str">
        <f>IF(SalesData[[#This Row],[Profit]]&gt;0,"Profit","Loss")</f>
        <v>Loss</v>
      </c>
      <c r="L2359" s="8">
        <f>SalesData[[#This Row],[Profit]]/SalesData[[#This Row],[Sales]]</f>
        <v>-0.27346526998614007</v>
      </c>
      <c r="M2359" t="str">
        <f>TEXT(SalesData[[#This Row],[Order_Date]],"mmm")</f>
        <v>Sep</v>
      </c>
      <c r="N2359">
        <f>YEAR(SalesData[[#This Row],[Order_Date]])</f>
        <v>2023</v>
      </c>
    </row>
    <row r="2360" spans="1:14" x14ac:dyDescent="0.3">
      <c r="A2360" t="s">
        <v>3639</v>
      </c>
      <c r="B2360" s="1">
        <v>45177</v>
      </c>
      <c r="C2360" t="s">
        <v>177</v>
      </c>
      <c r="D2360" t="s">
        <v>12</v>
      </c>
      <c r="E2360" t="s">
        <v>56</v>
      </c>
      <c r="F2360" t="s">
        <v>57</v>
      </c>
      <c r="G2360" t="s">
        <v>2490</v>
      </c>
      <c r="H2360" s="8">
        <v>2367.23</v>
      </c>
      <c r="I2360" s="8">
        <v>-277.58</v>
      </c>
      <c r="J2360" s="8">
        <v>0.15</v>
      </c>
      <c r="K2360" t="str">
        <f>IF(SalesData[[#This Row],[Profit]]&gt;0,"Profit","Loss")</f>
        <v>Loss</v>
      </c>
      <c r="L2360" s="8">
        <f>SalesData[[#This Row],[Profit]]/SalesData[[#This Row],[Sales]]</f>
        <v>-0.11725941290030964</v>
      </c>
      <c r="M2360" t="str">
        <f>TEXT(SalesData[[#This Row],[Order_Date]],"mmm")</f>
        <v>Sep</v>
      </c>
      <c r="N2360">
        <f>YEAR(SalesData[[#This Row],[Order_Date]])</f>
        <v>2023</v>
      </c>
    </row>
    <row r="2361" spans="1:14" x14ac:dyDescent="0.3">
      <c r="A2361" t="s">
        <v>3640</v>
      </c>
      <c r="B2361" s="1">
        <v>45265</v>
      </c>
      <c r="C2361" t="s">
        <v>1634</v>
      </c>
      <c r="D2361" t="s">
        <v>18</v>
      </c>
      <c r="E2361" t="s">
        <v>19</v>
      </c>
      <c r="F2361" t="s">
        <v>29</v>
      </c>
      <c r="G2361" t="s">
        <v>2144</v>
      </c>
      <c r="H2361" s="8">
        <v>3550.38</v>
      </c>
      <c r="I2361" s="8">
        <v>-342.83</v>
      </c>
      <c r="J2361" s="8">
        <v>0.13</v>
      </c>
      <c r="K2361" t="str">
        <f>IF(SalesData[[#This Row],[Profit]]&gt;0,"Profit","Loss")</f>
        <v>Loss</v>
      </c>
      <c r="L2361" s="8">
        <f>SalesData[[#This Row],[Profit]]/SalesData[[#This Row],[Sales]]</f>
        <v>-9.6561494825905952E-2</v>
      </c>
      <c r="M2361" t="str">
        <f>TEXT(SalesData[[#This Row],[Order_Date]],"mmm")</f>
        <v>Dec</v>
      </c>
      <c r="N2361">
        <f>YEAR(SalesData[[#This Row],[Order_Date]])</f>
        <v>2023</v>
      </c>
    </row>
    <row r="2362" spans="1:14" x14ac:dyDescent="0.3">
      <c r="A2362" t="s">
        <v>3641</v>
      </c>
      <c r="B2362" s="1">
        <v>44884</v>
      </c>
      <c r="C2362" t="s">
        <v>1862</v>
      </c>
      <c r="D2362" t="s">
        <v>12</v>
      </c>
      <c r="E2362" t="s">
        <v>13</v>
      </c>
      <c r="F2362" t="s">
        <v>14</v>
      </c>
      <c r="G2362" t="s">
        <v>1251</v>
      </c>
      <c r="H2362" s="8">
        <v>2090</v>
      </c>
      <c r="I2362" s="8">
        <v>337.8</v>
      </c>
      <c r="J2362" s="8">
        <v>0.19</v>
      </c>
      <c r="K2362" t="str">
        <f>IF(SalesData[[#This Row],[Profit]]&gt;0,"Profit","Loss")</f>
        <v>Profit</v>
      </c>
      <c r="L2362" s="8">
        <f>SalesData[[#This Row],[Profit]]/SalesData[[#This Row],[Sales]]</f>
        <v>0.1616267942583732</v>
      </c>
      <c r="M2362" t="str">
        <f>TEXT(SalesData[[#This Row],[Order_Date]],"mmm")</f>
        <v>Nov</v>
      </c>
      <c r="N2362">
        <f>YEAR(SalesData[[#This Row],[Order_Date]])</f>
        <v>2022</v>
      </c>
    </row>
    <row r="2363" spans="1:14" x14ac:dyDescent="0.3">
      <c r="A2363" t="s">
        <v>3642</v>
      </c>
      <c r="B2363" s="1">
        <v>44883</v>
      </c>
      <c r="C2363" t="s">
        <v>1673</v>
      </c>
      <c r="D2363" t="s">
        <v>40</v>
      </c>
      <c r="E2363" t="s">
        <v>56</v>
      </c>
      <c r="F2363" t="s">
        <v>57</v>
      </c>
      <c r="G2363" t="s">
        <v>163</v>
      </c>
      <c r="H2363" s="8">
        <v>4475.55</v>
      </c>
      <c r="I2363" s="8">
        <v>-1300.8399999999999</v>
      </c>
      <c r="J2363" s="8">
        <v>0.2</v>
      </c>
      <c r="K2363" t="str">
        <f>IF(SalesData[[#This Row],[Profit]]&gt;0,"Profit","Loss")</f>
        <v>Loss</v>
      </c>
      <c r="L2363" s="8">
        <f>SalesData[[#This Row],[Profit]]/SalesData[[#This Row],[Sales]]</f>
        <v>-0.29065477985945859</v>
      </c>
      <c r="M2363" t="str">
        <f>TEXT(SalesData[[#This Row],[Order_Date]],"mmm")</f>
        <v>Nov</v>
      </c>
      <c r="N2363">
        <f>YEAR(SalesData[[#This Row],[Order_Date]])</f>
        <v>2022</v>
      </c>
    </row>
    <row r="2364" spans="1:14" x14ac:dyDescent="0.3">
      <c r="A2364" t="s">
        <v>3643</v>
      </c>
      <c r="B2364" s="1">
        <v>44613</v>
      </c>
      <c r="C2364" t="s">
        <v>1607</v>
      </c>
      <c r="D2364" t="s">
        <v>40</v>
      </c>
      <c r="E2364" t="s">
        <v>56</v>
      </c>
      <c r="F2364" t="s">
        <v>57</v>
      </c>
      <c r="G2364" t="s">
        <v>556</v>
      </c>
      <c r="H2364" s="8">
        <v>873.75</v>
      </c>
      <c r="I2364" s="8">
        <v>137.59</v>
      </c>
      <c r="J2364" s="8">
        <v>0.13</v>
      </c>
      <c r="K2364" t="str">
        <f>IF(SalesData[[#This Row],[Profit]]&gt;0,"Profit","Loss")</f>
        <v>Profit</v>
      </c>
      <c r="L2364" s="8">
        <f>SalesData[[#This Row],[Profit]]/SalesData[[#This Row],[Sales]]</f>
        <v>0.15747067238912732</v>
      </c>
      <c r="M2364" t="str">
        <f>TEXT(SalesData[[#This Row],[Order_Date]],"mmm")</f>
        <v>Feb</v>
      </c>
      <c r="N2364">
        <f>YEAR(SalesData[[#This Row],[Order_Date]])</f>
        <v>2022</v>
      </c>
    </row>
    <row r="2365" spans="1:14" x14ac:dyDescent="0.3">
      <c r="A2365" t="s">
        <v>3644</v>
      </c>
      <c r="B2365" s="1">
        <v>44917</v>
      </c>
      <c r="C2365" t="s">
        <v>2191</v>
      </c>
      <c r="D2365" t="s">
        <v>40</v>
      </c>
      <c r="E2365" t="s">
        <v>19</v>
      </c>
      <c r="F2365" t="s">
        <v>20</v>
      </c>
      <c r="G2365" t="s">
        <v>504</v>
      </c>
      <c r="H2365" s="8">
        <v>4327.84</v>
      </c>
      <c r="I2365" s="8">
        <v>276.56</v>
      </c>
      <c r="J2365" s="8">
        <v>0.28000000000000003</v>
      </c>
      <c r="K2365" t="str">
        <f>IF(SalesData[[#This Row],[Profit]]&gt;0,"Profit","Loss")</f>
        <v>Profit</v>
      </c>
      <c r="L2365" s="8">
        <f>SalesData[[#This Row],[Profit]]/SalesData[[#This Row],[Sales]]</f>
        <v>6.3902547229102741E-2</v>
      </c>
      <c r="M2365" t="str">
        <f>TEXT(SalesData[[#This Row],[Order_Date]],"mmm")</f>
        <v>Dec</v>
      </c>
      <c r="N2365">
        <f>YEAR(SalesData[[#This Row],[Order_Date]])</f>
        <v>2022</v>
      </c>
    </row>
    <row r="2366" spans="1:14" x14ac:dyDescent="0.3">
      <c r="A2366" t="s">
        <v>3645</v>
      </c>
      <c r="B2366" s="1">
        <v>45066</v>
      </c>
      <c r="C2366" t="s">
        <v>353</v>
      </c>
      <c r="D2366" t="s">
        <v>28</v>
      </c>
      <c r="E2366" t="s">
        <v>13</v>
      </c>
      <c r="F2366" t="s">
        <v>24</v>
      </c>
      <c r="G2366" t="s">
        <v>682</v>
      </c>
      <c r="H2366" s="8">
        <v>1764.94</v>
      </c>
      <c r="I2366" s="8">
        <v>-536.02</v>
      </c>
      <c r="J2366" s="8">
        <v>0.13</v>
      </c>
      <c r="K2366" t="str">
        <f>IF(SalesData[[#This Row],[Profit]]&gt;0,"Profit","Loss")</f>
        <v>Loss</v>
      </c>
      <c r="L2366" s="8">
        <f>SalesData[[#This Row],[Profit]]/SalesData[[#This Row],[Sales]]</f>
        <v>-0.30370437521955418</v>
      </c>
      <c r="M2366" t="str">
        <f>TEXT(SalesData[[#This Row],[Order_Date]],"mmm")</f>
        <v>May</v>
      </c>
      <c r="N2366">
        <f>YEAR(SalesData[[#This Row],[Order_Date]])</f>
        <v>2023</v>
      </c>
    </row>
    <row r="2367" spans="1:14" x14ac:dyDescent="0.3">
      <c r="A2367" t="s">
        <v>3646</v>
      </c>
      <c r="B2367" s="1">
        <v>45287</v>
      </c>
      <c r="C2367" t="s">
        <v>137</v>
      </c>
      <c r="D2367" t="s">
        <v>40</v>
      </c>
      <c r="E2367" t="s">
        <v>56</v>
      </c>
      <c r="F2367" t="s">
        <v>57</v>
      </c>
      <c r="G2367" t="s">
        <v>1870</v>
      </c>
      <c r="H2367" s="8">
        <v>2372.11</v>
      </c>
      <c r="I2367" s="8">
        <v>447.02</v>
      </c>
      <c r="J2367" s="8">
        <v>0.17</v>
      </c>
      <c r="K2367" t="str">
        <f>IF(SalesData[[#This Row],[Profit]]&gt;0,"Profit","Loss")</f>
        <v>Profit</v>
      </c>
      <c r="L2367" s="8">
        <f>SalesData[[#This Row],[Profit]]/SalesData[[#This Row],[Sales]]</f>
        <v>0.18844825914481197</v>
      </c>
      <c r="M2367" t="str">
        <f>TEXT(SalesData[[#This Row],[Order_Date]],"mmm")</f>
        <v>Dec</v>
      </c>
      <c r="N2367">
        <f>YEAR(SalesData[[#This Row],[Order_Date]])</f>
        <v>2023</v>
      </c>
    </row>
    <row r="2368" spans="1:14" x14ac:dyDescent="0.3">
      <c r="A2368" t="s">
        <v>3647</v>
      </c>
      <c r="B2368" s="1">
        <v>44964</v>
      </c>
      <c r="C2368" t="s">
        <v>327</v>
      </c>
      <c r="D2368" t="s">
        <v>18</v>
      </c>
      <c r="E2368" t="s">
        <v>56</v>
      </c>
      <c r="F2368" t="s">
        <v>57</v>
      </c>
      <c r="G2368" t="s">
        <v>108</v>
      </c>
      <c r="H2368" s="8">
        <v>3365.49</v>
      </c>
      <c r="I2368" s="8">
        <v>-1417.25</v>
      </c>
      <c r="J2368" s="8">
        <v>0.25</v>
      </c>
      <c r="K2368" t="str">
        <f>IF(SalesData[[#This Row],[Profit]]&gt;0,"Profit","Loss")</f>
        <v>Loss</v>
      </c>
      <c r="L2368" s="8">
        <f>SalesData[[#This Row],[Profit]]/SalesData[[#This Row],[Sales]]</f>
        <v>-0.42111252744771194</v>
      </c>
      <c r="M2368" t="str">
        <f>TEXT(SalesData[[#This Row],[Order_Date]],"mmm")</f>
        <v>Feb</v>
      </c>
      <c r="N2368">
        <f>YEAR(SalesData[[#This Row],[Order_Date]])</f>
        <v>2023</v>
      </c>
    </row>
    <row r="2369" spans="1:14" x14ac:dyDescent="0.3">
      <c r="A2369" t="s">
        <v>3648</v>
      </c>
      <c r="B2369" s="1">
        <v>44565</v>
      </c>
      <c r="C2369" t="s">
        <v>2455</v>
      </c>
      <c r="D2369" t="s">
        <v>40</v>
      </c>
      <c r="E2369" t="s">
        <v>19</v>
      </c>
      <c r="F2369" t="s">
        <v>141</v>
      </c>
      <c r="G2369" t="s">
        <v>1400</v>
      </c>
      <c r="H2369" s="8">
        <v>159.80000000000001</v>
      </c>
      <c r="I2369" s="8">
        <v>-10.01</v>
      </c>
      <c r="J2369" s="8">
        <v>0.21</v>
      </c>
      <c r="K2369" t="str">
        <f>IF(SalesData[[#This Row],[Profit]]&gt;0,"Profit","Loss")</f>
        <v>Loss</v>
      </c>
      <c r="L2369" s="8">
        <f>SalesData[[#This Row],[Profit]]/SalesData[[#This Row],[Sales]]</f>
        <v>-6.2640801001251564E-2</v>
      </c>
      <c r="M2369" t="str">
        <f>TEXT(SalesData[[#This Row],[Order_Date]],"mmm")</f>
        <v>Jan</v>
      </c>
      <c r="N2369">
        <f>YEAR(SalesData[[#This Row],[Order_Date]])</f>
        <v>2022</v>
      </c>
    </row>
    <row r="2370" spans="1:14" x14ac:dyDescent="0.3">
      <c r="A2370" t="s">
        <v>3649</v>
      </c>
      <c r="B2370" s="1">
        <v>44853</v>
      </c>
      <c r="C2370" t="s">
        <v>2130</v>
      </c>
      <c r="D2370" t="s">
        <v>12</v>
      </c>
      <c r="E2370" t="s">
        <v>56</v>
      </c>
      <c r="F2370" t="s">
        <v>57</v>
      </c>
      <c r="G2370" t="s">
        <v>3526</v>
      </c>
      <c r="H2370" s="8">
        <v>2199.1999999999998</v>
      </c>
      <c r="I2370" s="8">
        <v>152.27000000000001</v>
      </c>
      <c r="J2370" s="8">
        <v>0.15</v>
      </c>
      <c r="K2370" t="str">
        <f>IF(SalesData[[#This Row],[Profit]]&gt;0,"Profit","Loss")</f>
        <v>Profit</v>
      </c>
      <c r="L2370" s="8">
        <f>SalesData[[#This Row],[Profit]]/SalesData[[#This Row],[Sales]]</f>
        <v>6.9238814114223363E-2</v>
      </c>
      <c r="M2370" t="str">
        <f>TEXT(SalesData[[#This Row],[Order_Date]],"mmm")</f>
        <v>Oct</v>
      </c>
      <c r="N2370">
        <f>YEAR(SalesData[[#This Row],[Order_Date]])</f>
        <v>2022</v>
      </c>
    </row>
    <row r="2371" spans="1:14" x14ac:dyDescent="0.3">
      <c r="A2371" t="s">
        <v>3650</v>
      </c>
      <c r="B2371" s="1">
        <v>45231</v>
      </c>
      <c r="C2371" t="s">
        <v>2198</v>
      </c>
      <c r="D2371" t="s">
        <v>18</v>
      </c>
      <c r="E2371" t="s">
        <v>19</v>
      </c>
      <c r="F2371" t="s">
        <v>141</v>
      </c>
      <c r="G2371" t="s">
        <v>251</v>
      </c>
      <c r="H2371" s="8">
        <v>3105.81</v>
      </c>
      <c r="I2371" s="8">
        <v>-301.8</v>
      </c>
      <c r="J2371" s="8">
        <v>0.03</v>
      </c>
      <c r="K2371" t="str">
        <f>IF(SalesData[[#This Row],[Profit]]&gt;0,"Profit","Loss")</f>
        <v>Loss</v>
      </c>
      <c r="L2371" s="8">
        <f>SalesData[[#This Row],[Profit]]/SalesData[[#This Row],[Sales]]</f>
        <v>-9.717271822809509E-2</v>
      </c>
      <c r="M2371" t="str">
        <f>TEXT(SalesData[[#This Row],[Order_Date]],"mmm")</f>
        <v>Nov</v>
      </c>
      <c r="N2371">
        <f>YEAR(SalesData[[#This Row],[Order_Date]])</f>
        <v>2023</v>
      </c>
    </row>
    <row r="2372" spans="1:14" x14ac:dyDescent="0.3">
      <c r="A2372" t="s">
        <v>3651</v>
      </c>
      <c r="B2372" s="1">
        <v>45264</v>
      </c>
      <c r="C2372" t="s">
        <v>1276</v>
      </c>
      <c r="D2372" t="s">
        <v>40</v>
      </c>
      <c r="E2372" t="s">
        <v>13</v>
      </c>
      <c r="F2372" t="s">
        <v>36</v>
      </c>
      <c r="G2372" t="s">
        <v>1046</v>
      </c>
      <c r="H2372" s="8">
        <v>1795.93</v>
      </c>
      <c r="I2372" s="8">
        <v>207.58</v>
      </c>
      <c r="J2372" s="8">
        <v>0.23</v>
      </c>
      <c r="K2372" t="str">
        <f>IF(SalesData[[#This Row],[Profit]]&gt;0,"Profit","Loss")</f>
        <v>Profit</v>
      </c>
      <c r="L2372" s="8">
        <f>SalesData[[#This Row],[Profit]]/SalesData[[#This Row],[Sales]]</f>
        <v>0.11558356951551564</v>
      </c>
      <c r="M2372" t="str">
        <f>TEXT(SalesData[[#This Row],[Order_Date]],"mmm")</f>
        <v>Dec</v>
      </c>
      <c r="N2372">
        <f>YEAR(SalesData[[#This Row],[Order_Date]])</f>
        <v>2023</v>
      </c>
    </row>
    <row r="2373" spans="1:14" x14ac:dyDescent="0.3">
      <c r="A2373" t="s">
        <v>3652</v>
      </c>
      <c r="B2373" s="1">
        <v>45060</v>
      </c>
      <c r="C2373" t="s">
        <v>121</v>
      </c>
      <c r="D2373" t="s">
        <v>12</v>
      </c>
      <c r="E2373" t="s">
        <v>56</v>
      </c>
      <c r="F2373" t="s">
        <v>95</v>
      </c>
      <c r="G2373" t="s">
        <v>1870</v>
      </c>
      <c r="H2373" s="8">
        <v>2000.82</v>
      </c>
      <c r="I2373" s="8">
        <v>69.099999999999994</v>
      </c>
      <c r="J2373" s="8">
        <v>0.01</v>
      </c>
      <c r="K2373" t="str">
        <f>IF(SalesData[[#This Row],[Profit]]&gt;0,"Profit","Loss")</f>
        <v>Profit</v>
      </c>
      <c r="L2373" s="8">
        <f>SalesData[[#This Row],[Profit]]/SalesData[[#This Row],[Sales]]</f>
        <v>3.4535840305474755E-2</v>
      </c>
      <c r="M2373" t="str">
        <f>TEXT(SalesData[[#This Row],[Order_Date]],"mmm")</f>
        <v>May</v>
      </c>
      <c r="N2373">
        <f>YEAR(SalesData[[#This Row],[Order_Date]])</f>
        <v>2023</v>
      </c>
    </row>
    <row r="2374" spans="1:14" x14ac:dyDescent="0.3">
      <c r="A2374" t="s">
        <v>3653</v>
      </c>
      <c r="B2374" s="1">
        <v>45122</v>
      </c>
      <c r="C2374" t="s">
        <v>110</v>
      </c>
      <c r="D2374" t="s">
        <v>12</v>
      </c>
      <c r="E2374" t="s">
        <v>56</v>
      </c>
      <c r="F2374" t="s">
        <v>95</v>
      </c>
      <c r="G2374" t="s">
        <v>908</v>
      </c>
      <c r="H2374" s="8">
        <v>2898.85</v>
      </c>
      <c r="I2374" s="8">
        <v>189.29</v>
      </c>
      <c r="J2374" s="8">
        <v>0.28000000000000003</v>
      </c>
      <c r="K2374" t="str">
        <f>IF(SalesData[[#This Row],[Profit]]&gt;0,"Profit","Loss")</f>
        <v>Profit</v>
      </c>
      <c r="L2374" s="8">
        <f>SalesData[[#This Row],[Profit]]/SalesData[[#This Row],[Sales]]</f>
        <v>6.529830794970419E-2</v>
      </c>
      <c r="M2374" t="str">
        <f>TEXT(SalesData[[#This Row],[Order_Date]],"mmm")</f>
        <v>Jul</v>
      </c>
      <c r="N2374">
        <f>YEAR(SalesData[[#This Row],[Order_Date]])</f>
        <v>2023</v>
      </c>
    </row>
    <row r="2375" spans="1:14" x14ac:dyDescent="0.3">
      <c r="A2375" t="s">
        <v>3654</v>
      </c>
      <c r="B2375" s="1">
        <v>44809</v>
      </c>
      <c r="C2375" t="s">
        <v>779</v>
      </c>
      <c r="D2375" t="s">
        <v>40</v>
      </c>
      <c r="E2375" t="s">
        <v>19</v>
      </c>
      <c r="F2375" t="s">
        <v>141</v>
      </c>
      <c r="G2375" t="s">
        <v>365</v>
      </c>
      <c r="H2375" s="8">
        <v>2252.2399999999998</v>
      </c>
      <c r="I2375" s="8">
        <v>421.12</v>
      </c>
      <c r="J2375" s="8">
        <v>0.08</v>
      </c>
      <c r="K2375" t="str">
        <f>IF(SalesData[[#This Row],[Profit]]&gt;0,"Profit","Loss")</f>
        <v>Profit</v>
      </c>
      <c r="L2375" s="8">
        <f>SalesData[[#This Row],[Profit]]/SalesData[[#This Row],[Sales]]</f>
        <v>0.18697829716193659</v>
      </c>
      <c r="M2375" t="str">
        <f>TEXT(SalesData[[#This Row],[Order_Date]],"mmm")</f>
        <v>Sep</v>
      </c>
      <c r="N2375">
        <f>YEAR(SalesData[[#This Row],[Order_Date]])</f>
        <v>2022</v>
      </c>
    </row>
    <row r="2376" spans="1:14" x14ac:dyDescent="0.3">
      <c r="A2376" t="s">
        <v>3655</v>
      </c>
      <c r="B2376" s="1">
        <v>45145</v>
      </c>
      <c r="C2376" t="s">
        <v>296</v>
      </c>
      <c r="D2376" t="s">
        <v>40</v>
      </c>
      <c r="E2376" t="s">
        <v>13</v>
      </c>
      <c r="F2376" t="s">
        <v>14</v>
      </c>
      <c r="G2376" t="s">
        <v>1644</v>
      </c>
      <c r="H2376" s="8">
        <v>3611.62</v>
      </c>
      <c r="I2376" s="8">
        <v>-334.7</v>
      </c>
      <c r="J2376" s="8">
        <v>0.28999999999999998</v>
      </c>
      <c r="K2376" t="str">
        <f>IF(SalesData[[#This Row],[Profit]]&gt;0,"Profit","Loss")</f>
        <v>Loss</v>
      </c>
      <c r="L2376" s="8">
        <f>SalesData[[#This Row],[Profit]]/SalesData[[#This Row],[Sales]]</f>
        <v>-9.2673094068589715E-2</v>
      </c>
      <c r="M2376" t="str">
        <f>TEXT(SalesData[[#This Row],[Order_Date]],"mmm")</f>
        <v>Aug</v>
      </c>
      <c r="N2376">
        <f>YEAR(SalesData[[#This Row],[Order_Date]])</f>
        <v>2023</v>
      </c>
    </row>
    <row r="2377" spans="1:14" x14ac:dyDescent="0.3">
      <c r="A2377" t="s">
        <v>3656</v>
      </c>
      <c r="B2377" s="1">
        <v>45031</v>
      </c>
      <c r="C2377" t="s">
        <v>776</v>
      </c>
      <c r="D2377" t="s">
        <v>18</v>
      </c>
      <c r="E2377" t="s">
        <v>13</v>
      </c>
      <c r="F2377" t="s">
        <v>36</v>
      </c>
      <c r="G2377" t="s">
        <v>1980</v>
      </c>
      <c r="H2377" s="8">
        <v>4323.25</v>
      </c>
      <c r="I2377" s="8">
        <v>110.58</v>
      </c>
      <c r="J2377" s="8">
        <v>0.01</v>
      </c>
      <c r="K2377" t="str">
        <f>IF(SalesData[[#This Row],[Profit]]&gt;0,"Profit","Loss")</f>
        <v>Profit</v>
      </c>
      <c r="L2377" s="8">
        <f>SalesData[[#This Row],[Profit]]/SalesData[[#This Row],[Sales]]</f>
        <v>2.5577979529289308E-2</v>
      </c>
      <c r="M2377" t="str">
        <f>TEXT(SalesData[[#This Row],[Order_Date]],"mmm")</f>
        <v>Apr</v>
      </c>
      <c r="N2377">
        <f>YEAR(SalesData[[#This Row],[Order_Date]])</f>
        <v>2023</v>
      </c>
    </row>
    <row r="2378" spans="1:14" x14ac:dyDescent="0.3">
      <c r="A2378" t="s">
        <v>3657</v>
      </c>
      <c r="B2378" s="1">
        <v>44636</v>
      </c>
      <c r="C2378" t="s">
        <v>610</v>
      </c>
      <c r="D2378" t="s">
        <v>18</v>
      </c>
      <c r="E2378" t="s">
        <v>19</v>
      </c>
      <c r="F2378" t="s">
        <v>20</v>
      </c>
      <c r="G2378" t="s">
        <v>111</v>
      </c>
      <c r="H2378" s="8">
        <v>1168.03</v>
      </c>
      <c r="I2378" s="8">
        <v>125.06</v>
      </c>
      <c r="J2378" s="8">
        <v>0.19</v>
      </c>
      <c r="K2378" t="str">
        <f>IF(SalesData[[#This Row],[Profit]]&gt;0,"Profit","Loss")</f>
        <v>Profit</v>
      </c>
      <c r="L2378" s="8">
        <f>SalesData[[#This Row],[Profit]]/SalesData[[#This Row],[Sales]]</f>
        <v>0.10706916774397918</v>
      </c>
      <c r="M2378" t="str">
        <f>TEXT(SalesData[[#This Row],[Order_Date]],"mmm")</f>
        <v>Mar</v>
      </c>
      <c r="N2378">
        <f>YEAR(SalesData[[#This Row],[Order_Date]])</f>
        <v>2022</v>
      </c>
    </row>
    <row r="2379" spans="1:14" x14ac:dyDescent="0.3">
      <c r="A2379" t="s">
        <v>3658</v>
      </c>
      <c r="B2379" s="1">
        <v>45032</v>
      </c>
      <c r="C2379" t="s">
        <v>130</v>
      </c>
      <c r="D2379" t="s">
        <v>40</v>
      </c>
      <c r="E2379" t="s">
        <v>19</v>
      </c>
      <c r="F2379" t="s">
        <v>29</v>
      </c>
      <c r="G2379" t="s">
        <v>714</v>
      </c>
      <c r="H2379" s="8">
        <v>737.04</v>
      </c>
      <c r="I2379" s="8">
        <v>-109.43</v>
      </c>
      <c r="J2379" s="8">
        <v>0.12</v>
      </c>
      <c r="K2379" t="str">
        <f>IF(SalesData[[#This Row],[Profit]]&gt;0,"Profit","Loss")</f>
        <v>Loss</v>
      </c>
      <c r="L2379" s="8">
        <f>SalesData[[#This Row],[Profit]]/SalesData[[#This Row],[Sales]]</f>
        <v>-0.14847226744817107</v>
      </c>
      <c r="M2379" t="str">
        <f>TEXT(SalesData[[#This Row],[Order_Date]],"mmm")</f>
        <v>Apr</v>
      </c>
      <c r="N2379">
        <f>YEAR(SalesData[[#This Row],[Order_Date]])</f>
        <v>2023</v>
      </c>
    </row>
    <row r="2380" spans="1:14" x14ac:dyDescent="0.3">
      <c r="A2380" t="s">
        <v>3659</v>
      </c>
      <c r="B2380" s="1">
        <v>44715</v>
      </c>
      <c r="C2380" t="s">
        <v>1320</v>
      </c>
      <c r="D2380" t="s">
        <v>18</v>
      </c>
      <c r="E2380" t="s">
        <v>13</v>
      </c>
      <c r="F2380" t="s">
        <v>14</v>
      </c>
      <c r="G2380" t="s">
        <v>1411</v>
      </c>
      <c r="H2380" s="8">
        <v>3175.91</v>
      </c>
      <c r="I2380" s="8">
        <v>-179.09</v>
      </c>
      <c r="J2380" s="8">
        <v>0.2</v>
      </c>
      <c r="K2380" t="str">
        <f>IF(SalesData[[#This Row],[Profit]]&gt;0,"Profit","Loss")</f>
        <v>Loss</v>
      </c>
      <c r="L2380" s="8">
        <f>SalesData[[#This Row],[Profit]]/SalesData[[#This Row],[Sales]]</f>
        <v>-5.639013700010391E-2</v>
      </c>
      <c r="M2380" t="str">
        <f>TEXT(SalesData[[#This Row],[Order_Date]],"mmm")</f>
        <v>Jun</v>
      </c>
      <c r="N2380">
        <f>YEAR(SalesData[[#This Row],[Order_Date]])</f>
        <v>2022</v>
      </c>
    </row>
    <row r="2381" spans="1:14" x14ac:dyDescent="0.3">
      <c r="A2381" t="s">
        <v>3660</v>
      </c>
      <c r="B2381" s="1">
        <v>44602</v>
      </c>
      <c r="C2381" t="s">
        <v>569</v>
      </c>
      <c r="D2381" t="s">
        <v>28</v>
      </c>
      <c r="E2381" t="s">
        <v>19</v>
      </c>
      <c r="F2381" t="s">
        <v>20</v>
      </c>
      <c r="G2381" t="s">
        <v>797</v>
      </c>
      <c r="H2381" s="8">
        <v>441.75</v>
      </c>
      <c r="I2381" s="8">
        <v>-177.07</v>
      </c>
      <c r="J2381" s="8">
        <v>0.22</v>
      </c>
      <c r="K2381" t="str">
        <f>IF(SalesData[[#This Row],[Profit]]&gt;0,"Profit","Loss")</f>
        <v>Loss</v>
      </c>
      <c r="L2381" s="8">
        <f>SalesData[[#This Row],[Profit]]/SalesData[[#This Row],[Sales]]</f>
        <v>-0.4008375778155065</v>
      </c>
      <c r="M2381" t="str">
        <f>TEXT(SalesData[[#This Row],[Order_Date]],"mmm")</f>
        <v>Feb</v>
      </c>
      <c r="N2381">
        <f>YEAR(SalesData[[#This Row],[Order_Date]])</f>
        <v>2022</v>
      </c>
    </row>
    <row r="2382" spans="1:14" x14ac:dyDescent="0.3">
      <c r="A2382" t="s">
        <v>3661</v>
      </c>
      <c r="B2382" s="1">
        <v>45115</v>
      </c>
      <c r="C2382" t="s">
        <v>3662</v>
      </c>
      <c r="D2382" t="s">
        <v>28</v>
      </c>
      <c r="E2382" t="s">
        <v>13</v>
      </c>
      <c r="F2382" t="s">
        <v>14</v>
      </c>
      <c r="G2382" t="s">
        <v>1941</v>
      </c>
      <c r="H2382" s="8">
        <v>1845.23</v>
      </c>
      <c r="I2382" s="8">
        <v>477.15</v>
      </c>
      <c r="J2382" s="8">
        <v>0</v>
      </c>
      <c r="K2382" t="str">
        <f>IF(SalesData[[#This Row],[Profit]]&gt;0,"Profit","Loss")</f>
        <v>Profit</v>
      </c>
      <c r="L2382" s="8">
        <f>SalesData[[#This Row],[Profit]]/SalesData[[#This Row],[Sales]]</f>
        <v>0.25858565056930571</v>
      </c>
      <c r="M2382" t="str">
        <f>TEXT(SalesData[[#This Row],[Order_Date]],"mmm")</f>
        <v>Jul</v>
      </c>
      <c r="N2382">
        <f>YEAR(SalesData[[#This Row],[Order_Date]])</f>
        <v>2023</v>
      </c>
    </row>
    <row r="2383" spans="1:14" x14ac:dyDescent="0.3">
      <c r="A2383" t="s">
        <v>3663</v>
      </c>
      <c r="B2383" s="1">
        <v>44955</v>
      </c>
      <c r="C2383" t="s">
        <v>1519</v>
      </c>
      <c r="D2383" t="s">
        <v>28</v>
      </c>
      <c r="E2383" t="s">
        <v>19</v>
      </c>
      <c r="F2383" t="s">
        <v>20</v>
      </c>
      <c r="G2383" t="s">
        <v>476</v>
      </c>
      <c r="H2383" s="8">
        <v>168.33</v>
      </c>
      <c r="I2383" s="8">
        <v>-67.33</v>
      </c>
      <c r="J2383" s="8">
        <v>0.27</v>
      </c>
      <c r="K2383" t="str">
        <f>IF(SalesData[[#This Row],[Profit]]&gt;0,"Profit","Loss")</f>
        <v>Loss</v>
      </c>
      <c r="L2383" s="8">
        <f>SalesData[[#This Row],[Profit]]/SalesData[[#This Row],[Sales]]</f>
        <v>-0.39998811857660543</v>
      </c>
      <c r="M2383" t="str">
        <f>TEXT(SalesData[[#This Row],[Order_Date]],"mmm")</f>
        <v>Jan</v>
      </c>
      <c r="N2383">
        <f>YEAR(SalesData[[#This Row],[Order_Date]])</f>
        <v>2023</v>
      </c>
    </row>
    <row r="2384" spans="1:14" x14ac:dyDescent="0.3">
      <c r="A2384" t="s">
        <v>3664</v>
      </c>
      <c r="B2384" s="1">
        <v>45029</v>
      </c>
      <c r="C2384" t="s">
        <v>3319</v>
      </c>
      <c r="D2384" t="s">
        <v>28</v>
      </c>
      <c r="E2384" t="s">
        <v>56</v>
      </c>
      <c r="F2384" t="s">
        <v>73</v>
      </c>
      <c r="G2384" t="s">
        <v>2847</v>
      </c>
      <c r="H2384" s="8">
        <v>4644.84</v>
      </c>
      <c r="I2384" s="8">
        <v>589.91</v>
      </c>
      <c r="J2384" s="8">
        <v>0.08</v>
      </c>
      <c r="K2384" t="str">
        <f>IF(SalesData[[#This Row],[Profit]]&gt;0,"Profit","Loss")</f>
        <v>Profit</v>
      </c>
      <c r="L2384" s="8">
        <f>SalesData[[#This Row],[Profit]]/SalesData[[#This Row],[Sales]]</f>
        <v>0.12700329828368684</v>
      </c>
      <c r="M2384" t="str">
        <f>TEXT(SalesData[[#This Row],[Order_Date]],"mmm")</f>
        <v>Apr</v>
      </c>
      <c r="N2384">
        <f>YEAR(SalesData[[#This Row],[Order_Date]])</f>
        <v>2023</v>
      </c>
    </row>
    <row r="2385" spans="1:14" x14ac:dyDescent="0.3">
      <c r="A2385" t="s">
        <v>3665</v>
      </c>
      <c r="B2385" s="1">
        <v>44995</v>
      </c>
      <c r="C2385" t="s">
        <v>1800</v>
      </c>
      <c r="D2385" t="s">
        <v>18</v>
      </c>
      <c r="E2385" t="s">
        <v>13</v>
      </c>
      <c r="F2385" t="s">
        <v>14</v>
      </c>
      <c r="G2385" t="s">
        <v>938</v>
      </c>
      <c r="H2385" s="8">
        <v>529.86</v>
      </c>
      <c r="I2385" s="8">
        <v>-12.63</v>
      </c>
      <c r="J2385" s="8">
        <v>0.18</v>
      </c>
      <c r="K2385" t="str">
        <f>IF(SalesData[[#This Row],[Profit]]&gt;0,"Profit","Loss")</f>
        <v>Loss</v>
      </c>
      <c r="L2385" s="8">
        <f>SalesData[[#This Row],[Profit]]/SalesData[[#This Row],[Sales]]</f>
        <v>-2.383648510927415E-2</v>
      </c>
      <c r="M2385" t="str">
        <f>TEXT(SalesData[[#This Row],[Order_Date]],"mmm")</f>
        <v>Mar</v>
      </c>
      <c r="N2385">
        <f>YEAR(SalesData[[#This Row],[Order_Date]])</f>
        <v>2023</v>
      </c>
    </row>
    <row r="2386" spans="1:14" x14ac:dyDescent="0.3">
      <c r="A2386" t="s">
        <v>3666</v>
      </c>
      <c r="B2386" s="1">
        <v>44745</v>
      </c>
      <c r="C2386" t="s">
        <v>134</v>
      </c>
      <c r="D2386" t="s">
        <v>18</v>
      </c>
      <c r="E2386" t="s">
        <v>56</v>
      </c>
      <c r="F2386" t="s">
        <v>57</v>
      </c>
      <c r="G2386" t="s">
        <v>436</v>
      </c>
      <c r="H2386" s="8">
        <v>4770.93</v>
      </c>
      <c r="I2386" s="8">
        <v>632.73</v>
      </c>
      <c r="J2386" s="8">
        <v>7.0000000000000007E-2</v>
      </c>
      <c r="K2386" t="str">
        <f>IF(SalesData[[#This Row],[Profit]]&gt;0,"Profit","Loss")</f>
        <v>Profit</v>
      </c>
      <c r="L2386" s="8">
        <f>SalesData[[#This Row],[Profit]]/SalesData[[#This Row],[Sales]]</f>
        <v>0.13262194163402102</v>
      </c>
      <c r="M2386" t="str">
        <f>TEXT(SalesData[[#This Row],[Order_Date]],"mmm")</f>
        <v>Jul</v>
      </c>
      <c r="N2386">
        <f>YEAR(SalesData[[#This Row],[Order_Date]])</f>
        <v>2022</v>
      </c>
    </row>
    <row r="2387" spans="1:14" x14ac:dyDescent="0.3">
      <c r="A2387" t="s">
        <v>3667</v>
      </c>
      <c r="B2387" s="1">
        <v>45036</v>
      </c>
      <c r="C2387" t="s">
        <v>1761</v>
      </c>
      <c r="D2387" t="s">
        <v>18</v>
      </c>
      <c r="E2387" t="s">
        <v>19</v>
      </c>
      <c r="F2387" t="s">
        <v>29</v>
      </c>
      <c r="G2387" t="s">
        <v>561</v>
      </c>
      <c r="H2387" s="8">
        <v>2651.24</v>
      </c>
      <c r="I2387" s="8">
        <v>151.56</v>
      </c>
      <c r="J2387" s="8">
        <v>0.02</v>
      </c>
      <c r="K2387" t="str">
        <f>IF(SalesData[[#This Row],[Profit]]&gt;0,"Profit","Loss")</f>
        <v>Profit</v>
      </c>
      <c r="L2387" s="8">
        <f>SalesData[[#This Row],[Profit]]/SalesData[[#This Row],[Sales]]</f>
        <v>5.7165703595298809E-2</v>
      </c>
      <c r="M2387" t="str">
        <f>TEXT(SalesData[[#This Row],[Order_Date]],"mmm")</f>
        <v>Apr</v>
      </c>
      <c r="N2387">
        <f>YEAR(SalesData[[#This Row],[Order_Date]])</f>
        <v>2023</v>
      </c>
    </row>
    <row r="2388" spans="1:14" x14ac:dyDescent="0.3">
      <c r="A2388" t="s">
        <v>3668</v>
      </c>
      <c r="B2388" s="1">
        <v>45292</v>
      </c>
      <c r="C2388" t="s">
        <v>2100</v>
      </c>
      <c r="D2388" t="s">
        <v>12</v>
      </c>
      <c r="E2388" t="s">
        <v>19</v>
      </c>
      <c r="F2388" t="s">
        <v>20</v>
      </c>
      <c r="G2388" t="s">
        <v>1814</v>
      </c>
      <c r="H2388" s="8">
        <v>545.09</v>
      </c>
      <c r="I2388" s="8">
        <v>-110.51</v>
      </c>
      <c r="J2388" s="8">
        <v>0.1</v>
      </c>
      <c r="K2388" t="str">
        <f>IF(SalesData[[#This Row],[Profit]]&gt;0,"Profit","Loss")</f>
        <v>Loss</v>
      </c>
      <c r="L2388" s="8">
        <f>SalesData[[#This Row],[Profit]]/SalesData[[#This Row],[Sales]]</f>
        <v>-0.20273716267038472</v>
      </c>
      <c r="M2388" t="str">
        <f>TEXT(SalesData[[#This Row],[Order_Date]],"mmm")</f>
        <v>Jan</v>
      </c>
      <c r="N2388">
        <f>YEAR(SalesData[[#This Row],[Order_Date]])</f>
        <v>2024</v>
      </c>
    </row>
    <row r="2389" spans="1:14" x14ac:dyDescent="0.3">
      <c r="A2389" t="s">
        <v>3669</v>
      </c>
      <c r="B2389" s="1">
        <v>45184</v>
      </c>
      <c r="C2389" t="s">
        <v>839</v>
      </c>
      <c r="D2389" t="s">
        <v>18</v>
      </c>
      <c r="E2389" t="s">
        <v>56</v>
      </c>
      <c r="F2389" t="s">
        <v>95</v>
      </c>
      <c r="G2389" t="s">
        <v>564</v>
      </c>
      <c r="H2389" s="8">
        <v>3532.08</v>
      </c>
      <c r="I2389" s="8">
        <v>488.21</v>
      </c>
      <c r="J2389" s="8">
        <v>0.05</v>
      </c>
      <c r="K2389" t="str">
        <f>IF(SalesData[[#This Row],[Profit]]&gt;0,"Profit","Loss")</f>
        <v>Profit</v>
      </c>
      <c r="L2389" s="8">
        <f>SalesData[[#This Row],[Profit]]/SalesData[[#This Row],[Sales]]</f>
        <v>0.13822167108332767</v>
      </c>
      <c r="M2389" t="str">
        <f>TEXT(SalesData[[#This Row],[Order_Date]],"mmm")</f>
        <v>Sep</v>
      </c>
      <c r="N2389">
        <f>YEAR(SalesData[[#This Row],[Order_Date]])</f>
        <v>2023</v>
      </c>
    </row>
    <row r="2390" spans="1:14" x14ac:dyDescent="0.3">
      <c r="A2390" t="s">
        <v>3670</v>
      </c>
      <c r="B2390" s="1">
        <v>44566</v>
      </c>
      <c r="C2390" t="s">
        <v>1444</v>
      </c>
      <c r="D2390" t="s">
        <v>40</v>
      </c>
      <c r="E2390" t="s">
        <v>19</v>
      </c>
      <c r="F2390" t="s">
        <v>141</v>
      </c>
      <c r="G2390" t="s">
        <v>930</v>
      </c>
      <c r="H2390" s="8">
        <v>3949.81</v>
      </c>
      <c r="I2390" s="8">
        <v>734.33</v>
      </c>
      <c r="J2390" s="8">
        <v>0.16</v>
      </c>
      <c r="K2390" t="str">
        <f>IF(SalesData[[#This Row],[Profit]]&gt;0,"Profit","Loss")</f>
        <v>Profit</v>
      </c>
      <c r="L2390" s="8">
        <f>SalesData[[#This Row],[Profit]]/SalesData[[#This Row],[Sales]]</f>
        <v>0.185915271873837</v>
      </c>
      <c r="M2390" t="str">
        <f>TEXT(SalesData[[#This Row],[Order_Date]],"mmm")</f>
        <v>Jan</v>
      </c>
      <c r="N2390">
        <f>YEAR(SalesData[[#This Row],[Order_Date]])</f>
        <v>2022</v>
      </c>
    </row>
    <row r="2391" spans="1:14" x14ac:dyDescent="0.3">
      <c r="A2391" t="s">
        <v>3671</v>
      </c>
      <c r="B2391" s="1">
        <v>45110</v>
      </c>
      <c r="C2391" t="s">
        <v>973</v>
      </c>
      <c r="D2391" t="s">
        <v>40</v>
      </c>
      <c r="E2391" t="s">
        <v>56</v>
      </c>
      <c r="F2391" t="s">
        <v>95</v>
      </c>
      <c r="G2391" t="s">
        <v>3038</v>
      </c>
      <c r="H2391" s="8">
        <v>621.44000000000005</v>
      </c>
      <c r="I2391" s="8">
        <v>19.84</v>
      </c>
      <c r="J2391" s="8">
        <v>0.03</v>
      </c>
      <c r="K2391" t="str">
        <f>IF(SalesData[[#This Row],[Profit]]&gt;0,"Profit","Loss")</f>
        <v>Profit</v>
      </c>
      <c r="L2391" s="8">
        <f>SalesData[[#This Row],[Profit]]/SalesData[[#This Row],[Sales]]</f>
        <v>3.1925849639546859E-2</v>
      </c>
      <c r="M2391" t="str">
        <f>TEXT(SalesData[[#This Row],[Order_Date]],"mmm")</f>
        <v>Jul</v>
      </c>
      <c r="N2391">
        <f>YEAR(SalesData[[#This Row],[Order_Date]])</f>
        <v>2023</v>
      </c>
    </row>
    <row r="2392" spans="1:14" x14ac:dyDescent="0.3">
      <c r="A2392" t="s">
        <v>3672</v>
      </c>
      <c r="B2392" s="1">
        <v>45036</v>
      </c>
      <c r="C2392" t="s">
        <v>588</v>
      </c>
      <c r="D2392" t="s">
        <v>28</v>
      </c>
      <c r="E2392" t="s">
        <v>13</v>
      </c>
      <c r="F2392" t="s">
        <v>14</v>
      </c>
      <c r="G2392" t="s">
        <v>1317</v>
      </c>
      <c r="H2392" s="8">
        <v>3678.62</v>
      </c>
      <c r="I2392" s="8">
        <v>-436.34</v>
      </c>
      <c r="J2392" s="8">
        <v>0.26</v>
      </c>
      <c r="K2392" t="str">
        <f>IF(SalesData[[#This Row],[Profit]]&gt;0,"Profit","Loss")</f>
        <v>Loss</v>
      </c>
      <c r="L2392" s="8">
        <f>SalesData[[#This Row],[Profit]]/SalesData[[#This Row],[Sales]]</f>
        <v>-0.11861513284873132</v>
      </c>
      <c r="M2392" t="str">
        <f>TEXT(SalesData[[#This Row],[Order_Date]],"mmm")</f>
        <v>Apr</v>
      </c>
      <c r="N2392">
        <f>YEAR(SalesData[[#This Row],[Order_Date]])</f>
        <v>2023</v>
      </c>
    </row>
    <row r="2393" spans="1:14" x14ac:dyDescent="0.3">
      <c r="A2393" t="s">
        <v>3673</v>
      </c>
      <c r="B2393" s="1">
        <v>44613</v>
      </c>
      <c r="C2393" t="s">
        <v>2021</v>
      </c>
      <c r="D2393" t="s">
        <v>40</v>
      </c>
      <c r="E2393" t="s">
        <v>13</v>
      </c>
      <c r="F2393" t="s">
        <v>24</v>
      </c>
      <c r="G2393" t="s">
        <v>202</v>
      </c>
      <c r="H2393" s="8">
        <v>561.55999999999995</v>
      </c>
      <c r="I2393" s="8">
        <v>-192.8</v>
      </c>
      <c r="J2393" s="8">
        <v>0.17</v>
      </c>
      <c r="K2393" t="str">
        <f>IF(SalesData[[#This Row],[Profit]]&gt;0,"Profit","Loss")</f>
        <v>Loss</v>
      </c>
      <c r="L2393" s="8">
        <f>SalesData[[#This Row],[Profit]]/SalesData[[#This Row],[Sales]]</f>
        <v>-0.34332929695847286</v>
      </c>
      <c r="M2393" t="str">
        <f>TEXT(SalesData[[#This Row],[Order_Date]],"mmm")</f>
        <v>Feb</v>
      </c>
      <c r="N2393">
        <f>YEAR(SalesData[[#This Row],[Order_Date]])</f>
        <v>2022</v>
      </c>
    </row>
    <row r="2394" spans="1:14" x14ac:dyDescent="0.3">
      <c r="A2394" t="s">
        <v>3674</v>
      </c>
      <c r="B2394" s="1">
        <v>44783</v>
      </c>
      <c r="C2394" t="s">
        <v>3143</v>
      </c>
      <c r="D2394" t="s">
        <v>28</v>
      </c>
      <c r="E2394" t="s">
        <v>56</v>
      </c>
      <c r="F2394" t="s">
        <v>95</v>
      </c>
      <c r="G2394" t="s">
        <v>44</v>
      </c>
      <c r="H2394" s="8">
        <v>2721.39</v>
      </c>
      <c r="I2394" s="8">
        <v>-211.39</v>
      </c>
      <c r="J2394" s="8">
        <v>0.24</v>
      </c>
      <c r="K2394" t="str">
        <f>IF(SalesData[[#This Row],[Profit]]&gt;0,"Profit","Loss")</f>
        <v>Loss</v>
      </c>
      <c r="L2394" s="8">
        <f>SalesData[[#This Row],[Profit]]/SalesData[[#This Row],[Sales]]</f>
        <v>-7.7677216422489981E-2</v>
      </c>
      <c r="M2394" t="str">
        <f>TEXT(SalesData[[#This Row],[Order_Date]],"mmm")</f>
        <v>Aug</v>
      </c>
      <c r="N2394">
        <f>YEAR(SalesData[[#This Row],[Order_Date]])</f>
        <v>2022</v>
      </c>
    </row>
    <row r="2395" spans="1:14" x14ac:dyDescent="0.3">
      <c r="A2395" t="s">
        <v>3675</v>
      </c>
      <c r="B2395" s="1">
        <v>45083</v>
      </c>
      <c r="C2395" t="s">
        <v>1482</v>
      </c>
      <c r="D2395" t="s">
        <v>40</v>
      </c>
      <c r="E2395" t="s">
        <v>56</v>
      </c>
      <c r="F2395" t="s">
        <v>73</v>
      </c>
      <c r="G2395" t="s">
        <v>3009</v>
      </c>
      <c r="H2395" s="8">
        <v>4552.21</v>
      </c>
      <c r="I2395" s="8">
        <v>-1076.93</v>
      </c>
      <c r="J2395" s="8">
        <v>0.14000000000000001</v>
      </c>
      <c r="K2395" t="str">
        <f>IF(SalesData[[#This Row],[Profit]]&gt;0,"Profit","Loss")</f>
        <v>Loss</v>
      </c>
      <c r="L2395" s="8">
        <f>SalesData[[#This Row],[Profit]]/SalesData[[#This Row],[Sales]]</f>
        <v>-0.23657300519967225</v>
      </c>
      <c r="M2395" t="str">
        <f>TEXT(SalesData[[#This Row],[Order_Date]],"mmm")</f>
        <v>Jun</v>
      </c>
      <c r="N2395">
        <f>YEAR(SalesData[[#This Row],[Order_Date]])</f>
        <v>2023</v>
      </c>
    </row>
    <row r="2396" spans="1:14" x14ac:dyDescent="0.3">
      <c r="A2396" t="s">
        <v>3676</v>
      </c>
      <c r="B2396" s="1">
        <v>45050</v>
      </c>
      <c r="C2396" t="s">
        <v>1120</v>
      </c>
      <c r="D2396" t="s">
        <v>12</v>
      </c>
      <c r="E2396" t="s">
        <v>19</v>
      </c>
      <c r="F2396" t="s">
        <v>20</v>
      </c>
      <c r="G2396" t="s">
        <v>1492</v>
      </c>
      <c r="H2396" s="8">
        <v>3321.05</v>
      </c>
      <c r="I2396" s="8">
        <v>-1385.34</v>
      </c>
      <c r="J2396" s="8">
        <v>0.3</v>
      </c>
      <c r="K2396" t="str">
        <f>IF(SalesData[[#This Row],[Profit]]&gt;0,"Profit","Loss")</f>
        <v>Loss</v>
      </c>
      <c r="L2396" s="8">
        <f>SalesData[[#This Row],[Profit]]/SalesData[[#This Row],[Sales]]</f>
        <v>-0.41713915779647998</v>
      </c>
      <c r="M2396" t="str">
        <f>TEXT(SalesData[[#This Row],[Order_Date]],"mmm")</f>
        <v>May</v>
      </c>
      <c r="N2396">
        <f>YEAR(SalesData[[#This Row],[Order_Date]])</f>
        <v>2023</v>
      </c>
    </row>
    <row r="2397" spans="1:14" x14ac:dyDescent="0.3">
      <c r="A2397" t="s">
        <v>3677</v>
      </c>
      <c r="B2397" s="1">
        <v>44796</v>
      </c>
      <c r="C2397" t="s">
        <v>1480</v>
      </c>
      <c r="D2397" t="s">
        <v>18</v>
      </c>
      <c r="E2397" t="s">
        <v>56</v>
      </c>
      <c r="F2397" t="s">
        <v>73</v>
      </c>
      <c r="G2397" t="s">
        <v>1386</v>
      </c>
      <c r="H2397" s="8">
        <v>1147.3800000000001</v>
      </c>
      <c r="I2397" s="8">
        <v>-244.99</v>
      </c>
      <c r="J2397" s="8">
        <v>0.09</v>
      </c>
      <c r="K2397" t="str">
        <f>IF(SalesData[[#This Row],[Profit]]&gt;0,"Profit","Loss")</f>
        <v>Loss</v>
      </c>
      <c r="L2397" s="8">
        <f>SalesData[[#This Row],[Profit]]/SalesData[[#This Row],[Sales]]</f>
        <v>-0.21352123969391135</v>
      </c>
      <c r="M2397" t="str">
        <f>TEXT(SalesData[[#This Row],[Order_Date]],"mmm")</f>
        <v>Aug</v>
      </c>
      <c r="N2397">
        <f>YEAR(SalesData[[#This Row],[Order_Date]])</f>
        <v>2022</v>
      </c>
    </row>
    <row r="2398" spans="1:14" x14ac:dyDescent="0.3">
      <c r="A2398" t="s">
        <v>3678</v>
      </c>
      <c r="B2398" s="1">
        <v>44778</v>
      </c>
      <c r="C2398" t="s">
        <v>708</v>
      </c>
      <c r="D2398" t="s">
        <v>18</v>
      </c>
      <c r="E2398" t="s">
        <v>19</v>
      </c>
      <c r="F2398" t="s">
        <v>20</v>
      </c>
      <c r="G2398" t="s">
        <v>157</v>
      </c>
      <c r="H2398" s="8">
        <v>1459.38</v>
      </c>
      <c r="I2398" s="8">
        <v>-266.69</v>
      </c>
      <c r="J2398" s="8">
        <v>0.15</v>
      </c>
      <c r="K2398" t="str">
        <f>IF(SalesData[[#This Row],[Profit]]&gt;0,"Profit","Loss")</f>
        <v>Loss</v>
      </c>
      <c r="L2398" s="8">
        <f>SalesData[[#This Row],[Profit]]/SalesData[[#This Row],[Sales]]</f>
        <v>-0.18274198632295904</v>
      </c>
      <c r="M2398" t="str">
        <f>TEXT(SalesData[[#This Row],[Order_Date]],"mmm")</f>
        <v>Aug</v>
      </c>
      <c r="N2398">
        <f>YEAR(SalesData[[#This Row],[Order_Date]])</f>
        <v>2022</v>
      </c>
    </row>
    <row r="2399" spans="1:14" x14ac:dyDescent="0.3">
      <c r="A2399" t="s">
        <v>3679</v>
      </c>
      <c r="B2399" s="1">
        <v>44930</v>
      </c>
      <c r="C2399" t="s">
        <v>929</v>
      </c>
      <c r="D2399" t="s">
        <v>18</v>
      </c>
      <c r="E2399" t="s">
        <v>13</v>
      </c>
      <c r="F2399" t="s">
        <v>24</v>
      </c>
      <c r="G2399" t="s">
        <v>306</v>
      </c>
      <c r="H2399" s="8">
        <v>3764.09</v>
      </c>
      <c r="I2399" s="8">
        <v>1371.49</v>
      </c>
      <c r="J2399" s="8">
        <v>0.02</v>
      </c>
      <c r="K2399" t="str">
        <f>IF(SalesData[[#This Row],[Profit]]&gt;0,"Profit","Loss")</f>
        <v>Profit</v>
      </c>
      <c r="L2399" s="8">
        <f>SalesData[[#This Row],[Profit]]/SalesData[[#This Row],[Sales]]</f>
        <v>0.36436163853680437</v>
      </c>
      <c r="M2399" t="str">
        <f>TEXT(SalesData[[#This Row],[Order_Date]],"mmm")</f>
        <v>Jan</v>
      </c>
      <c r="N2399">
        <f>YEAR(SalesData[[#This Row],[Order_Date]])</f>
        <v>2023</v>
      </c>
    </row>
    <row r="2400" spans="1:14" x14ac:dyDescent="0.3">
      <c r="A2400" t="s">
        <v>3680</v>
      </c>
      <c r="B2400" s="1">
        <v>44598</v>
      </c>
      <c r="C2400" t="s">
        <v>1865</v>
      </c>
      <c r="D2400" t="s">
        <v>18</v>
      </c>
      <c r="E2400" t="s">
        <v>56</v>
      </c>
      <c r="F2400" t="s">
        <v>73</v>
      </c>
      <c r="G2400" t="s">
        <v>1182</v>
      </c>
      <c r="H2400" s="8">
        <v>720.01</v>
      </c>
      <c r="I2400" s="8">
        <v>-275.17</v>
      </c>
      <c r="J2400" s="8">
        <v>0.19</v>
      </c>
      <c r="K2400" t="str">
        <f>IF(SalesData[[#This Row],[Profit]]&gt;0,"Profit","Loss")</f>
        <v>Loss</v>
      </c>
      <c r="L2400" s="8">
        <f>SalesData[[#This Row],[Profit]]/SalesData[[#This Row],[Sales]]</f>
        <v>-0.38217524756600607</v>
      </c>
      <c r="M2400" t="str">
        <f>TEXT(SalesData[[#This Row],[Order_Date]],"mmm")</f>
        <v>Feb</v>
      </c>
      <c r="N2400">
        <f>YEAR(SalesData[[#This Row],[Order_Date]])</f>
        <v>2022</v>
      </c>
    </row>
    <row r="2401" spans="1:14" x14ac:dyDescent="0.3">
      <c r="A2401" t="s">
        <v>3681</v>
      </c>
      <c r="B2401" s="1">
        <v>45011</v>
      </c>
      <c r="C2401" t="s">
        <v>1174</v>
      </c>
      <c r="D2401" t="s">
        <v>40</v>
      </c>
      <c r="E2401" t="s">
        <v>19</v>
      </c>
      <c r="F2401" t="s">
        <v>141</v>
      </c>
      <c r="G2401" t="s">
        <v>119</v>
      </c>
      <c r="H2401" s="8">
        <v>3509.8</v>
      </c>
      <c r="I2401" s="8">
        <v>-671.35</v>
      </c>
      <c r="J2401" s="8">
        <v>7.0000000000000007E-2</v>
      </c>
      <c r="K2401" t="str">
        <f>IF(SalesData[[#This Row],[Profit]]&gt;0,"Profit","Loss")</f>
        <v>Loss</v>
      </c>
      <c r="L2401" s="8">
        <f>SalesData[[#This Row],[Profit]]/SalesData[[#This Row],[Sales]]</f>
        <v>-0.19127870533933558</v>
      </c>
      <c r="M2401" t="str">
        <f>TEXT(SalesData[[#This Row],[Order_Date]],"mmm")</f>
        <v>Mar</v>
      </c>
      <c r="N2401">
        <f>YEAR(SalesData[[#This Row],[Order_Date]])</f>
        <v>2023</v>
      </c>
    </row>
    <row r="2402" spans="1:14" x14ac:dyDescent="0.3">
      <c r="A2402" t="s">
        <v>3682</v>
      </c>
      <c r="B2402" s="1">
        <v>44604</v>
      </c>
      <c r="C2402" t="s">
        <v>3683</v>
      </c>
      <c r="D2402" t="s">
        <v>18</v>
      </c>
      <c r="E2402" t="s">
        <v>56</v>
      </c>
      <c r="F2402" t="s">
        <v>73</v>
      </c>
      <c r="G2402" t="s">
        <v>624</v>
      </c>
      <c r="H2402" s="8">
        <v>4391.47</v>
      </c>
      <c r="I2402" s="8">
        <v>705.76</v>
      </c>
      <c r="J2402" s="8">
        <v>7.0000000000000007E-2</v>
      </c>
      <c r="K2402" t="str">
        <f>IF(SalesData[[#This Row],[Profit]]&gt;0,"Profit","Loss")</f>
        <v>Profit</v>
      </c>
      <c r="L2402" s="8">
        <f>SalesData[[#This Row],[Profit]]/SalesData[[#This Row],[Sales]]</f>
        <v>0.16071156127674788</v>
      </c>
      <c r="M2402" t="str">
        <f>TEXT(SalesData[[#This Row],[Order_Date]],"mmm")</f>
        <v>Feb</v>
      </c>
      <c r="N2402">
        <f>YEAR(SalesData[[#This Row],[Order_Date]])</f>
        <v>2022</v>
      </c>
    </row>
    <row r="2403" spans="1:14" x14ac:dyDescent="0.3">
      <c r="A2403" t="s">
        <v>3684</v>
      </c>
      <c r="B2403" s="1">
        <v>44763</v>
      </c>
      <c r="C2403" t="s">
        <v>1178</v>
      </c>
      <c r="D2403" t="s">
        <v>12</v>
      </c>
      <c r="E2403" t="s">
        <v>56</v>
      </c>
      <c r="F2403" t="s">
        <v>95</v>
      </c>
      <c r="G2403" t="s">
        <v>473</v>
      </c>
      <c r="H2403" s="8">
        <v>1743.78</v>
      </c>
      <c r="I2403" s="8">
        <v>-101</v>
      </c>
      <c r="J2403" s="8">
        <v>0.01</v>
      </c>
      <c r="K2403" t="str">
        <f>IF(SalesData[[#This Row],[Profit]]&gt;0,"Profit","Loss")</f>
        <v>Loss</v>
      </c>
      <c r="L2403" s="8">
        <f>SalesData[[#This Row],[Profit]]/SalesData[[#This Row],[Sales]]</f>
        <v>-5.7920150477697878E-2</v>
      </c>
      <c r="M2403" t="str">
        <f>TEXT(SalesData[[#This Row],[Order_Date]],"mmm")</f>
        <v>Jul</v>
      </c>
      <c r="N2403">
        <f>YEAR(SalesData[[#This Row],[Order_Date]])</f>
        <v>2022</v>
      </c>
    </row>
    <row r="2404" spans="1:14" x14ac:dyDescent="0.3">
      <c r="A2404" t="s">
        <v>3685</v>
      </c>
      <c r="B2404" s="1">
        <v>44926</v>
      </c>
      <c r="C2404" t="s">
        <v>1078</v>
      </c>
      <c r="D2404" t="s">
        <v>12</v>
      </c>
      <c r="E2404" t="s">
        <v>13</v>
      </c>
      <c r="F2404" t="s">
        <v>24</v>
      </c>
      <c r="G2404" t="s">
        <v>680</v>
      </c>
      <c r="H2404" s="8">
        <v>1230.96</v>
      </c>
      <c r="I2404" s="8">
        <v>-216.46</v>
      </c>
      <c r="J2404" s="8">
        <v>0.25</v>
      </c>
      <c r="K2404" t="str">
        <f>IF(SalesData[[#This Row],[Profit]]&gt;0,"Profit","Loss")</f>
        <v>Loss</v>
      </c>
      <c r="L2404" s="8">
        <f>SalesData[[#This Row],[Profit]]/SalesData[[#This Row],[Sales]]</f>
        <v>-0.17584649379346201</v>
      </c>
      <c r="M2404" t="str">
        <f>TEXT(SalesData[[#This Row],[Order_Date]],"mmm")</f>
        <v>Dec</v>
      </c>
      <c r="N2404">
        <f>YEAR(SalesData[[#This Row],[Order_Date]])</f>
        <v>2022</v>
      </c>
    </row>
    <row r="2405" spans="1:14" x14ac:dyDescent="0.3">
      <c r="A2405" t="s">
        <v>3686</v>
      </c>
      <c r="B2405" s="1">
        <v>44727</v>
      </c>
      <c r="C2405" t="s">
        <v>1336</v>
      </c>
      <c r="D2405" t="s">
        <v>12</v>
      </c>
      <c r="E2405" t="s">
        <v>13</v>
      </c>
      <c r="F2405" t="s">
        <v>14</v>
      </c>
      <c r="G2405" t="s">
        <v>216</v>
      </c>
      <c r="H2405" s="8">
        <v>746.89</v>
      </c>
      <c r="I2405" s="8">
        <v>-154.05000000000001</v>
      </c>
      <c r="J2405" s="8">
        <v>0.02</v>
      </c>
      <c r="K2405" t="str">
        <f>IF(SalesData[[#This Row],[Profit]]&gt;0,"Profit","Loss")</f>
        <v>Loss</v>
      </c>
      <c r="L2405" s="8">
        <f>SalesData[[#This Row],[Profit]]/SalesData[[#This Row],[Sales]]</f>
        <v>-0.20625527186064885</v>
      </c>
      <c r="M2405" t="str">
        <f>TEXT(SalesData[[#This Row],[Order_Date]],"mmm")</f>
        <v>Jun</v>
      </c>
      <c r="N2405">
        <f>YEAR(SalesData[[#This Row],[Order_Date]])</f>
        <v>2022</v>
      </c>
    </row>
    <row r="2406" spans="1:14" x14ac:dyDescent="0.3">
      <c r="A2406" t="s">
        <v>3687</v>
      </c>
      <c r="B2406" s="1">
        <v>45184</v>
      </c>
      <c r="C2406" t="s">
        <v>1239</v>
      </c>
      <c r="D2406" t="s">
        <v>18</v>
      </c>
      <c r="E2406" t="s">
        <v>13</v>
      </c>
      <c r="F2406" t="s">
        <v>24</v>
      </c>
      <c r="G2406" t="s">
        <v>669</v>
      </c>
      <c r="H2406" s="8">
        <v>4893.57</v>
      </c>
      <c r="I2406" s="8">
        <v>-200.04</v>
      </c>
      <c r="J2406" s="8">
        <v>0.02</v>
      </c>
      <c r="K2406" t="str">
        <f>IF(SalesData[[#This Row],[Profit]]&gt;0,"Profit","Loss")</f>
        <v>Loss</v>
      </c>
      <c r="L2406" s="8">
        <f>SalesData[[#This Row],[Profit]]/SalesData[[#This Row],[Sales]]</f>
        <v>-4.0878131915963192E-2</v>
      </c>
      <c r="M2406" t="str">
        <f>TEXT(SalesData[[#This Row],[Order_Date]],"mmm")</f>
        <v>Sep</v>
      </c>
      <c r="N2406">
        <f>YEAR(SalesData[[#This Row],[Order_Date]])</f>
        <v>2023</v>
      </c>
    </row>
    <row r="2407" spans="1:14" x14ac:dyDescent="0.3">
      <c r="A2407" t="s">
        <v>3688</v>
      </c>
      <c r="B2407" s="1">
        <v>44815</v>
      </c>
      <c r="C2407" t="s">
        <v>2159</v>
      </c>
      <c r="D2407" t="s">
        <v>40</v>
      </c>
      <c r="E2407" t="s">
        <v>13</v>
      </c>
      <c r="F2407" t="s">
        <v>24</v>
      </c>
      <c r="G2407" t="s">
        <v>564</v>
      </c>
      <c r="H2407" s="8">
        <v>1169.03</v>
      </c>
      <c r="I2407" s="8">
        <v>-540.66999999999996</v>
      </c>
      <c r="J2407" s="8">
        <v>0.28000000000000003</v>
      </c>
      <c r="K2407" t="str">
        <f>IF(SalesData[[#This Row],[Profit]]&gt;0,"Profit","Loss")</f>
        <v>Loss</v>
      </c>
      <c r="L2407" s="8">
        <f>SalesData[[#This Row],[Profit]]/SalesData[[#This Row],[Sales]]</f>
        <v>-0.46249454676098983</v>
      </c>
      <c r="M2407" t="str">
        <f>TEXT(SalesData[[#This Row],[Order_Date]],"mmm")</f>
        <v>Sep</v>
      </c>
      <c r="N2407">
        <f>YEAR(SalesData[[#This Row],[Order_Date]])</f>
        <v>2022</v>
      </c>
    </row>
    <row r="2408" spans="1:14" x14ac:dyDescent="0.3">
      <c r="A2408" t="s">
        <v>3689</v>
      </c>
      <c r="B2408" s="1">
        <v>44769</v>
      </c>
      <c r="C2408" t="s">
        <v>2291</v>
      </c>
      <c r="D2408" t="s">
        <v>28</v>
      </c>
      <c r="E2408" t="s">
        <v>13</v>
      </c>
      <c r="F2408" t="s">
        <v>36</v>
      </c>
      <c r="G2408" t="s">
        <v>222</v>
      </c>
      <c r="H2408" s="8">
        <v>2020.22</v>
      </c>
      <c r="I2408" s="8">
        <v>-406.68</v>
      </c>
      <c r="J2408" s="8">
        <v>0.05</v>
      </c>
      <c r="K2408" t="str">
        <f>IF(SalesData[[#This Row],[Profit]]&gt;0,"Profit","Loss")</f>
        <v>Loss</v>
      </c>
      <c r="L2408" s="8">
        <f>SalesData[[#This Row],[Profit]]/SalesData[[#This Row],[Sales]]</f>
        <v>-0.20130480838720535</v>
      </c>
      <c r="M2408" t="str">
        <f>TEXT(SalesData[[#This Row],[Order_Date]],"mmm")</f>
        <v>Jul</v>
      </c>
      <c r="N2408">
        <f>YEAR(SalesData[[#This Row],[Order_Date]])</f>
        <v>2022</v>
      </c>
    </row>
    <row r="2409" spans="1:14" x14ac:dyDescent="0.3">
      <c r="A2409" t="s">
        <v>3690</v>
      </c>
      <c r="B2409" s="1">
        <v>44989</v>
      </c>
      <c r="C2409" t="s">
        <v>1519</v>
      </c>
      <c r="D2409" t="s">
        <v>28</v>
      </c>
      <c r="E2409" t="s">
        <v>56</v>
      </c>
      <c r="F2409" t="s">
        <v>73</v>
      </c>
      <c r="G2409" t="s">
        <v>717</v>
      </c>
      <c r="H2409" s="8">
        <v>373.8</v>
      </c>
      <c r="I2409" s="8">
        <v>78.83</v>
      </c>
      <c r="J2409" s="8">
        <v>0.12</v>
      </c>
      <c r="K2409" t="str">
        <f>IF(SalesData[[#This Row],[Profit]]&gt;0,"Profit","Loss")</f>
        <v>Profit</v>
      </c>
      <c r="L2409" s="8">
        <f>SalesData[[#This Row],[Profit]]/SalesData[[#This Row],[Sales]]</f>
        <v>0.21088817549491706</v>
      </c>
      <c r="M2409" t="str">
        <f>TEXT(SalesData[[#This Row],[Order_Date]],"mmm")</f>
        <v>Mar</v>
      </c>
      <c r="N2409">
        <f>YEAR(SalesData[[#This Row],[Order_Date]])</f>
        <v>2023</v>
      </c>
    </row>
    <row r="2410" spans="1:14" x14ac:dyDescent="0.3">
      <c r="A2410" t="s">
        <v>3691</v>
      </c>
      <c r="B2410" s="1">
        <v>45146</v>
      </c>
      <c r="C2410" t="s">
        <v>1273</v>
      </c>
      <c r="D2410" t="s">
        <v>28</v>
      </c>
      <c r="E2410" t="s">
        <v>56</v>
      </c>
      <c r="F2410" t="s">
        <v>95</v>
      </c>
      <c r="G2410" t="s">
        <v>58</v>
      </c>
      <c r="H2410" s="8">
        <v>1245.95</v>
      </c>
      <c r="I2410" s="8">
        <v>-284.35000000000002</v>
      </c>
      <c r="J2410" s="8">
        <v>0.12</v>
      </c>
      <c r="K2410" t="str">
        <f>IF(SalesData[[#This Row],[Profit]]&gt;0,"Profit","Loss")</f>
        <v>Loss</v>
      </c>
      <c r="L2410" s="8">
        <f>SalesData[[#This Row],[Profit]]/SalesData[[#This Row],[Sales]]</f>
        <v>-0.22821943095629843</v>
      </c>
      <c r="M2410" t="str">
        <f>TEXT(SalesData[[#This Row],[Order_Date]],"mmm")</f>
        <v>Aug</v>
      </c>
      <c r="N2410">
        <f>YEAR(SalesData[[#This Row],[Order_Date]])</f>
        <v>2023</v>
      </c>
    </row>
    <row r="2411" spans="1:14" x14ac:dyDescent="0.3">
      <c r="A2411" t="s">
        <v>3692</v>
      </c>
      <c r="B2411" s="1">
        <v>44822</v>
      </c>
      <c r="C2411" t="s">
        <v>127</v>
      </c>
      <c r="D2411" t="s">
        <v>12</v>
      </c>
      <c r="E2411" t="s">
        <v>19</v>
      </c>
      <c r="F2411" t="s">
        <v>20</v>
      </c>
      <c r="G2411" t="s">
        <v>504</v>
      </c>
      <c r="H2411" s="8">
        <v>1585.66</v>
      </c>
      <c r="I2411" s="8">
        <v>266.14</v>
      </c>
      <c r="J2411" s="8">
        <v>0.09</v>
      </c>
      <c r="K2411" t="str">
        <f>IF(SalesData[[#This Row],[Profit]]&gt;0,"Profit","Loss")</f>
        <v>Profit</v>
      </c>
      <c r="L2411" s="8">
        <f>SalesData[[#This Row],[Profit]]/SalesData[[#This Row],[Sales]]</f>
        <v>0.16784178197091429</v>
      </c>
      <c r="M2411" t="str">
        <f>TEXT(SalesData[[#This Row],[Order_Date]],"mmm")</f>
        <v>Sep</v>
      </c>
      <c r="N2411">
        <f>YEAR(SalesData[[#This Row],[Order_Date]])</f>
        <v>2022</v>
      </c>
    </row>
    <row r="2412" spans="1:14" x14ac:dyDescent="0.3">
      <c r="A2412" t="s">
        <v>3693</v>
      </c>
      <c r="B2412" s="1">
        <v>44755</v>
      </c>
      <c r="C2412" t="s">
        <v>3694</v>
      </c>
      <c r="D2412" t="s">
        <v>18</v>
      </c>
      <c r="E2412" t="s">
        <v>19</v>
      </c>
      <c r="F2412" t="s">
        <v>29</v>
      </c>
      <c r="G2412" t="s">
        <v>1099</v>
      </c>
      <c r="H2412" s="8">
        <v>4900.51</v>
      </c>
      <c r="I2412" s="8">
        <v>-231.33</v>
      </c>
      <c r="J2412" s="8">
        <v>0.21</v>
      </c>
      <c r="K2412" t="str">
        <f>IF(SalesData[[#This Row],[Profit]]&gt;0,"Profit","Loss")</f>
        <v>Loss</v>
      </c>
      <c r="L2412" s="8">
        <f>SalesData[[#This Row],[Profit]]/SalesData[[#This Row],[Sales]]</f>
        <v>-4.7205290877888217E-2</v>
      </c>
      <c r="M2412" t="str">
        <f>TEXT(SalesData[[#This Row],[Order_Date]],"mmm")</f>
        <v>Jul</v>
      </c>
      <c r="N2412">
        <f>YEAR(SalesData[[#This Row],[Order_Date]])</f>
        <v>2022</v>
      </c>
    </row>
    <row r="2413" spans="1:14" x14ac:dyDescent="0.3">
      <c r="A2413" t="s">
        <v>3695</v>
      </c>
      <c r="B2413" s="1">
        <v>45026</v>
      </c>
      <c r="C2413" t="s">
        <v>422</v>
      </c>
      <c r="D2413" t="s">
        <v>18</v>
      </c>
      <c r="E2413" t="s">
        <v>19</v>
      </c>
      <c r="F2413" t="s">
        <v>29</v>
      </c>
      <c r="G2413" t="s">
        <v>649</v>
      </c>
      <c r="H2413" s="8">
        <v>141.83000000000001</v>
      </c>
      <c r="I2413" s="8">
        <v>-23.24</v>
      </c>
      <c r="J2413" s="8">
        <v>0.19</v>
      </c>
      <c r="K2413" t="str">
        <f>IF(SalesData[[#This Row],[Profit]]&gt;0,"Profit","Loss")</f>
        <v>Loss</v>
      </c>
      <c r="L2413" s="8">
        <f>SalesData[[#This Row],[Profit]]/SalesData[[#This Row],[Sales]]</f>
        <v>-0.16385814002679261</v>
      </c>
      <c r="M2413" t="str">
        <f>TEXT(SalesData[[#This Row],[Order_Date]],"mmm")</f>
        <v>Apr</v>
      </c>
      <c r="N2413">
        <f>YEAR(SalesData[[#This Row],[Order_Date]])</f>
        <v>2023</v>
      </c>
    </row>
    <row r="2414" spans="1:14" x14ac:dyDescent="0.3">
      <c r="A2414" t="s">
        <v>3696</v>
      </c>
      <c r="B2414" s="1">
        <v>44864</v>
      </c>
      <c r="C2414" t="s">
        <v>545</v>
      </c>
      <c r="D2414" t="s">
        <v>40</v>
      </c>
      <c r="E2414" t="s">
        <v>56</v>
      </c>
      <c r="F2414" t="s">
        <v>95</v>
      </c>
      <c r="G2414" t="s">
        <v>1009</v>
      </c>
      <c r="H2414" s="8">
        <v>759.98</v>
      </c>
      <c r="I2414" s="8">
        <v>-296.02999999999997</v>
      </c>
      <c r="J2414" s="8">
        <v>0.26</v>
      </c>
      <c r="K2414" t="str">
        <f>IF(SalesData[[#This Row],[Profit]]&gt;0,"Profit","Loss")</f>
        <v>Loss</v>
      </c>
      <c r="L2414" s="8">
        <f>SalesData[[#This Row],[Profit]]/SalesData[[#This Row],[Sales]]</f>
        <v>-0.38952340851075024</v>
      </c>
      <c r="M2414" t="str">
        <f>TEXT(SalesData[[#This Row],[Order_Date]],"mmm")</f>
        <v>Oct</v>
      </c>
      <c r="N2414">
        <f>YEAR(SalesData[[#This Row],[Order_Date]])</f>
        <v>2022</v>
      </c>
    </row>
    <row r="2415" spans="1:14" x14ac:dyDescent="0.3">
      <c r="A2415" t="s">
        <v>3697</v>
      </c>
      <c r="B2415" s="1">
        <v>45232</v>
      </c>
      <c r="C2415" t="s">
        <v>264</v>
      </c>
      <c r="D2415" t="s">
        <v>40</v>
      </c>
      <c r="E2415" t="s">
        <v>19</v>
      </c>
      <c r="F2415" t="s">
        <v>141</v>
      </c>
      <c r="G2415" t="s">
        <v>1849</v>
      </c>
      <c r="H2415" s="8">
        <v>773.48</v>
      </c>
      <c r="I2415" s="8">
        <v>-188.64</v>
      </c>
      <c r="J2415" s="8">
        <v>0.25</v>
      </c>
      <c r="K2415" t="str">
        <f>IF(SalesData[[#This Row],[Profit]]&gt;0,"Profit","Loss")</f>
        <v>Loss</v>
      </c>
      <c r="L2415" s="8">
        <f>SalesData[[#This Row],[Profit]]/SalesData[[#This Row],[Sales]]</f>
        <v>-0.24388478047266895</v>
      </c>
      <c r="M2415" t="str">
        <f>TEXT(SalesData[[#This Row],[Order_Date]],"mmm")</f>
        <v>Nov</v>
      </c>
      <c r="N2415">
        <f>YEAR(SalesData[[#This Row],[Order_Date]])</f>
        <v>2023</v>
      </c>
    </row>
    <row r="2416" spans="1:14" x14ac:dyDescent="0.3">
      <c r="A2416" t="s">
        <v>3698</v>
      </c>
      <c r="B2416" s="1">
        <v>44602</v>
      </c>
      <c r="C2416" t="s">
        <v>623</v>
      </c>
      <c r="D2416" t="s">
        <v>28</v>
      </c>
      <c r="E2416" t="s">
        <v>13</v>
      </c>
      <c r="F2416" t="s">
        <v>14</v>
      </c>
      <c r="G2416" t="s">
        <v>291</v>
      </c>
      <c r="H2416" s="8">
        <v>596.91999999999996</v>
      </c>
      <c r="I2416" s="8">
        <v>-25.1</v>
      </c>
      <c r="J2416" s="8">
        <v>0.15</v>
      </c>
      <c r="K2416" t="str">
        <f>IF(SalesData[[#This Row],[Profit]]&gt;0,"Profit","Loss")</f>
        <v>Loss</v>
      </c>
      <c r="L2416" s="8">
        <f>SalesData[[#This Row],[Profit]]/SalesData[[#This Row],[Sales]]</f>
        <v>-4.2049185820545475E-2</v>
      </c>
      <c r="M2416" t="str">
        <f>TEXT(SalesData[[#This Row],[Order_Date]],"mmm")</f>
        <v>Feb</v>
      </c>
      <c r="N2416">
        <f>YEAR(SalesData[[#This Row],[Order_Date]])</f>
        <v>2022</v>
      </c>
    </row>
    <row r="2417" spans="1:14" x14ac:dyDescent="0.3">
      <c r="A2417" t="s">
        <v>3699</v>
      </c>
      <c r="B2417" s="1">
        <v>44713</v>
      </c>
      <c r="C2417" t="s">
        <v>1675</v>
      </c>
      <c r="D2417" t="s">
        <v>18</v>
      </c>
      <c r="E2417" t="s">
        <v>13</v>
      </c>
      <c r="F2417" t="s">
        <v>24</v>
      </c>
      <c r="G2417" t="s">
        <v>737</v>
      </c>
      <c r="H2417" s="8">
        <v>3126.73</v>
      </c>
      <c r="I2417" s="8">
        <v>432.06</v>
      </c>
      <c r="J2417" s="8">
        <v>0.22</v>
      </c>
      <c r="K2417" t="str">
        <f>IF(SalesData[[#This Row],[Profit]]&gt;0,"Profit","Loss")</f>
        <v>Profit</v>
      </c>
      <c r="L2417" s="8">
        <f>SalesData[[#This Row],[Profit]]/SalesData[[#This Row],[Sales]]</f>
        <v>0.13818270205614172</v>
      </c>
      <c r="M2417" t="str">
        <f>TEXT(SalesData[[#This Row],[Order_Date]],"mmm")</f>
        <v>Jun</v>
      </c>
      <c r="N2417">
        <f>YEAR(SalesData[[#This Row],[Order_Date]])</f>
        <v>2022</v>
      </c>
    </row>
    <row r="2418" spans="1:14" x14ac:dyDescent="0.3">
      <c r="A2418" t="s">
        <v>3700</v>
      </c>
      <c r="B2418" s="1">
        <v>44831</v>
      </c>
      <c r="C2418" t="s">
        <v>2329</v>
      </c>
      <c r="D2418" t="s">
        <v>18</v>
      </c>
      <c r="E2418" t="s">
        <v>19</v>
      </c>
      <c r="F2418" t="s">
        <v>141</v>
      </c>
      <c r="G2418" t="s">
        <v>1358</v>
      </c>
      <c r="H2418" s="8">
        <v>514.71</v>
      </c>
      <c r="I2418" s="8">
        <v>15.25</v>
      </c>
      <c r="J2418" s="8">
        <v>0.18</v>
      </c>
      <c r="K2418" t="str">
        <f>IF(SalesData[[#This Row],[Profit]]&gt;0,"Profit","Loss")</f>
        <v>Profit</v>
      </c>
      <c r="L2418" s="8">
        <f>SalesData[[#This Row],[Profit]]/SalesData[[#This Row],[Sales]]</f>
        <v>2.962833440189621E-2</v>
      </c>
      <c r="M2418" t="str">
        <f>TEXT(SalesData[[#This Row],[Order_Date]],"mmm")</f>
        <v>Sep</v>
      </c>
      <c r="N2418">
        <f>YEAR(SalesData[[#This Row],[Order_Date]])</f>
        <v>2022</v>
      </c>
    </row>
    <row r="2419" spans="1:14" x14ac:dyDescent="0.3">
      <c r="A2419" t="s">
        <v>3701</v>
      </c>
      <c r="B2419" s="1">
        <v>44850</v>
      </c>
      <c r="C2419" t="s">
        <v>2358</v>
      </c>
      <c r="D2419" t="s">
        <v>18</v>
      </c>
      <c r="E2419" t="s">
        <v>19</v>
      </c>
      <c r="F2419" t="s">
        <v>20</v>
      </c>
      <c r="G2419" t="s">
        <v>706</v>
      </c>
      <c r="H2419" s="8">
        <v>4448.07</v>
      </c>
      <c r="I2419" s="8">
        <v>700.32</v>
      </c>
      <c r="J2419" s="8">
        <v>0.22</v>
      </c>
      <c r="K2419" t="str">
        <f>IF(SalesData[[#This Row],[Profit]]&gt;0,"Profit","Loss")</f>
        <v>Profit</v>
      </c>
      <c r="L2419" s="8">
        <f>SalesData[[#This Row],[Profit]]/SalesData[[#This Row],[Sales]]</f>
        <v>0.15744356541151558</v>
      </c>
      <c r="M2419" t="str">
        <f>TEXT(SalesData[[#This Row],[Order_Date]],"mmm")</f>
        <v>Oct</v>
      </c>
      <c r="N2419">
        <f>YEAR(SalesData[[#This Row],[Order_Date]])</f>
        <v>2022</v>
      </c>
    </row>
    <row r="2420" spans="1:14" x14ac:dyDescent="0.3">
      <c r="A2420" t="s">
        <v>3702</v>
      </c>
      <c r="B2420" s="1">
        <v>44828</v>
      </c>
      <c r="C2420" t="s">
        <v>3092</v>
      </c>
      <c r="D2420" t="s">
        <v>12</v>
      </c>
      <c r="E2420" t="s">
        <v>19</v>
      </c>
      <c r="F2420" t="s">
        <v>141</v>
      </c>
      <c r="G2420" t="s">
        <v>734</v>
      </c>
      <c r="H2420" s="8">
        <v>382.26</v>
      </c>
      <c r="I2420" s="8">
        <v>-86.03</v>
      </c>
      <c r="J2420" s="8">
        <v>0.16</v>
      </c>
      <c r="K2420" t="str">
        <f>IF(SalesData[[#This Row],[Profit]]&gt;0,"Profit","Loss")</f>
        <v>Loss</v>
      </c>
      <c r="L2420" s="8">
        <f>SalesData[[#This Row],[Profit]]/SalesData[[#This Row],[Sales]]</f>
        <v>-0.22505624444095643</v>
      </c>
      <c r="M2420" t="str">
        <f>TEXT(SalesData[[#This Row],[Order_Date]],"mmm")</f>
        <v>Sep</v>
      </c>
      <c r="N2420">
        <f>YEAR(SalesData[[#This Row],[Order_Date]])</f>
        <v>2022</v>
      </c>
    </row>
    <row r="2421" spans="1:14" x14ac:dyDescent="0.3">
      <c r="A2421" t="s">
        <v>3703</v>
      </c>
      <c r="B2421" s="1">
        <v>45246</v>
      </c>
      <c r="C2421" t="s">
        <v>63</v>
      </c>
      <c r="D2421" t="s">
        <v>28</v>
      </c>
      <c r="E2421" t="s">
        <v>13</v>
      </c>
      <c r="F2421" t="s">
        <v>14</v>
      </c>
      <c r="G2421" t="s">
        <v>488</v>
      </c>
      <c r="H2421" s="8">
        <v>479.99</v>
      </c>
      <c r="I2421" s="8">
        <v>-91.43</v>
      </c>
      <c r="J2421" s="8">
        <v>0.21</v>
      </c>
      <c r="K2421" t="str">
        <f>IF(SalesData[[#This Row],[Profit]]&gt;0,"Profit","Loss")</f>
        <v>Loss</v>
      </c>
      <c r="L2421" s="8">
        <f>SalesData[[#This Row],[Profit]]/SalesData[[#This Row],[Sales]]</f>
        <v>-0.19048313506531386</v>
      </c>
      <c r="M2421" t="str">
        <f>TEXT(SalesData[[#This Row],[Order_Date]],"mmm")</f>
        <v>Nov</v>
      </c>
      <c r="N2421">
        <f>YEAR(SalesData[[#This Row],[Order_Date]])</f>
        <v>2023</v>
      </c>
    </row>
    <row r="2422" spans="1:14" x14ac:dyDescent="0.3">
      <c r="A2422" t="s">
        <v>3704</v>
      </c>
      <c r="B2422" s="1">
        <v>44961</v>
      </c>
      <c r="C2422" t="s">
        <v>588</v>
      </c>
      <c r="D2422" t="s">
        <v>40</v>
      </c>
      <c r="E2422" t="s">
        <v>56</v>
      </c>
      <c r="F2422" t="s">
        <v>95</v>
      </c>
      <c r="G2422" t="s">
        <v>598</v>
      </c>
      <c r="H2422" s="8">
        <v>4902.68</v>
      </c>
      <c r="I2422" s="8">
        <v>1167.53</v>
      </c>
      <c r="J2422" s="8">
        <v>0.08</v>
      </c>
      <c r="K2422" t="str">
        <f>IF(SalesData[[#This Row],[Profit]]&gt;0,"Profit","Loss")</f>
        <v>Profit</v>
      </c>
      <c r="L2422" s="8">
        <f>SalesData[[#This Row],[Profit]]/SalesData[[#This Row],[Sales]]</f>
        <v>0.23814117992608122</v>
      </c>
      <c r="M2422" t="str">
        <f>TEXT(SalesData[[#This Row],[Order_Date]],"mmm")</f>
        <v>Feb</v>
      </c>
      <c r="N2422">
        <f>YEAR(SalesData[[#This Row],[Order_Date]])</f>
        <v>2023</v>
      </c>
    </row>
    <row r="2423" spans="1:14" x14ac:dyDescent="0.3">
      <c r="A2423" t="s">
        <v>3705</v>
      </c>
      <c r="B2423" s="1">
        <v>44836</v>
      </c>
      <c r="C2423" t="s">
        <v>805</v>
      </c>
      <c r="D2423" t="s">
        <v>40</v>
      </c>
      <c r="E2423" t="s">
        <v>19</v>
      </c>
      <c r="F2423" t="s">
        <v>29</v>
      </c>
      <c r="G2423" t="s">
        <v>1140</v>
      </c>
      <c r="H2423" s="8">
        <v>2066.75</v>
      </c>
      <c r="I2423" s="8">
        <v>46.15</v>
      </c>
      <c r="J2423" s="8">
        <v>0.21</v>
      </c>
      <c r="K2423" t="str">
        <f>IF(SalesData[[#This Row],[Profit]]&gt;0,"Profit","Loss")</f>
        <v>Profit</v>
      </c>
      <c r="L2423" s="8">
        <f>SalesData[[#This Row],[Profit]]/SalesData[[#This Row],[Sales]]</f>
        <v>2.2329744768356113E-2</v>
      </c>
      <c r="M2423" t="str">
        <f>TEXT(SalesData[[#This Row],[Order_Date]],"mmm")</f>
        <v>Oct</v>
      </c>
      <c r="N2423">
        <f>YEAR(SalesData[[#This Row],[Order_Date]])</f>
        <v>2022</v>
      </c>
    </row>
    <row r="2424" spans="1:14" x14ac:dyDescent="0.3">
      <c r="A2424" t="s">
        <v>3706</v>
      </c>
      <c r="B2424" s="1">
        <v>44839</v>
      </c>
      <c r="C2424" t="s">
        <v>1519</v>
      </c>
      <c r="D2424" t="s">
        <v>28</v>
      </c>
      <c r="E2424" t="s">
        <v>56</v>
      </c>
      <c r="F2424" t="s">
        <v>95</v>
      </c>
      <c r="G2424" t="s">
        <v>882</v>
      </c>
      <c r="H2424" s="8">
        <v>4838.57</v>
      </c>
      <c r="I2424" s="8">
        <v>41.57</v>
      </c>
      <c r="J2424" s="8">
        <v>0.13</v>
      </c>
      <c r="K2424" t="str">
        <f>IF(SalesData[[#This Row],[Profit]]&gt;0,"Profit","Loss")</f>
        <v>Profit</v>
      </c>
      <c r="L2424" s="8">
        <f>SalesData[[#This Row],[Profit]]/SalesData[[#This Row],[Sales]]</f>
        <v>8.591381337874621E-3</v>
      </c>
      <c r="M2424" t="str">
        <f>TEXT(SalesData[[#This Row],[Order_Date]],"mmm")</f>
        <v>Oct</v>
      </c>
      <c r="N2424">
        <f>YEAR(SalesData[[#This Row],[Order_Date]])</f>
        <v>2022</v>
      </c>
    </row>
    <row r="2425" spans="1:14" x14ac:dyDescent="0.3">
      <c r="A2425" t="s">
        <v>3707</v>
      </c>
      <c r="B2425" s="1">
        <v>45003</v>
      </c>
      <c r="C2425" t="s">
        <v>2864</v>
      </c>
      <c r="D2425" t="s">
        <v>40</v>
      </c>
      <c r="E2425" t="s">
        <v>13</v>
      </c>
      <c r="F2425" t="s">
        <v>24</v>
      </c>
      <c r="G2425" t="s">
        <v>1400</v>
      </c>
      <c r="H2425" s="8">
        <v>3906.91</v>
      </c>
      <c r="I2425" s="8">
        <v>680.33</v>
      </c>
      <c r="J2425" s="8">
        <v>0.11</v>
      </c>
      <c r="K2425" t="str">
        <f>IF(SalesData[[#This Row],[Profit]]&gt;0,"Profit","Loss")</f>
        <v>Profit</v>
      </c>
      <c r="L2425" s="8">
        <f>SalesData[[#This Row],[Profit]]/SalesData[[#This Row],[Sales]]</f>
        <v>0.17413505814057659</v>
      </c>
      <c r="M2425" t="str">
        <f>TEXT(SalesData[[#This Row],[Order_Date]],"mmm")</f>
        <v>Mar</v>
      </c>
      <c r="N2425">
        <f>YEAR(SalesData[[#This Row],[Order_Date]])</f>
        <v>2023</v>
      </c>
    </row>
    <row r="2426" spans="1:14" x14ac:dyDescent="0.3">
      <c r="A2426" t="s">
        <v>3708</v>
      </c>
      <c r="B2426" s="1">
        <v>44570</v>
      </c>
      <c r="C2426" t="s">
        <v>1086</v>
      </c>
      <c r="D2426" t="s">
        <v>40</v>
      </c>
      <c r="E2426" t="s">
        <v>56</v>
      </c>
      <c r="F2426" t="s">
        <v>57</v>
      </c>
      <c r="G2426" t="s">
        <v>157</v>
      </c>
      <c r="H2426" s="8">
        <v>1781.96</v>
      </c>
      <c r="I2426" s="8">
        <v>20.12</v>
      </c>
      <c r="J2426" s="8">
        <v>0.11</v>
      </c>
      <c r="K2426" t="str">
        <f>IF(SalesData[[#This Row],[Profit]]&gt;0,"Profit","Loss")</f>
        <v>Profit</v>
      </c>
      <c r="L2426" s="8">
        <f>SalesData[[#This Row],[Profit]]/SalesData[[#This Row],[Sales]]</f>
        <v>1.1290938068194572E-2</v>
      </c>
      <c r="M2426" t="str">
        <f>TEXT(SalesData[[#This Row],[Order_Date]],"mmm")</f>
        <v>Jan</v>
      </c>
      <c r="N2426">
        <f>YEAR(SalesData[[#This Row],[Order_Date]])</f>
        <v>2022</v>
      </c>
    </row>
    <row r="2427" spans="1:14" x14ac:dyDescent="0.3">
      <c r="A2427" t="s">
        <v>3709</v>
      </c>
      <c r="B2427" s="1">
        <v>44970</v>
      </c>
      <c r="C2427" t="s">
        <v>261</v>
      </c>
      <c r="D2427" t="s">
        <v>18</v>
      </c>
      <c r="E2427" t="s">
        <v>13</v>
      </c>
      <c r="F2427" t="s">
        <v>36</v>
      </c>
      <c r="G2427" t="s">
        <v>2847</v>
      </c>
      <c r="H2427" s="8">
        <v>2589.42</v>
      </c>
      <c r="I2427" s="8">
        <v>-851.35</v>
      </c>
      <c r="J2427" s="8">
        <v>0.24</v>
      </c>
      <c r="K2427" t="str">
        <f>IF(SalesData[[#This Row],[Profit]]&gt;0,"Profit","Loss")</f>
        <v>Loss</v>
      </c>
      <c r="L2427" s="8">
        <f>SalesData[[#This Row],[Profit]]/SalesData[[#This Row],[Sales]]</f>
        <v>-0.32878019015841387</v>
      </c>
      <c r="M2427" t="str">
        <f>TEXT(SalesData[[#This Row],[Order_Date]],"mmm")</f>
        <v>Feb</v>
      </c>
      <c r="N2427">
        <f>YEAR(SalesData[[#This Row],[Order_Date]])</f>
        <v>2023</v>
      </c>
    </row>
    <row r="2428" spans="1:14" x14ac:dyDescent="0.3">
      <c r="A2428" t="s">
        <v>3710</v>
      </c>
      <c r="B2428" s="1">
        <v>44677</v>
      </c>
      <c r="C2428" t="s">
        <v>3711</v>
      </c>
      <c r="D2428" t="s">
        <v>12</v>
      </c>
      <c r="E2428" t="s">
        <v>19</v>
      </c>
      <c r="F2428" t="s">
        <v>141</v>
      </c>
      <c r="G2428" t="s">
        <v>41</v>
      </c>
      <c r="H2428" s="8">
        <v>1968.31</v>
      </c>
      <c r="I2428" s="8">
        <v>-43.28</v>
      </c>
      <c r="J2428" s="8">
        <v>0.09</v>
      </c>
      <c r="K2428" t="str">
        <f>IF(SalesData[[#This Row],[Profit]]&gt;0,"Profit","Loss")</f>
        <v>Loss</v>
      </c>
      <c r="L2428" s="8">
        <f>SalesData[[#This Row],[Profit]]/SalesData[[#This Row],[Sales]]</f>
        <v>-2.1988406297788459E-2</v>
      </c>
      <c r="M2428" t="str">
        <f>TEXT(SalesData[[#This Row],[Order_Date]],"mmm")</f>
        <v>Apr</v>
      </c>
      <c r="N2428">
        <f>YEAR(SalesData[[#This Row],[Order_Date]])</f>
        <v>2022</v>
      </c>
    </row>
    <row r="2429" spans="1:14" x14ac:dyDescent="0.3">
      <c r="A2429" t="s">
        <v>3712</v>
      </c>
      <c r="B2429" s="1">
        <v>44683</v>
      </c>
      <c r="C2429" t="s">
        <v>1468</v>
      </c>
      <c r="D2429" t="s">
        <v>18</v>
      </c>
      <c r="E2429" t="s">
        <v>19</v>
      </c>
      <c r="F2429" t="s">
        <v>20</v>
      </c>
      <c r="G2429" t="s">
        <v>175</v>
      </c>
      <c r="H2429" s="8">
        <v>1274.03</v>
      </c>
      <c r="I2429" s="8">
        <v>-97.97</v>
      </c>
      <c r="J2429" s="8">
        <v>0.23</v>
      </c>
      <c r="K2429" t="str">
        <f>IF(SalesData[[#This Row],[Profit]]&gt;0,"Profit","Loss")</f>
        <v>Loss</v>
      </c>
      <c r="L2429" s="8">
        <f>SalesData[[#This Row],[Profit]]/SalesData[[#This Row],[Sales]]</f>
        <v>-7.6897718264091114E-2</v>
      </c>
      <c r="M2429" t="str">
        <f>TEXT(SalesData[[#This Row],[Order_Date]],"mmm")</f>
        <v>May</v>
      </c>
      <c r="N2429">
        <f>YEAR(SalesData[[#This Row],[Order_Date]])</f>
        <v>2022</v>
      </c>
    </row>
    <row r="2430" spans="1:14" x14ac:dyDescent="0.3">
      <c r="A2430" t="s">
        <v>3713</v>
      </c>
      <c r="B2430" s="1">
        <v>45119</v>
      </c>
      <c r="C2430" t="s">
        <v>55</v>
      </c>
      <c r="D2430" t="s">
        <v>18</v>
      </c>
      <c r="E2430" t="s">
        <v>56</v>
      </c>
      <c r="F2430" t="s">
        <v>95</v>
      </c>
      <c r="G2430" t="s">
        <v>954</v>
      </c>
      <c r="H2430" s="8">
        <v>357.93</v>
      </c>
      <c r="I2430" s="8">
        <v>-86.31</v>
      </c>
      <c r="J2430" s="8">
        <v>0.2</v>
      </c>
      <c r="K2430" t="str">
        <f>IF(SalesData[[#This Row],[Profit]]&gt;0,"Profit","Loss")</f>
        <v>Loss</v>
      </c>
      <c r="L2430" s="8">
        <f>SalesData[[#This Row],[Profit]]/SalesData[[#This Row],[Sales]]</f>
        <v>-0.24113653507669097</v>
      </c>
      <c r="M2430" t="str">
        <f>TEXT(SalesData[[#This Row],[Order_Date]],"mmm")</f>
        <v>Jul</v>
      </c>
      <c r="N2430">
        <f>YEAR(SalesData[[#This Row],[Order_Date]])</f>
        <v>2023</v>
      </c>
    </row>
    <row r="2431" spans="1:14" x14ac:dyDescent="0.3">
      <c r="A2431" t="s">
        <v>3714</v>
      </c>
      <c r="B2431" s="1">
        <v>44878</v>
      </c>
      <c r="C2431" t="s">
        <v>1246</v>
      </c>
      <c r="D2431" t="s">
        <v>12</v>
      </c>
      <c r="E2431" t="s">
        <v>56</v>
      </c>
      <c r="F2431" t="s">
        <v>95</v>
      </c>
      <c r="G2431" t="s">
        <v>1064</v>
      </c>
      <c r="H2431" s="8">
        <v>4101.2299999999996</v>
      </c>
      <c r="I2431" s="8">
        <v>-409.96</v>
      </c>
      <c r="J2431" s="8">
        <v>0.09</v>
      </c>
      <c r="K2431" t="str">
        <f>IF(SalesData[[#This Row],[Profit]]&gt;0,"Profit","Loss")</f>
        <v>Loss</v>
      </c>
      <c r="L2431" s="8">
        <f>SalesData[[#This Row],[Profit]]/SalesData[[#This Row],[Sales]]</f>
        <v>-9.9960255825691319E-2</v>
      </c>
      <c r="M2431" t="str">
        <f>TEXT(SalesData[[#This Row],[Order_Date]],"mmm")</f>
        <v>Nov</v>
      </c>
      <c r="N2431">
        <f>YEAR(SalesData[[#This Row],[Order_Date]])</f>
        <v>2022</v>
      </c>
    </row>
    <row r="2432" spans="1:14" x14ac:dyDescent="0.3">
      <c r="A2432" t="s">
        <v>3715</v>
      </c>
      <c r="B2432" s="1">
        <v>45259</v>
      </c>
      <c r="C2432" t="s">
        <v>3716</v>
      </c>
      <c r="D2432" t="s">
        <v>12</v>
      </c>
      <c r="E2432" t="s">
        <v>13</v>
      </c>
      <c r="F2432" t="s">
        <v>36</v>
      </c>
      <c r="G2432" t="s">
        <v>1035</v>
      </c>
      <c r="H2432" s="8">
        <v>1178.05</v>
      </c>
      <c r="I2432" s="8">
        <v>-346.81</v>
      </c>
      <c r="J2432" s="8">
        <v>0.23</v>
      </c>
      <c r="K2432" t="str">
        <f>IF(SalesData[[#This Row],[Profit]]&gt;0,"Profit","Loss")</f>
        <v>Loss</v>
      </c>
      <c r="L2432" s="8">
        <f>SalesData[[#This Row],[Profit]]/SalesData[[#This Row],[Sales]]</f>
        <v>-0.29439327702559315</v>
      </c>
      <c r="M2432" t="str">
        <f>TEXT(SalesData[[#This Row],[Order_Date]],"mmm")</f>
        <v>Nov</v>
      </c>
      <c r="N2432">
        <f>YEAR(SalesData[[#This Row],[Order_Date]])</f>
        <v>2023</v>
      </c>
    </row>
    <row r="2433" spans="1:14" x14ac:dyDescent="0.3">
      <c r="A2433" t="s">
        <v>3717</v>
      </c>
      <c r="B2433" s="1">
        <v>44926</v>
      </c>
      <c r="C2433" t="s">
        <v>1323</v>
      </c>
      <c r="D2433" t="s">
        <v>18</v>
      </c>
      <c r="E2433" t="s">
        <v>13</v>
      </c>
      <c r="F2433" t="s">
        <v>24</v>
      </c>
      <c r="G2433" t="s">
        <v>135</v>
      </c>
      <c r="H2433" s="8">
        <v>3681.27</v>
      </c>
      <c r="I2433" s="8">
        <v>-115.97</v>
      </c>
      <c r="J2433" s="8">
        <v>0.15</v>
      </c>
      <c r="K2433" t="str">
        <f>IF(SalesData[[#This Row],[Profit]]&gt;0,"Profit","Loss")</f>
        <v>Loss</v>
      </c>
      <c r="L2433" s="8">
        <f>SalesData[[#This Row],[Profit]]/SalesData[[#This Row],[Sales]]</f>
        <v>-3.1502715095605593E-2</v>
      </c>
      <c r="M2433" t="str">
        <f>TEXT(SalesData[[#This Row],[Order_Date]],"mmm")</f>
        <v>Dec</v>
      </c>
      <c r="N2433">
        <f>YEAR(SalesData[[#This Row],[Order_Date]])</f>
        <v>2022</v>
      </c>
    </row>
    <row r="2434" spans="1:14" x14ac:dyDescent="0.3">
      <c r="A2434" t="s">
        <v>3718</v>
      </c>
      <c r="B2434" s="1">
        <v>45132</v>
      </c>
      <c r="C2434" t="s">
        <v>855</v>
      </c>
      <c r="D2434" t="s">
        <v>40</v>
      </c>
      <c r="E2434" t="s">
        <v>56</v>
      </c>
      <c r="F2434" t="s">
        <v>57</v>
      </c>
      <c r="G2434" t="s">
        <v>294</v>
      </c>
      <c r="H2434" s="8">
        <v>1904.97</v>
      </c>
      <c r="I2434" s="8">
        <v>-580.20000000000005</v>
      </c>
      <c r="J2434" s="8">
        <v>0.16</v>
      </c>
      <c r="K2434" t="str">
        <f>IF(SalesData[[#This Row],[Profit]]&gt;0,"Profit","Loss")</f>
        <v>Loss</v>
      </c>
      <c r="L2434" s="8">
        <f>SalesData[[#This Row],[Profit]]/SalesData[[#This Row],[Sales]]</f>
        <v>-0.30457172553898487</v>
      </c>
      <c r="M2434" t="str">
        <f>TEXT(SalesData[[#This Row],[Order_Date]],"mmm")</f>
        <v>Jul</v>
      </c>
      <c r="N2434">
        <f>YEAR(SalesData[[#This Row],[Order_Date]])</f>
        <v>2023</v>
      </c>
    </row>
    <row r="2435" spans="1:14" x14ac:dyDescent="0.3">
      <c r="A2435" t="s">
        <v>3719</v>
      </c>
      <c r="B2435" s="1">
        <v>44742</v>
      </c>
      <c r="C2435" t="s">
        <v>3101</v>
      </c>
      <c r="D2435" t="s">
        <v>28</v>
      </c>
      <c r="E2435" t="s">
        <v>56</v>
      </c>
      <c r="F2435" t="s">
        <v>95</v>
      </c>
      <c r="G2435" t="s">
        <v>2265</v>
      </c>
      <c r="H2435" s="8">
        <v>4096.66</v>
      </c>
      <c r="I2435" s="8">
        <v>178.1</v>
      </c>
      <c r="J2435" s="8">
        <v>0.2</v>
      </c>
      <c r="K2435" t="str">
        <f>IF(SalesData[[#This Row],[Profit]]&gt;0,"Profit","Loss")</f>
        <v>Profit</v>
      </c>
      <c r="L2435" s="8">
        <f>SalesData[[#This Row],[Profit]]/SalesData[[#This Row],[Sales]]</f>
        <v>4.3474440153686171E-2</v>
      </c>
      <c r="M2435" t="str">
        <f>TEXT(SalesData[[#This Row],[Order_Date]],"mmm")</f>
        <v>Jun</v>
      </c>
      <c r="N2435">
        <f>YEAR(SalesData[[#This Row],[Order_Date]])</f>
        <v>2022</v>
      </c>
    </row>
    <row r="2436" spans="1:14" x14ac:dyDescent="0.3">
      <c r="A2436" t="s">
        <v>3720</v>
      </c>
      <c r="B2436" s="1">
        <v>45071</v>
      </c>
      <c r="C2436" t="s">
        <v>539</v>
      </c>
      <c r="D2436" t="s">
        <v>18</v>
      </c>
      <c r="E2436" t="s">
        <v>19</v>
      </c>
      <c r="F2436" t="s">
        <v>141</v>
      </c>
      <c r="G2436" t="s">
        <v>780</v>
      </c>
      <c r="H2436" s="8">
        <v>3287.39</v>
      </c>
      <c r="I2436" s="8">
        <v>-1219.08</v>
      </c>
      <c r="J2436" s="8">
        <v>0.2</v>
      </c>
      <c r="K2436" t="str">
        <f>IF(SalesData[[#This Row],[Profit]]&gt;0,"Profit","Loss")</f>
        <v>Loss</v>
      </c>
      <c r="L2436" s="8">
        <f>SalesData[[#This Row],[Profit]]/SalesData[[#This Row],[Sales]]</f>
        <v>-0.37083522186293683</v>
      </c>
      <c r="M2436" t="str">
        <f>TEXT(SalesData[[#This Row],[Order_Date]],"mmm")</f>
        <v>May</v>
      </c>
      <c r="N2436">
        <f>YEAR(SalesData[[#This Row],[Order_Date]])</f>
        <v>2023</v>
      </c>
    </row>
    <row r="2437" spans="1:14" x14ac:dyDescent="0.3">
      <c r="A2437" t="s">
        <v>3721</v>
      </c>
      <c r="B2437" s="1">
        <v>44713</v>
      </c>
      <c r="C2437" t="s">
        <v>3430</v>
      </c>
      <c r="D2437" t="s">
        <v>28</v>
      </c>
      <c r="E2437" t="s">
        <v>13</v>
      </c>
      <c r="F2437" t="s">
        <v>24</v>
      </c>
      <c r="G2437" t="s">
        <v>510</v>
      </c>
      <c r="H2437" s="8">
        <v>224.04</v>
      </c>
      <c r="I2437" s="8">
        <v>26.43</v>
      </c>
      <c r="J2437" s="8">
        <v>0.16</v>
      </c>
      <c r="K2437" t="str">
        <f>IF(SalesData[[#This Row],[Profit]]&gt;0,"Profit","Loss")</f>
        <v>Profit</v>
      </c>
      <c r="L2437" s="8">
        <f>SalesData[[#This Row],[Profit]]/SalesData[[#This Row],[Sales]]</f>
        <v>0.1179700053561864</v>
      </c>
      <c r="M2437" t="str">
        <f>TEXT(SalesData[[#This Row],[Order_Date]],"mmm")</f>
        <v>Jun</v>
      </c>
      <c r="N2437">
        <f>YEAR(SalesData[[#This Row],[Order_Date]])</f>
        <v>2022</v>
      </c>
    </row>
    <row r="2438" spans="1:14" x14ac:dyDescent="0.3">
      <c r="A2438" t="s">
        <v>3722</v>
      </c>
      <c r="B2438" s="1">
        <v>44754</v>
      </c>
      <c r="C2438" t="s">
        <v>1771</v>
      </c>
      <c r="D2438" t="s">
        <v>28</v>
      </c>
      <c r="E2438" t="s">
        <v>19</v>
      </c>
      <c r="F2438" t="s">
        <v>20</v>
      </c>
      <c r="G2438" t="s">
        <v>1074</v>
      </c>
      <c r="H2438" s="8">
        <v>2928.79</v>
      </c>
      <c r="I2438" s="8">
        <v>-368.01</v>
      </c>
      <c r="J2438" s="8">
        <v>0.12</v>
      </c>
      <c r="K2438" t="str">
        <f>IF(SalesData[[#This Row],[Profit]]&gt;0,"Profit","Loss")</f>
        <v>Loss</v>
      </c>
      <c r="L2438" s="8">
        <f>SalesData[[#This Row],[Profit]]/SalesData[[#This Row],[Sales]]</f>
        <v>-0.12565257324697229</v>
      </c>
      <c r="M2438" t="str">
        <f>TEXT(SalesData[[#This Row],[Order_Date]],"mmm")</f>
        <v>Jul</v>
      </c>
      <c r="N2438">
        <f>YEAR(SalesData[[#This Row],[Order_Date]])</f>
        <v>2022</v>
      </c>
    </row>
    <row r="2439" spans="1:14" x14ac:dyDescent="0.3">
      <c r="A2439" t="s">
        <v>3723</v>
      </c>
      <c r="B2439" s="1">
        <v>45206</v>
      </c>
      <c r="C2439" t="s">
        <v>1003</v>
      </c>
      <c r="D2439" t="s">
        <v>40</v>
      </c>
      <c r="E2439" t="s">
        <v>56</v>
      </c>
      <c r="F2439" t="s">
        <v>95</v>
      </c>
      <c r="G2439" t="s">
        <v>575</v>
      </c>
      <c r="H2439" s="8">
        <v>4564.03</v>
      </c>
      <c r="I2439" s="8">
        <v>-1652.25</v>
      </c>
      <c r="J2439" s="8">
        <v>0.19</v>
      </c>
      <c r="K2439" t="str">
        <f>IF(SalesData[[#This Row],[Profit]]&gt;0,"Profit","Loss")</f>
        <v>Loss</v>
      </c>
      <c r="L2439" s="8">
        <f>SalesData[[#This Row],[Profit]]/SalesData[[#This Row],[Sales]]</f>
        <v>-0.36201558710175002</v>
      </c>
      <c r="M2439" t="str">
        <f>TEXT(SalesData[[#This Row],[Order_Date]],"mmm")</f>
        <v>Oct</v>
      </c>
      <c r="N2439">
        <f>YEAR(SalesData[[#This Row],[Order_Date]])</f>
        <v>2023</v>
      </c>
    </row>
    <row r="2440" spans="1:14" x14ac:dyDescent="0.3">
      <c r="A2440" t="s">
        <v>3724</v>
      </c>
      <c r="B2440" s="1">
        <v>44938</v>
      </c>
      <c r="C2440" t="s">
        <v>2595</v>
      </c>
      <c r="D2440" t="s">
        <v>12</v>
      </c>
      <c r="E2440" t="s">
        <v>56</v>
      </c>
      <c r="F2440" t="s">
        <v>95</v>
      </c>
      <c r="G2440" t="s">
        <v>572</v>
      </c>
      <c r="H2440" s="8">
        <v>4668.8999999999996</v>
      </c>
      <c r="I2440" s="8">
        <v>1571.29</v>
      </c>
      <c r="J2440" s="8">
        <v>0.02</v>
      </c>
      <c r="K2440" t="str">
        <f>IF(SalesData[[#This Row],[Profit]]&gt;0,"Profit","Loss")</f>
        <v>Profit</v>
      </c>
      <c r="L2440" s="8">
        <f>SalesData[[#This Row],[Profit]]/SalesData[[#This Row],[Sales]]</f>
        <v>0.33654393968600743</v>
      </c>
      <c r="M2440" t="str">
        <f>TEXT(SalesData[[#This Row],[Order_Date]],"mmm")</f>
        <v>Jan</v>
      </c>
      <c r="N2440">
        <f>YEAR(SalesData[[#This Row],[Order_Date]])</f>
        <v>2023</v>
      </c>
    </row>
    <row r="2441" spans="1:14" x14ac:dyDescent="0.3">
      <c r="A2441" t="s">
        <v>3725</v>
      </c>
      <c r="B2441" s="1">
        <v>44629</v>
      </c>
      <c r="C2441" t="s">
        <v>1405</v>
      </c>
      <c r="D2441" t="s">
        <v>18</v>
      </c>
      <c r="E2441" t="s">
        <v>56</v>
      </c>
      <c r="F2441" t="s">
        <v>57</v>
      </c>
      <c r="G2441" t="s">
        <v>3726</v>
      </c>
      <c r="H2441" s="8">
        <v>2470.84</v>
      </c>
      <c r="I2441" s="8">
        <v>93.13</v>
      </c>
      <c r="J2441" s="8">
        <v>0.2</v>
      </c>
      <c r="K2441" t="str">
        <f>IF(SalesData[[#This Row],[Profit]]&gt;0,"Profit","Loss")</f>
        <v>Profit</v>
      </c>
      <c r="L2441" s="8">
        <f>SalesData[[#This Row],[Profit]]/SalesData[[#This Row],[Sales]]</f>
        <v>3.7691635233361928E-2</v>
      </c>
      <c r="M2441" t="str">
        <f>TEXT(SalesData[[#This Row],[Order_Date]],"mmm")</f>
        <v>Mar</v>
      </c>
      <c r="N2441">
        <f>YEAR(SalesData[[#This Row],[Order_Date]])</f>
        <v>2022</v>
      </c>
    </row>
    <row r="2442" spans="1:14" x14ac:dyDescent="0.3">
      <c r="A2442" t="s">
        <v>3727</v>
      </c>
      <c r="B2442" s="1">
        <v>45180</v>
      </c>
      <c r="C2442" t="s">
        <v>1242</v>
      </c>
      <c r="D2442" t="s">
        <v>18</v>
      </c>
      <c r="E2442" t="s">
        <v>19</v>
      </c>
      <c r="F2442" t="s">
        <v>141</v>
      </c>
      <c r="G2442" t="s">
        <v>401</v>
      </c>
      <c r="H2442" s="8">
        <v>4248.74</v>
      </c>
      <c r="I2442" s="8">
        <v>-20.170000000000002</v>
      </c>
      <c r="J2442" s="8">
        <v>0.06</v>
      </c>
      <c r="K2442" t="str">
        <f>IF(SalesData[[#This Row],[Profit]]&gt;0,"Profit","Loss")</f>
        <v>Loss</v>
      </c>
      <c r="L2442" s="8">
        <f>SalesData[[#This Row],[Profit]]/SalesData[[#This Row],[Sales]]</f>
        <v>-4.7472897847361814E-3</v>
      </c>
      <c r="M2442" t="str">
        <f>TEXT(SalesData[[#This Row],[Order_Date]],"mmm")</f>
        <v>Sep</v>
      </c>
      <c r="N2442">
        <f>YEAR(SalesData[[#This Row],[Order_Date]])</f>
        <v>2023</v>
      </c>
    </row>
    <row r="2443" spans="1:14" x14ac:dyDescent="0.3">
      <c r="A2443" t="s">
        <v>3728</v>
      </c>
      <c r="B2443" s="1">
        <v>44969</v>
      </c>
      <c r="C2443" t="s">
        <v>63</v>
      </c>
      <c r="D2443" t="s">
        <v>12</v>
      </c>
      <c r="E2443" t="s">
        <v>13</v>
      </c>
      <c r="F2443" t="s">
        <v>24</v>
      </c>
      <c r="G2443" t="s">
        <v>351</v>
      </c>
      <c r="H2443" s="8">
        <v>3979.63</v>
      </c>
      <c r="I2443" s="8">
        <v>-1191.6199999999999</v>
      </c>
      <c r="J2443" s="8">
        <v>0.23</v>
      </c>
      <c r="K2443" t="str">
        <f>IF(SalesData[[#This Row],[Profit]]&gt;0,"Profit","Loss")</f>
        <v>Loss</v>
      </c>
      <c r="L2443" s="8">
        <f>SalesData[[#This Row],[Profit]]/SalesData[[#This Row],[Sales]]</f>
        <v>-0.29942984649326693</v>
      </c>
      <c r="M2443" t="str">
        <f>TEXT(SalesData[[#This Row],[Order_Date]],"mmm")</f>
        <v>Feb</v>
      </c>
      <c r="N2443">
        <f>YEAR(SalesData[[#This Row],[Order_Date]])</f>
        <v>2023</v>
      </c>
    </row>
    <row r="2444" spans="1:14" x14ac:dyDescent="0.3">
      <c r="A2444" t="s">
        <v>3729</v>
      </c>
      <c r="B2444" s="1">
        <v>44921</v>
      </c>
      <c r="C2444" t="s">
        <v>330</v>
      </c>
      <c r="D2444" t="s">
        <v>18</v>
      </c>
      <c r="E2444" t="s">
        <v>56</v>
      </c>
      <c r="F2444" t="s">
        <v>57</v>
      </c>
      <c r="G2444" t="s">
        <v>677</v>
      </c>
      <c r="H2444" s="8">
        <v>1072.45</v>
      </c>
      <c r="I2444" s="8">
        <v>121.68</v>
      </c>
      <c r="J2444" s="8">
        <v>0.06</v>
      </c>
      <c r="K2444" t="str">
        <f>IF(SalesData[[#This Row],[Profit]]&gt;0,"Profit","Loss")</f>
        <v>Profit</v>
      </c>
      <c r="L2444" s="8">
        <f>SalesData[[#This Row],[Profit]]/SalesData[[#This Row],[Sales]]</f>
        <v>0.11345983495734067</v>
      </c>
      <c r="M2444" t="str">
        <f>TEXT(SalesData[[#This Row],[Order_Date]],"mmm")</f>
        <v>Dec</v>
      </c>
      <c r="N2444">
        <f>YEAR(SalesData[[#This Row],[Order_Date]])</f>
        <v>2022</v>
      </c>
    </row>
    <row r="2445" spans="1:14" x14ac:dyDescent="0.3">
      <c r="A2445" t="s">
        <v>3730</v>
      </c>
      <c r="B2445" s="1">
        <v>45151</v>
      </c>
      <c r="C2445" t="s">
        <v>341</v>
      </c>
      <c r="D2445" t="s">
        <v>28</v>
      </c>
      <c r="E2445" t="s">
        <v>19</v>
      </c>
      <c r="F2445" t="s">
        <v>20</v>
      </c>
      <c r="G2445" t="s">
        <v>957</v>
      </c>
      <c r="H2445" s="8">
        <v>4541.7700000000004</v>
      </c>
      <c r="I2445" s="8">
        <v>803.55</v>
      </c>
      <c r="J2445" s="8">
        <v>0.01</v>
      </c>
      <c r="K2445" t="str">
        <f>IF(SalesData[[#This Row],[Profit]]&gt;0,"Profit","Loss")</f>
        <v>Profit</v>
      </c>
      <c r="L2445" s="8">
        <f>SalesData[[#This Row],[Profit]]/SalesData[[#This Row],[Sales]]</f>
        <v>0.17692441493074285</v>
      </c>
      <c r="M2445" t="str">
        <f>TEXT(SalesData[[#This Row],[Order_Date]],"mmm")</f>
        <v>Aug</v>
      </c>
      <c r="N2445">
        <f>YEAR(SalesData[[#This Row],[Order_Date]])</f>
        <v>2023</v>
      </c>
    </row>
    <row r="2446" spans="1:14" x14ac:dyDescent="0.3">
      <c r="A2446" t="s">
        <v>3731</v>
      </c>
      <c r="B2446" s="1">
        <v>45237</v>
      </c>
      <c r="C2446" t="s">
        <v>43</v>
      </c>
      <c r="D2446" t="s">
        <v>18</v>
      </c>
      <c r="E2446" t="s">
        <v>56</v>
      </c>
      <c r="F2446" t="s">
        <v>95</v>
      </c>
      <c r="G2446" t="s">
        <v>2257</v>
      </c>
      <c r="H2446" s="8">
        <v>726.32</v>
      </c>
      <c r="I2446" s="8">
        <v>43.01</v>
      </c>
      <c r="J2446" s="8">
        <v>0.11</v>
      </c>
      <c r="K2446" t="str">
        <f>IF(SalesData[[#This Row],[Profit]]&gt;0,"Profit","Loss")</f>
        <v>Profit</v>
      </c>
      <c r="L2446" s="8">
        <f>SalesData[[#This Row],[Profit]]/SalesData[[#This Row],[Sales]]</f>
        <v>5.9216323383632551E-2</v>
      </c>
      <c r="M2446" t="str">
        <f>TEXT(SalesData[[#This Row],[Order_Date]],"mmm")</f>
        <v>Nov</v>
      </c>
      <c r="N2446">
        <f>YEAR(SalesData[[#This Row],[Order_Date]])</f>
        <v>2023</v>
      </c>
    </row>
    <row r="2447" spans="1:14" x14ac:dyDescent="0.3">
      <c r="A2447" t="s">
        <v>3732</v>
      </c>
      <c r="B2447" s="1">
        <v>45015</v>
      </c>
      <c r="C2447" t="s">
        <v>1521</v>
      </c>
      <c r="D2447" t="s">
        <v>18</v>
      </c>
      <c r="E2447" t="s">
        <v>56</v>
      </c>
      <c r="F2447" t="s">
        <v>57</v>
      </c>
      <c r="G2447" t="s">
        <v>199</v>
      </c>
      <c r="H2447" s="8">
        <v>927.98</v>
      </c>
      <c r="I2447" s="8">
        <v>67.290000000000006</v>
      </c>
      <c r="J2447" s="8">
        <v>0.19</v>
      </c>
      <c r="K2447" t="str">
        <f>IF(SalesData[[#This Row],[Profit]]&gt;0,"Profit","Loss")</f>
        <v>Profit</v>
      </c>
      <c r="L2447" s="8">
        <f>SalesData[[#This Row],[Profit]]/SalesData[[#This Row],[Sales]]</f>
        <v>7.2512338627987671E-2</v>
      </c>
      <c r="M2447" t="str">
        <f>TEXT(SalesData[[#This Row],[Order_Date]],"mmm")</f>
        <v>Mar</v>
      </c>
      <c r="N2447">
        <f>YEAR(SalesData[[#This Row],[Order_Date]])</f>
        <v>2023</v>
      </c>
    </row>
    <row r="2448" spans="1:14" x14ac:dyDescent="0.3">
      <c r="A2448" t="s">
        <v>3733</v>
      </c>
      <c r="B2448" s="1">
        <v>45047</v>
      </c>
      <c r="C2448" t="s">
        <v>1385</v>
      </c>
      <c r="D2448" t="s">
        <v>18</v>
      </c>
      <c r="E2448" t="s">
        <v>13</v>
      </c>
      <c r="F2448" t="s">
        <v>24</v>
      </c>
      <c r="G2448" t="s">
        <v>160</v>
      </c>
      <c r="H2448" s="8">
        <v>3078.83</v>
      </c>
      <c r="I2448" s="8">
        <v>55.89</v>
      </c>
      <c r="J2448" s="8">
        <v>0</v>
      </c>
      <c r="K2448" t="str">
        <f>IF(SalesData[[#This Row],[Profit]]&gt;0,"Profit","Loss")</f>
        <v>Profit</v>
      </c>
      <c r="L2448" s="8">
        <f>SalesData[[#This Row],[Profit]]/SalesData[[#This Row],[Sales]]</f>
        <v>1.8152999678449282E-2</v>
      </c>
      <c r="M2448" t="str">
        <f>TEXT(SalesData[[#This Row],[Order_Date]],"mmm")</f>
        <v>May</v>
      </c>
      <c r="N2448">
        <f>YEAR(SalesData[[#This Row],[Order_Date]])</f>
        <v>2023</v>
      </c>
    </row>
    <row r="2449" spans="1:14" x14ac:dyDescent="0.3">
      <c r="A2449" t="s">
        <v>3734</v>
      </c>
      <c r="B2449" s="1">
        <v>44920</v>
      </c>
      <c r="C2449" t="s">
        <v>1759</v>
      </c>
      <c r="D2449" t="s">
        <v>28</v>
      </c>
      <c r="E2449" t="s">
        <v>19</v>
      </c>
      <c r="F2449" t="s">
        <v>20</v>
      </c>
      <c r="G2449" t="s">
        <v>1402</v>
      </c>
      <c r="H2449" s="8">
        <v>733.09</v>
      </c>
      <c r="I2449" s="8">
        <v>-203.61</v>
      </c>
      <c r="J2449" s="8">
        <v>0.13</v>
      </c>
      <c r="K2449" t="str">
        <f>IF(SalesData[[#This Row],[Profit]]&gt;0,"Profit","Loss")</f>
        <v>Loss</v>
      </c>
      <c r="L2449" s="8">
        <f>SalesData[[#This Row],[Profit]]/SalesData[[#This Row],[Sales]]</f>
        <v>-0.27774215989851181</v>
      </c>
      <c r="M2449" t="str">
        <f>TEXT(SalesData[[#This Row],[Order_Date]],"mmm")</f>
        <v>Dec</v>
      </c>
      <c r="N2449">
        <f>YEAR(SalesData[[#This Row],[Order_Date]])</f>
        <v>2022</v>
      </c>
    </row>
    <row r="2450" spans="1:14" x14ac:dyDescent="0.3">
      <c r="A2450" t="s">
        <v>3735</v>
      </c>
      <c r="B2450" s="1">
        <v>44960</v>
      </c>
      <c r="C2450" t="s">
        <v>2803</v>
      </c>
      <c r="D2450" t="s">
        <v>28</v>
      </c>
      <c r="E2450" t="s">
        <v>56</v>
      </c>
      <c r="F2450" t="s">
        <v>57</v>
      </c>
      <c r="G2450" t="s">
        <v>1737</v>
      </c>
      <c r="H2450" s="8">
        <v>2801.01</v>
      </c>
      <c r="I2450" s="8">
        <v>-92.8</v>
      </c>
      <c r="J2450" s="8">
        <v>0.14000000000000001</v>
      </c>
      <c r="K2450" t="str">
        <f>IF(SalesData[[#This Row],[Profit]]&gt;0,"Profit","Loss")</f>
        <v>Loss</v>
      </c>
      <c r="L2450" s="8">
        <f>SalesData[[#This Row],[Profit]]/SalesData[[#This Row],[Sales]]</f>
        <v>-3.3130906351637443E-2</v>
      </c>
      <c r="M2450" t="str">
        <f>TEXT(SalesData[[#This Row],[Order_Date]],"mmm")</f>
        <v>Feb</v>
      </c>
      <c r="N2450">
        <f>YEAR(SalesData[[#This Row],[Order_Date]])</f>
        <v>2023</v>
      </c>
    </row>
    <row r="2451" spans="1:14" x14ac:dyDescent="0.3">
      <c r="A2451" t="s">
        <v>3736</v>
      </c>
      <c r="B2451" s="1">
        <v>44601</v>
      </c>
      <c r="C2451" t="s">
        <v>3206</v>
      </c>
      <c r="D2451" t="s">
        <v>12</v>
      </c>
      <c r="E2451" t="s">
        <v>56</v>
      </c>
      <c r="F2451" t="s">
        <v>73</v>
      </c>
      <c r="G2451" t="s">
        <v>1835</v>
      </c>
      <c r="H2451" s="8">
        <v>4053.94</v>
      </c>
      <c r="I2451" s="8">
        <v>-1338.04</v>
      </c>
      <c r="J2451" s="8">
        <v>0.25</v>
      </c>
      <c r="K2451" t="str">
        <f>IF(SalesData[[#This Row],[Profit]]&gt;0,"Profit","Loss")</f>
        <v>Loss</v>
      </c>
      <c r="L2451" s="8">
        <f>SalesData[[#This Row],[Profit]]/SalesData[[#This Row],[Sales]]</f>
        <v>-0.33005915233081889</v>
      </c>
      <c r="M2451" t="str">
        <f>TEXT(SalesData[[#This Row],[Order_Date]],"mmm")</f>
        <v>Feb</v>
      </c>
      <c r="N2451">
        <f>YEAR(SalesData[[#This Row],[Order_Date]])</f>
        <v>2022</v>
      </c>
    </row>
    <row r="2452" spans="1:14" x14ac:dyDescent="0.3">
      <c r="A2452" t="s">
        <v>3737</v>
      </c>
      <c r="B2452" s="1">
        <v>45128</v>
      </c>
      <c r="C2452" t="s">
        <v>3430</v>
      </c>
      <c r="D2452" t="s">
        <v>18</v>
      </c>
      <c r="E2452" t="s">
        <v>56</v>
      </c>
      <c r="F2452" t="s">
        <v>57</v>
      </c>
      <c r="G2452" t="s">
        <v>1550</v>
      </c>
      <c r="H2452" s="8">
        <v>2042.49</v>
      </c>
      <c r="I2452" s="8">
        <v>402.76</v>
      </c>
      <c r="J2452" s="8">
        <v>0.11</v>
      </c>
      <c r="K2452" t="str">
        <f>IF(SalesData[[#This Row],[Profit]]&gt;0,"Profit","Loss")</f>
        <v>Profit</v>
      </c>
      <c r="L2452" s="8">
        <f>SalesData[[#This Row],[Profit]]/SalesData[[#This Row],[Sales]]</f>
        <v>0.1971906839201171</v>
      </c>
      <c r="M2452" t="str">
        <f>TEXT(SalesData[[#This Row],[Order_Date]],"mmm")</f>
        <v>Jul</v>
      </c>
      <c r="N2452">
        <f>YEAR(SalesData[[#This Row],[Order_Date]])</f>
        <v>2023</v>
      </c>
    </row>
    <row r="2453" spans="1:14" x14ac:dyDescent="0.3">
      <c r="A2453" t="s">
        <v>3738</v>
      </c>
      <c r="B2453" s="1">
        <v>45286</v>
      </c>
      <c r="C2453" t="s">
        <v>1499</v>
      </c>
      <c r="D2453" t="s">
        <v>40</v>
      </c>
      <c r="E2453" t="s">
        <v>56</v>
      </c>
      <c r="F2453" t="s">
        <v>95</v>
      </c>
      <c r="G2453" t="s">
        <v>1035</v>
      </c>
      <c r="H2453" s="8">
        <v>3364.48</v>
      </c>
      <c r="I2453" s="8">
        <v>-636.41</v>
      </c>
      <c r="J2453" s="8">
        <v>0.25</v>
      </c>
      <c r="K2453" t="str">
        <f>IF(SalesData[[#This Row],[Profit]]&gt;0,"Profit","Loss")</f>
        <v>Loss</v>
      </c>
      <c r="L2453" s="8">
        <f>SalesData[[#This Row],[Profit]]/SalesData[[#This Row],[Sales]]</f>
        <v>-0.18915553072094349</v>
      </c>
      <c r="M2453" t="str">
        <f>TEXT(SalesData[[#This Row],[Order_Date]],"mmm")</f>
        <v>Dec</v>
      </c>
      <c r="N2453">
        <f>YEAR(SalesData[[#This Row],[Order_Date]])</f>
        <v>2023</v>
      </c>
    </row>
    <row r="2454" spans="1:14" x14ac:dyDescent="0.3">
      <c r="A2454" t="s">
        <v>3739</v>
      </c>
      <c r="B2454" s="1">
        <v>44696</v>
      </c>
      <c r="C2454" t="s">
        <v>1393</v>
      </c>
      <c r="D2454" t="s">
        <v>18</v>
      </c>
      <c r="E2454" t="s">
        <v>19</v>
      </c>
      <c r="F2454" t="s">
        <v>29</v>
      </c>
      <c r="G2454" t="s">
        <v>108</v>
      </c>
      <c r="H2454" s="8">
        <v>2444.5300000000002</v>
      </c>
      <c r="I2454" s="8">
        <v>372.18</v>
      </c>
      <c r="J2454" s="8">
        <v>0.1</v>
      </c>
      <c r="K2454" t="str">
        <f>IF(SalesData[[#This Row],[Profit]]&gt;0,"Profit","Loss")</f>
        <v>Profit</v>
      </c>
      <c r="L2454" s="8">
        <f>SalesData[[#This Row],[Profit]]/SalesData[[#This Row],[Sales]]</f>
        <v>0.15225012579105185</v>
      </c>
      <c r="M2454" t="str">
        <f>TEXT(SalesData[[#This Row],[Order_Date]],"mmm")</f>
        <v>May</v>
      </c>
      <c r="N2454">
        <f>YEAR(SalesData[[#This Row],[Order_Date]])</f>
        <v>2022</v>
      </c>
    </row>
    <row r="2455" spans="1:14" x14ac:dyDescent="0.3">
      <c r="A2455" t="s">
        <v>3740</v>
      </c>
      <c r="B2455" s="1">
        <v>45291</v>
      </c>
      <c r="C2455" t="s">
        <v>118</v>
      </c>
      <c r="D2455" t="s">
        <v>12</v>
      </c>
      <c r="E2455" t="s">
        <v>56</v>
      </c>
      <c r="F2455" t="s">
        <v>73</v>
      </c>
      <c r="G2455" t="s">
        <v>2414</v>
      </c>
      <c r="H2455" s="8">
        <v>4914.1099999999997</v>
      </c>
      <c r="I2455" s="8">
        <v>-703.55</v>
      </c>
      <c r="J2455" s="8">
        <v>0.04</v>
      </c>
      <c r="K2455" t="str">
        <f>IF(SalesData[[#This Row],[Profit]]&gt;0,"Profit","Loss")</f>
        <v>Loss</v>
      </c>
      <c r="L2455" s="8">
        <f>SalesData[[#This Row],[Profit]]/SalesData[[#This Row],[Sales]]</f>
        <v>-0.14316936332316532</v>
      </c>
      <c r="M2455" t="str">
        <f>TEXT(SalesData[[#This Row],[Order_Date]],"mmm")</f>
        <v>Dec</v>
      </c>
      <c r="N2455">
        <f>YEAR(SalesData[[#This Row],[Order_Date]])</f>
        <v>2023</v>
      </c>
    </row>
    <row r="2456" spans="1:14" x14ac:dyDescent="0.3">
      <c r="A2456" t="s">
        <v>3741</v>
      </c>
      <c r="B2456" s="1">
        <v>45248</v>
      </c>
      <c r="C2456" t="s">
        <v>691</v>
      </c>
      <c r="D2456" t="s">
        <v>18</v>
      </c>
      <c r="E2456" t="s">
        <v>56</v>
      </c>
      <c r="F2456" t="s">
        <v>73</v>
      </c>
      <c r="G2456" t="s">
        <v>694</v>
      </c>
      <c r="H2456" s="8">
        <v>1530.98</v>
      </c>
      <c r="I2456" s="8">
        <v>-447.56</v>
      </c>
      <c r="J2456" s="8">
        <v>0.3</v>
      </c>
      <c r="K2456" t="str">
        <f>IF(SalesData[[#This Row],[Profit]]&gt;0,"Profit","Loss")</f>
        <v>Loss</v>
      </c>
      <c r="L2456" s="8">
        <f>SalesData[[#This Row],[Profit]]/SalesData[[#This Row],[Sales]]</f>
        <v>-0.29233562815974079</v>
      </c>
      <c r="M2456" t="str">
        <f>TEXT(SalesData[[#This Row],[Order_Date]],"mmm")</f>
        <v>Nov</v>
      </c>
      <c r="N2456">
        <f>YEAR(SalesData[[#This Row],[Order_Date]])</f>
        <v>2023</v>
      </c>
    </row>
    <row r="2457" spans="1:14" x14ac:dyDescent="0.3">
      <c r="A2457" t="s">
        <v>3742</v>
      </c>
      <c r="B2457" s="1">
        <v>44924</v>
      </c>
      <c r="C2457" t="s">
        <v>224</v>
      </c>
      <c r="D2457" t="s">
        <v>12</v>
      </c>
      <c r="E2457" t="s">
        <v>13</v>
      </c>
      <c r="F2457" t="s">
        <v>24</v>
      </c>
      <c r="G2457" t="s">
        <v>1553</v>
      </c>
      <c r="H2457" s="8">
        <v>3193.54</v>
      </c>
      <c r="I2457" s="8">
        <v>576.6</v>
      </c>
      <c r="J2457" s="8">
        <v>0.06</v>
      </c>
      <c r="K2457" t="str">
        <f>IF(SalesData[[#This Row],[Profit]]&gt;0,"Profit","Loss")</f>
        <v>Profit</v>
      </c>
      <c r="L2457" s="8">
        <f>SalesData[[#This Row],[Profit]]/SalesData[[#This Row],[Sales]]</f>
        <v>0.18055198932845684</v>
      </c>
      <c r="M2457" t="str">
        <f>TEXT(SalesData[[#This Row],[Order_Date]],"mmm")</f>
        <v>Dec</v>
      </c>
      <c r="N2457">
        <f>YEAR(SalesData[[#This Row],[Order_Date]])</f>
        <v>2022</v>
      </c>
    </row>
    <row r="2458" spans="1:14" x14ac:dyDescent="0.3">
      <c r="A2458" t="s">
        <v>3743</v>
      </c>
      <c r="B2458" s="1">
        <v>44612</v>
      </c>
      <c r="C2458" t="s">
        <v>821</v>
      </c>
      <c r="D2458" t="s">
        <v>18</v>
      </c>
      <c r="E2458" t="s">
        <v>56</v>
      </c>
      <c r="F2458" t="s">
        <v>73</v>
      </c>
      <c r="G2458" t="s">
        <v>386</v>
      </c>
      <c r="H2458" s="8">
        <v>4965.22</v>
      </c>
      <c r="I2458" s="8">
        <v>-382.55</v>
      </c>
      <c r="J2458" s="8">
        <v>0.1</v>
      </c>
      <c r="K2458" t="str">
        <f>IF(SalesData[[#This Row],[Profit]]&gt;0,"Profit","Loss")</f>
        <v>Loss</v>
      </c>
      <c r="L2458" s="8">
        <f>SalesData[[#This Row],[Profit]]/SalesData[[#This Row],[Sales]]</f>
        <v>-7.7045931499510598E-2</v>
      </c>
      <c r="M2458" t="str">
        <f>TEXT(SalesData[[#This Row],[Order_Date]],"mmm")</f>
        <v>Feb</v>
      </c>
      <c r="N2458">
        <f>YEAR(SalesData[[#This Row],[Order_Date]])</f>
        <v>2022</v>
      </c>
    </row>
    <row r="2459" spans="1:14" x14ac:dyDescent="0.3">
      <c r="A2459" t="s">
        <v>3744</v>
      </c>
      <c r="B2459" s="1">
        <v>45225</v>
      </c>
      <c r="C2459" t="s">
        <v>443</v>
      </c>
      <c r="D2459" t="s">
        <v>12</v>
      </c>
      <c r="E2459" t="s">
        <v>13</v>
      </c>
      <c r="F2459" t="s">
        <v>24</v>
      </c>
      <c r="G2459" t="s">
        <v>138</v>
      </c>
      <c r="H2459" s="8">
        <v>2446.06</v>
      </c>
      <c r="I2459" s="8">
        <v>-978.42</v>
      </c>
      <c r="J2459" s="8">
        <v>0.24</v>
      </c>
      <c r="K2459" t="str">
        <f>IF(SalesData[[#This Row],[Profit]]&gt;0,"Profit","Loss")</f>
        <v>Loss</v>
      </c>
      <c r="L2459" s="8">
        <f>SalesData[[#This Row],[Profit]]/SalesData[[#This Row],[Sales]]</f>
        <v>-0.39999836471713696</v>
      </c>
      <c r="M2459" t="str">
        <f>TEXT(SalesData[[#This Row],[Order_Date]],"mmm")</f>
        <v>Oct</v>
      </c>
      <c r="N2459">
        <f>YEAR(SalesData[[#This Row],[Order_Date]])</f>
        <v>2023</v>
      </c>
    </row>
    <row r="2460" spans="1:14" x14ac:dyDescent="0.3">
      <c r="A2460" t="s">
        <v>3745</v>
      </c>
      <c r="B2460" s="1">
        <v>44568</v>
      </c>
      <c r="C2460" t="s">
        <v>1102</v>
      </c>
      <c r="D2460" t="s">
        <v>40</v>
      </c>
      <c r="E2460" t="s">
        <v>19</v>
      </c>
      <c r="F2460" t="s">
        <v>141</v>
      </c>
      <c r="G2460" t="s">
        <v>816</v>
      </c>
      <c r="H2460" s="8">
        <v>3985.62</v>
      </c>
      <c r="I2460" s="8">
        <v>863.3</v>
      </c>
      <c r="J2460" s="8">
        <v>0.08</v>
      </c>
      <c r="K2460" t="str">
        <f>IF(SalesData[[#This Row],[Profit]]&gt;0,"Profit","Loss")</f>
        <v>Profit</v>
      </c>
      <c r="L2460" s="8">
        <f>SalesData[[#This Row],[Profit]]/SalesData[[#This Row],[Sales]]</f>
        <v>0.21660369026650808</v>
      </c>
      <c r="M2460" t="str">
        <f>TEXT(SalesData[[#This Row],[Order_Date]],"mmm")</f>
        <v>Jan</v>
      </c>
      <c r="N2460">
        <f>YEAR(SalesData[[#This Row],[Order_Date]])</f>
        <v>2022</v>
      </c>
    </row>
    <row r="2461" spans="1:14" x14ac:dyDescent="0.3">
      <c r="A2461" t="s">
        <v>3746</v>
      </c>
      <c r="B2461" s="1">
        <v>44575</v>
      </c>
      <c r="C2461" t="s">
        <v>1512</v>
      </c>
      <c r="D2461" t="s">
        <v>12</v>
      </c>
      <c r="E2461" t="s">
        <v>13</v>
      </c>
      <c r="F2461" t="s">
        <v>36</v>
      </c>
      <c r="G2461" t="s">
        <v>476</v>
      </c>
      <c r="H2461" s="8">
        <v>3883.63</v>
      </c>
      <c r="I2461" s="8">
        <v>-798.57</v>
      </c>
      <c r="J2461" s="8">
        <v>0.2</v>
      </c>
      <c r="K2461" t="str">
        <f>IF(SalesData[[#This Row],[Profit]]&gt;0,"Profit","Loss")</f>
        <v>Loss</v>
      </c>
      <c r="L2461" s="8">
        <f>SalesData[[#This Row],[Profit]]/SalesData[[#This Row],[Sales]]</f>
        <v>-0.20562463468456058</v>
      </c>
      <c r="M2461" t="str">
        <f>TEXT(SalesData[[#This Row],[Order_Date]],"mmm")</f>
        <v>Jan</v>
      </c>
      <c r="N2461">
        <f>YEAR(SalesData[[#This Row],[Order_Date]])</f>
        <v>2022</v>
      </c>
    </row>
    <row r="2462" spans="1:14" x14ac:dyDescent="0.3">
      <c r="A2462" t="s">
        <v>3747</v>
      </c>
      <c r="B2462" s="1">
        <v>45241</v>
      </c>
      <c r="C2462" t="s">
        <v>3511</v>
      </c>
      <c r="D2462" t="s">
        <v>18</v>
      </c>
      <c r="E2462" t="s">
        <v>19</v>
      </c>
      <c r="F2462" t="s">
        <v>20</v>
      </c>
      <c r="G2462" t="s">
        <v>840</v>
      </c>
      <c r="H2462" s="8">
        <v>2066.33</v>
      </c>
      <c r="I2462" s="8">
        <v>518.08000000000004</v>
      </c>
      <c r="J2462" s="8">
        <v>0.02</v>
      </c>
      <c r="K2462" t="str">
        <f>IF(SalesData[[#This Row],[Profit]]&gt;0,"Profit","Loss")</f>
        <v>Profit</v>
      </c>
      <c r="L2462" s="8">
        <f>SalesData[[#This Row],[Profit]]/SalesData[[#This Row],[Sales]]</f>
        <v>0.25072471483257758</v>
      </c>
      <c r="M2462" t="str">
        <f>TEXT(SalesData[[#This Row],[Order_Date]],"mmm")</f>
        <v>Nov</v>
      </c>
      <c r="N2462">
        <f>YEAR(SalesData[[#This Row],[Order_Date]])</f>
        <v>2023</v>
      </c>
    </row>
    <row r="2463" spans="1:14" x14ac:dyDescent="0.3">
      <c r="A2463" t="s">
        <v>3748</v>
      </c>
      <c r="B2463" s="1">
        <v>44845</v>
      </c>
      <c r="C2463" t="s">
        <v>433</v>
      </c>
      <c r="D2463" t="s">
        <v>12</v>
      </c>
      <c r="E2463" t="s">
        <v>13</v>
      </c>
      <c r="F2463" t="s">
        <v>36</v>
      </c>
      <c r="G2463" t="s">
        <v>58</v>
      </c>
      <c r="H2463" s="8">
        <v>3318.57</v>
      </c>
      <c r="I2463" s="8">
        <v>-437.06</v>
      </c>
      <c r="J2463" s="8">
        <v>0.12</v>
      </c>
      <c r="K2463" t="str">
        <f>IF(SalesData[[#This Row],[Profit]]&gt;0,"Profit","Loss")</f>
        <v>Loss</v>
      </c>
      <c r="L2463" s="8">
        <f>SalesData[[#This Row],[Profit]]/SalesData[[#This Row],[Sales]]</f>
        <v>-0.1317013050802002</v>
      </c>
      <c r="M2463" t="str">
        <f>TEXT(SalesData[[#This Row],[Order_Date]],"mmm")</f>
        <v>Oct</v>
      </c>
      <c r="N2463">
        <f>YEAR(SalesData[[#This Row],[Order_Date]])</f>
        <v>2022</v>
      </c>
    </row>
    <row r="2464" spans="1:14" x14ac:dyDescent="0.3">
      <c r="A2464" t="s">
        <v>3749</v>
      </c>
      <c r="B2464" s="1">
        <v>45237</v>
      </c>
      <c r="C2464" t="s">
        <v>3143</v>
      </c>
      <c r="D2464" t="s">
        <v>40</v>
      </c>
      <c r="E2464" t="s">
        <v>19</v>
      </c>
      <c r="F2464" t="s">
        <v>29</v>
      </c>
      <c r="G2464" t="s">
        <v>1027</v>
      </c>
      <c r="H2464" s="8">
        <v>2886.52</v>
      </c>
      <c r="I2464" s="8">
        <v>352.36</v>
      </c>
      <c r="J2464" s="8">
        <v>0.24</v>
      </c>
      <c r="K2464" t="str">
        <f>IF(SalesData[[#This Row],[Profit]]&gt;0,"Profit","Loss")</f>
        <v>Profit</v>
      </c>
      <c r="L2464" s="8">
        <f>SalesData[[#This Row],[Profit]]/SalesData[[#This Row],[Sales]]</f>
        <v>0.12207086734198967</v>
      </c>
      <c r="M2464" t="str">
        <f>TEXT(SalesData[[#This Row],[Order_Date]],"mmm")</f>
        <v>Nov</v>
      </c>
      <c r="N2464">
        <f>YEAR(SalesData[[#This Row],[Order_Date]])</f>
        <v>2023</v>
      </c>
    </row>
    <row r="2465" spans="1:14" x14ac:dyDescent="0.3">
      <c r="A2465" t="s">
        <v>3750</v>
      </c>
      <c r="B2465" s="1">
        <v>45251</v>
      </c>
      <c r="C2465" t="s">
        <v>1066</v>
      </c>
      <c r="D2465" t="s">
        <v>40</v>
      </c>
      <c r="E2465" t="s">
        <v>19</v>
      </c>
      <c r="F2465" t="s">
        <v>141</v>
      </c>
      <c r="G2465" t="s">
        <v>2451</v>
      </c>
      <c r="H2465" s="8">
        <v>1411.57</v>
      </c>
      <c r="I2465" s="8">
        <v>338.57</v>
      </c>
      <c r="J2465" s="8">
        <v>0.02</v>
      </c>
      <c r="K2465" t="str">
        <f>IF(SalesData[[#This Row],[Profit]]&gt;0,"Profit","Loss")</f>
        <v>Profit</v>
      </c>
      <c r="L2465" s="8">
        <f>SalesData[[#This Row],[Profit]]/SalesData[[#This Row],[Sales]]</f>
        <v>0.23985349646138698</v>
      </c>
      <c r="M2465" t="str">
        <f>TEXT(SalesData[[#This Row],[Order_Date]],"mmm")</f>
        <v>Nov</v>
      </c>
      <c r="N2465">
        <f>YEAR(SalesData[[#This Row],[Order_Date]])</f>
        <v>2023</v>
      </c>
    </row>
    <row r="2466" spans="1:14" x14ac:dyDescent="0.3">
      <c r="A2466" t="s">
        <v>3751</v>
      </c>
      <c r="B2466" s="1">
        <v>44946</v>
      </c>
      <c r="C2466" t="s">
        <v>3752</v>
      </c>
      <c r="D2466" t="s">
        <v>18</v>
      </c>
      <c r="E2466" t="s">
        <v>19</v>
      </c>
      <c r="F2466" t="s">
        <v>20</v>
      </c>
      <c r="G2466" t="s">
        <v>15</v>
      </c>
      <c r="H2466" s="8">
        <v>2890.92</v>
      </c>
      <c r="I2466" s="8">
        <v>-156.86000000000001</v>
      </c>
      <c r="J2466" s="8">
        <v>0.2</v>
      </c>
      <c r="K2466" t="str">
        <f>IF(SalesData[[#This Row],[Profit]]&gt;0,"Profit","Loss")</f>
        <v>Loss</v>
      </c>
      <c r="L2466" s="8">
        <f>SalesData[[#This Row],[Profit]]/SalesData[[#This Row],[Sales]]</f>
        <v>-5.425954367467796E-2</v>
      </c>
      <c r="M2466" t="str">
        <f>TEXT(SalesData[[#This Row],[Order_Date]],"mmm")</f>
        <v>Jan</v>
      </c>
      <c r="N2466">
        <f>YEAR(SalesData[[#This Row],[Order_Date]])</f>
        <v>2023</v>
      </c>
    </row>
    <row r="2467" spans="1:14" x14ac:dyDescent="0.3">
      <c r="A2467" t="s">
        <v>3753</v>
      </c>
      <c r="B2467" s="1">
        <v>45050</v>
      </c>
      <c r="C2467" t="s">
        <v>2248</v>
      </c>
      <c r="D2467" t="s">
        <v>18</v>
      </c>
      <c r="E2467" t="s">
        <v>19</v>
      </c>
      <c r="F2467" t="s">
        <v>29</v>
      </c>
      <c r="G2467" t="s">
        <v>1162</v>
      </c>
      <c r="H2467" s="8">
        <v>2780.9</v>
      </c>
      <c r="I2467" s="8">
        <v>-553.63</v>
      </c>
      <c r="J2467" s="8">
        <v>0.11</v>
      </c>
      <c r="K2467" t="str">
        <f>IF(SalesData[[#This Row],[Profit]]&gt;0,"Profit","Loss")</f>
        <v>Loss</v>
      </c>
      <c r="L2467" s="8">
        <f>SalesData[[#This Row],[Profit]]/SalesData[[#This Row],[Sales]]</f>
        <v>-0.19908303067352295</v>
      </c>
      <c r="M2467" t="str">
        <f>TEXT(SalesData[[#This Row],[Order_Date]],"mmm")</f>
        <v>May</v>
      </c>
      <c r="N2467">
        <f>YEAR(SalesData[[#This Row],[Order_Date]])</f>
        <v>2023</v>
      </c>
    </row>
    <row r="2468" spans="1:14" x14ac:dyDescent="0.3">
      <c r="A2468" t="s">
        <v>3754</v>
      </c>
      <c r="B2468" s="1">
        <v>45199</v>
      </c>
      <c r="C2468" t="s">
        <v>314</v>
      </c>
      <c r="D2468" t="s">
        <v>28</v>
      </c>
      <c r="E2468" t="s">
        <v>19</v>
      </c>
      <c r="F2468" t="s">
        <v>20</v>
      </c>
      <c r="G2468" t="s">
        <v>30</v>
      </c>
      <c r="H2468" s="8">
        <v>2229.52</v>
      </c>
      <c r="I2468" s="8">
        <v>-537.44000000000005</v>
      </c>
      <c r="J2468" s="8">
        <v>0.05</v>
      </c>
      <c r="K2468" t="str">
        <f>IF(SalesData[[#This Row],[Profit]]&gt;0,"Profit","Loss")</f>
        <v>Loss</v>
      </c>
      <c r="L2468" s="8">
        <f>SalesData[[#This Row],[Profit]]/SalesData[[#This Row],[Sales]]</f>
        <v>-0.24105637087803655</v>
      </c>
      <c r="M2468" t="str">
        <f>TEXT(SalesData[[#This Row],[Order_Date]],"mmm")</f>
        <v>Sep</v>
      </c>
      <c r="N2468">
        <f>YEAR(SalesData[[#This Row],[Order_Date]])</f>
        <v>2023</v>
      </c>
    </row>
    <row r="2469" spans="1:14" x14ac:dyDescent="0.3">
      <c r="A2469" t="s">
        <v>3755</v>
      </c>
      <c r="B2469" s="1">
        <v>44768</v>
      </c>
      <c r="C2469" t="s">
        <v>986</v>
      </c>
      <c r="D2469" t="s">
        <v>18</v>
      </c>
      <c r="E2469" t="s">
        <v>56</v>
      </c>
      <c r="F2469" t="s">
        <v>73</v>
      </c>
      <c r="G2469" t="s">
        <v>2164</v>
      </c>
      <c r="H2469" s="8">
        <v>3342</v>
      </c>
      <c r="I2469" s="8">
        <v>-655.12</v>
      </c>
      <c r="J2469" s="8">
        <v>0.04</v>
      </c>
      <c r="K2469" t="str">
        <f>IF(SalesData[[#This Row],[Profit]]&gt;0,"Profit","Loss")</f>
        <v>Loss</v>
      </c>
      <c r="L2469" s="8">
        <f>SalesData[[#This Row],[Profit]]/SalesData[[#This Row],[Sales]]</f>
        <v>-0.1960263315380012</v>
      </c>
      <c r="M2469" t="str">
        <f>TEXT(SalesData[[#This Row],[Order_Date]],"mmm")</f>
        <v>Jul</v>
      </c>
      <c r="N2469">
        <f>YEAR(SalesData[[#This Row],[Order_Date]])</f>
        <v>2022</v>
      </c>
    </row>
    <row r="2470" spans="1:14" x14ac:dyDescent="0.3">
      <c r="A2470" t="s">
        <v>3756</v>
      </c>
      <c r="B2470" s="1">
        <v>45142</v>
      </c>
      <c r="C2470" t="s">
        <v>773</v>
      </c>
      <c r="D2470" t="s">
        <v>28</v>
      </c>
      <c r="E2470" t="s">
        <v>13</v>
      </c>
      <c r="F2470" t="s">
        <v>36</v>
      </c>
      <c r="G2470" t="s">
        <v>488</v>
      </c>
      <c r="H2470" s="8">
        <v>4539.09</v>
      </c>
      <c r="I2470" s="8">
        <v>-509.95</v>
      </c>
      <c r="J2470" s="8">
        <v>0.19</v>
      </c>
      <c r="K2470" t="str">
        <f>IF(SalesData[[#This Row],[Profit]]&gt;0,"Profit","Loss")</f>
        <v>Loss</v>
      </c>
      <c r="L2470" s="8">
        <f>SalesData[[#This Row],[Profit]]/SalesData[[#This Row],[Sales]]</f>
        <v>-0.11234630729948072</v>
      </c>
      <c r="M2470" t="str">
        <f>TEXT(SalesData[[#This Row],[Order_Date]],"mmm")</f>
        <v>Aug</v>
      </c>
      <c r="N2470">
        <f>YEAR(SalesData[[#This Row],[Order_Date]])</f>
        <v>2023</v>
      </c>
    </row>
    <row r="2471" spans="1:14" x14ac:dyDescent="0.3">
      <c r="A2471" t="s">
        <v>3757</v>
      </c>
      <c r="B2471" s="1">
        <v>44998</v>
      </c>
      <c r="C2471" t="s">
        <v>3758</v>
      </c>
      <c r="D2471" t="s">
        <v>28</v>
      </c>
      <c r="E2471" t="s">
        <v>56</v>
      </c>
      <c r="F2471" t="s">
        <v>73</v>
      </c>
      <c r="G2471" t="s">
        <v>2869</v>
      </c>
      <c r="H2471" s="8">
        <v>4778.97</v>
      </c>
      <c r="I2471" s="8">
        <v>-1412.11</v>
      </c>
      <c r="J2471" s="8">
        <v>0.14000000000000001</v>
      </c>
      <c r="K2471" t="str">
        <f>IF(SalesData[[#This Row],[Profit]]&gt;0,"Profit","Loss")</f>
        <v>Loss</v>
      </c>
      <c r="L2471" s="8">
        <f>SalesData[[#This Row],[Profit]]/SalesData[[#This Row],[Sales]]</f>
        <v>-0.29548417336790139</v>
      </c>
      <c r="M2471" t="str">
        <f>TEXT(SalesData[[#This Row],[Order_Date]],"mmm")</f>
        <v>Mar</v>
      </c>
      <c r="N2471">
        <f>YEAR(SalesData[[#This Row],[Order_Date]])</f>
        <v>2023</v>
      </c>
    </row>
    <row r="2472" spans="1:14" x14ac:dyDescent="0.3">
      <c r="A2472" t="s">
        <v>3759</v>
      </c>
      <c r="B2472" s="1">
        <v>44960</v>
      </c>
      <c r="C2472" t="s">
        <v>3760</v>
      </c>
      <c r="D2472" t="s">
        <v>12</v>
      </c>
      <c r="E2472" t="s">
        <v>56</v>
      </c>
      <c r="F2472" t="s">
        <v>73</v>
      </c>
      <c r="G2472" t="s">
        <v>485</v>
      </c>
      <c r="H2472" s="8">
        <v>4926.9399999999996</v>
      </c>
      <c r="I2472" s="8">
        <v>13.35</v>
      </c>
      <c r="J2472" s="8">
        <v>0.06</v>
      </c>
      <c r="K2472" t="str">
        <f>IF(SalesData[[#This Row],[Profit]]&gt;0,"Profit","Loss")</f>
        <v>Profit</v>
      </c>
      <c r="L2472" s="8">
        <f>SalesData[[#This Row],[Profit]]/SalesData[[#This Row],[Sales]]</f>
        <v>2.7095925665829097E-3</v>
      </c>
      <c r="M2472" t="str">
        <f>TEXT(SalesData[[#This Row],[Order_Date]],"mmm")</f>
        <v>Feb</v>
      </c>
      <c r="N2472">
        <f>YEAR(SalesData[[#This Row],[Order_Date]])</f>
        <v>2023</v>
      </c>
    </row>
    <row r="2473" spans="1:14" x14ac:dyDescent="0.3">
      <c r="A2473" t="s">
        <v>3761</v>
      </c>
      <c r="B2473" s="1">
        <v>45226</v>
      </c>
      <c r="C2473" t="s">
        <v>2417</v>
      </c>
      <c r="D2473" t="s">
        <v>28</v>
      </c>
      <c r="E2473" t="s">
        <v>19</v>
      </c>
      <c r="F2473" t="s">
        <v>141</v>
      </c>
      <c r="G2473" t="s">
        <v>271</v>
      </c>
      <c r="H2473" s="8">
        <v>2926.2</v>
      </c>
      <c r="I2473" s="8">
        <v>37.99</v>
      </c>
      <c r="J2473" s="8">
        <v>0.16</v>
      </c>
      <c r="K2473" t="str">
        <f>IF(SalesData[[#This Row],[Profit]]&gt;0,"Profit","Loss")</f>
        <v>Profit</v>
      </c>
      <c r="L2473" s="8">
        <f>SalesData[[#This Row],[Profit]]/SalesData[[#This Row],[Sales]]</f>
        <v>1.2982707948875677E-2</v>
      </c>
      <c r="M2473" t="str">
        <f>TEXT(SalesData[[#This Row],[Order_Date]],"mmm")</f>
        <v>Oct</v>
      </c>
      <c r="N2473">
        <f>YEAR(SalesData[[#This Row],[Order_Date]])</f>
        <v>2023</v>
      </c>
    </row>
    <row r="2474" spans="1:14" x14ac:dyDescent="0.3">
      <c r="A2474" t="s">
        <v>3762</v>
      </c>
      <c r="B2474" s="1">
        <v>45277</v>
      </c>
      <c r="C2474" t="s">
        <v>719</v>
      </c>
      <c r="D2474" t="s">
        <v>40</v>
      </c>
      <c r="E2474" t="s">
        <v>56</v>
      </c>
      <c r="F2474" t="s">
        <v>73</v>
      </c>
      <c r="G2474" t="s">
        <v>2030</v>
      </c>
      <c r="H2474" s="8">
        <v>4686.25</v>
      </c>
      <c r="I2474" s="8">
        <v>-323.52999999999997</v>
      </c>
      <c r="J2474" s="8">
        <v>0.28000000000000003</v>
      </c>
      <c r="K2474" t="str">
        <f>IF(SalesData[[#This Row],[Profit]]&gt;0,"Profit","Loss")</f>
        <v>Loss</v>
      </c>
      <c r="L2474" s="8">
        <f>SalesData[[#This Row],[Profit]]/SalesData[[#This Row],[Sales]]</f>
        <v>-6.9038143504934646E-2</v>
      </c>
      <c r="M2474" t="str">
        <f>TEXT(SalesData[[#This Row],[Order_Date]],"mmm")</f>
        <v>Dec</v>
      </c>
      <c r="N2474">
        <f>YEAR(SalesData[[#This Row],[Order_Date]])</f>
        <v>2023</v>
      </c>
    </row>
    <row r="2475" spans="1:14" x14ac:dyDescent="0.3">
      <c r="A2475" t="s">
        <v>3763</v>
      </c>
      <c r="B2475" s="1">
        <v>44754</v>
      </c>
      <c r="C2475" t="s">
        <v>464</v>
      </c>
      <c r="D2475" t="s">
        <v>40</v>
      </c>
      <c r="E2475" t="s">
        <v>56</v>
      </c>
      <c r="F2475" t="s">
        <v>73</v>
      </c>
      <c r="G2475" t="s">
        <v>1371</v>
      </c>
      <c r="H2475" s="8">
        <v>549.30999999999995</v>
      </c>
      <c r="I2475" s="8">
        <v>-127.83</v>
      </c>
      <c r="J2475" s="8">
        <v>0.23</v>
      </c>
      <c r="K2475" t="str">
        <f>IF(SalesData[[#This Row],[Profit]]&gt;0,"Profit","Loss")</f>
        <v>Loss</v>
      </c>
      <c r="L2475" s="8">
        <f>SalesData[[#This Row],[Profit]]/SalesData[[#This Row],[Sales]]</f>
        <v>-0.23271012725055071</v>
      </c>
      <c r="M2475" t="str">
        <f>TEXT(SalesData[[#This Row],[Order_Date]],"mmm")</f>
        <v>Jul</v>
      </c>
      <c r="N2475">
        <f>YEAR(SalesData[[#This Row],[Order_Date]])</f>
        <v>2022</v>
      </c>
    </row>
    <row r="2476" spans="1:14" x14ac:dyDescent="0.3">
      <c r="A2476" t="s">
        <v>3764</v>
      </c>
      <c r="B2476" s="1">
        <v>44922</v>
      </c>
      <c r="C2476" t="s">
        <v>3037</v>
      </c>
      <c r="D2476" t="s">
        <v>40</v>
      </c>
      <c r="E2476" t="s">
        <v>56</v>
      </c>
      <c r="F2476" t="s">
        <v>57</v>
      </c>
      <c r="G2476" t="s">
        <v>2141</v>
      </c>
      <c r="H2476" s="8">
        <v>809.19</v>
      </c>
      <c r="I2476" s="8">
        <v>82.26</v>
      </c>
      <c r="J2476" s="8">
        <v>0.05</v>
      </c>
      <c r="K2476" t="str">
        <f>IF(SalesData[[#This Row],[Profit]]&gt;0,"Profit","Loss")</f>
        <v>Profit</v>
      </c>
      <c r="L2476" s="8">
        <f>SalesData[[#This Row],[Profit]]/SalesData[[#This Row],[Sales]]</f>
        <v>0.10165721276832387</v>
      </c>
      <c r="M2476" t="str">
        <f>TEXT(SalesData[[#This Row],[Order_Date]],"mmm")</f>
        <v>Dec</v>
      </c>
      <c r="N2476">
        <f>YEAR(SalesData[[#This Row],[Order_Date]])</f>
        <v>2022</v>
      </c>
    </row>
    <row r="2477" spans="1:14" x14ac:dyDescent="0.3">
      <c r="A2477" t="s">
        <v>3765</v>
      </c>
      <c r="B2477" s="1">
        <v>44852</v>
      </c>
      <c r="C2477" t="s">
        <v>1225</v>
      </c>
      <c r="D2477" t="s">
        <v>12</v>
      </c>
      <c r="E2477" t="s">
        <v>19</v>
      </c>
      <c r="F2477" t="s">
        <v>29</v>
      </c>
      <c r="G2477" t="s">
        <v>438</v>
      </c>
      <c r="H2477" s="8">
        <v>4966.62</v>
      </c>
      <c r="I2477" s="8">
        <v>-478.5</v>
      </c>
      <c r="J2477" s="8">
        <v>0.17</v>
      </c>
      <c r="K2477" t="str">
        <f>IF(SalesData[[#This Row],[Profit]]&gt;0,"Profit","Loss")</f>
        <v>Loss</v>
      </c>
      <c r="L2477" s="8">
        <f>SalesData[[#This Row],[Profit]]/SalesData[[#This Row],[Sales]]</f>
        <v>-9.634318711719439E-2</v>
      </c>
      <c r="M2477" t="str">
        <f>TEXT(SalesData[[#This Row],[Order_Date]],"mmm")</f>
        <v>Oct</v>
      </c>
      <c r="N2477">
        <f>YEAR(SalesData[[#This Row],[Order_Date]])</f>
        <v>2022</v>
      </c>
    </row>
    <row r="2478" spans="1:14" x14ac:dyDescent="0.3">
      <c r="A2478" t="s">
        <v>3766</v>
      </c>
      <c r="B2478" s="1">
        <v>44875</v>
      </c>
      <c r="C2478" t="s">
        <v>1405</v>
      </c>
      <c r="D2478" t="s">
        <v>28</v>
      </c>
      <c r="E2478" t="s">
        <v>56</v>
      </c>
      <c r="F2478" t="s">
        <v>57</v>
      </c>
      <c r="G2478" t="s">
        <v>1875</v>
      </c>
      <c r="H2478" s="8">
        <v>787.37</v>
      </c>
      <c r="I2478" s="8">
        <v>-166.48</v>
      </c>
      <c r="J2478" s="8">
        <v>0.28999999999999998</v>
      </c>
      <c r="K2478" t="str">
        <f>IF(SalesData[[#This Row],[Profit]]&gt;0,"Profit","Loss")</f>
        <v>Loss</v>
      </c>
      <c r="L2478" s="8">
        <f>SalesData[[#This Row],[Profit]]/SalesData[[#This Row],[Sales]]</f>
        <v>-0.21143807866695452</v>
      </c>
      <c r="M2478" t="str">
        <f>TEXT(SalesData[[#This Row],[Order_Date]],"mmm")</f>
        <v>Nov</v>
      </c>
      <c r="N2478">
        <f>YEAR(SalesData[[#This Row],[Order_Date]])</f>
        <v>2022</v>
      </c>
    </row>
    <row r="2479" spans="1:14" x14ac:dyDescent="0.3">
      <c r="A2479" t="s">
        <v>3767</v>
      </c>
      <c r="B2479" s="1">
        <v>44653</v>
      </c>
      <c r="C2479" t="s">
        <v>2634</v>
      </c>
      <c r="D2479" t="s">
        <v>18</v>
      </c>
      <c r="E2479" t="s">
        <v>19</v>
      </c>
      <c r="F2479" t="s">
        <v>29</v>
      </c>
      <c r="G2479" t="s">
        <v>175</v>
      </c>
      <c r="H2479" s="8">
        <v>2904.74</v>
      </c>
      <c r="I2479" s="8">
        <v>505.47</v>
      </c>
      <c r="J2479" s="8">
        <v>0.18</v>
      </c>
      <c r="K2479" t="str">
        <f>IF(SalesData[[#This Row],[Profit]]&gt;0,"Profit","Loss")</f>
        <v>Profit</v>
      </c>
      <c r="L2479" s="8">
        <f>SalesData[[#This Row],[Profit]]/SalesData[[#This Row],[Sales]]</f>
        <v>0.17401557454367692</v>
      </c>
      <c r="M2479" t="str">
        <f>TEXT(SalesData[[#This Row],[Order_Date]],"mmm")</f>
        <v>Apr</v>
      </c>
      <c r="N2479">
        <f>YEAR(SalesData[[#This Row],[Order_Date]])</f>
        <v>2022</v>
      </c>
    </row>
    <row r="2480" spans="1:14" x14ac:dyDescent="0.3">
      <c r="A2480" t="s">
        <v>3768</v>
      </c>
      <c r="B2480" s="1">
        <v>44595</v>
      </c>
      <c r="C2480" t="s">
        <v>1748</v>
      </c>
      <c r="D2480" t="s">
        <v>28</v>
      </c>
      <c r="E2480" t="s">
        <v>19</v>
      </c>
      <c r="F2480" t="s">
        <v>29</v>
      </c>
      <c r="G2480" t="s">
        <v>368</v>
      </c>
      <c r="H2480" s="8">
        <v>3484.07</v>
      </c>
      <c r="I2480" s="8">
        <v>1061.74</v>
      </c>
      <c r="J2480" s="8">
        <v>0.01</v>
      </c>
      <c r="K2480" t="str">
        <f>IF(SalesData[[#This Row],[Profit]]&gt;0,"Profit","Loss")</f>
        <v>Profit</v>
      </c>
      <c r="L2480" s="8">
        <f>SalesData[[#This Row],[Profit]]/SalesData[[#This Row],[Sales]]</f>
        <v>0.30474129394644767</v>
      </c>
      <c r="M2480" t="str">
        <f>TEXT(SalesData[[#This Row],[Order_Date]],"mmm")</f>
        <v>Feb</v>
      </c>
      <c r="N2480">
        <f>YEAR(SalesData[[#This Row],[Order_Date]])</f>
        <v>2022</v>
      </c>
    </row>
    <row r="2481" spans="1:14" x14ac:dyDescent="0.3">
      <c r="A2481" t="s">
        <v>3769</v>
      </c>
      <c r="B2481" s="1">
        <v>44957</v>
      </c>
      <c r="C2481" t="s">
        <v>976</v>
      </c>
      <c r="D2481" t="s">
        <v>28</v>
      </c>
      <c r="E2481" t="s">
        <v>19</v>
      </c>
      <c r="F2481" t="s">
        <v>29</v>
      </c>
      <c r="G2481" t="s">
        <v>254</v>
      </c>
      <c r="H2481" s="8">
        <v>3525.25</v>
      </c>
      <c r="I2481" s="8">
        <v>-1118.98</v>
      </c>
      <c r="J2481" s="8">
        <v>0.14000000000000001</v>
      </c>
      <c r="K2481" t="str">
        <f>IF(SalesData[[#This Row],[Profit]]&gt;0,"Profit","Loss")</f>
        <v>Loss</v>
      </c>
      <c r="L2481" s="8">
        <f>SalesData[[#This Row],[Profit]]/SalesData[[#This Row],[Sales]]</f>
        <v>-0.31741862279270971</v>
      </c>
      <c r="M2481" t="str">
        <f>TEXT(SalesData[[#This Row],[Order_Date]],"mmm")</f>
        <v>Jan</v>
      </c>
      <c r="N2481">
        <f>YEAR(SalesData[[#This Row],[Order_Date]])</f>
        <v>2023</v>
      </c>
    </row>
    <row r="2482" spans="1:14" x14ac:dyDescent="0.3">
      <c r="A2482" t="s">
        <v>3770</v>
      </c>
      <c r="B2482" s="1">
        <v>45227</v>
      </c>
      <c r="C2482" t="s">
        <v>2535</v>
      </c>
      <c r="D2482" t="s">
        <v>18</v>
      </c>
      <c r="E2482" t="s">
        <v>56</v>
      </c>
      <c r="F2482" t="s">
        <v>95</v>
      </c>
      <c r="G2482" t="s">
        <v>917</v>
      </c>
      <c r="H2482" s="8">
        <v>2262.7600000000002</v>
      </c>
      <c r="I2482" s="8">
        <v>341.66</v>
      </c>
      <c r="J2482" s="8">
        <v>0.03</v>
      </c>
      <c r="K2482" t="str">
        <f>IF(SalesData[[#This Row],[Profit]]&gt;0,"Profit","Loss")</f>
        <v>Profit</v>
      </c>
      <c r="L2482" s="8">
        <f>SalesData[[#This Row],[Profit]]/SalesData[[#This Row],[Sales]]</f>
        <v>0.15099259311637114</v>
      </c>
      <c r="M2482" t="str">
        <f>TEXT(SalesData[[#This Row],[Order_Date]],"mmm")</f>
        <v>Oct</v>
      </c>
      <c r="N2482">
        <f>YEAR(SalesData[[#This Row],[Order_Date]])</f>
        <v>2023</v>
      </c>
    </row>
    <row r="2483" spans="1:14" x14ac:dyDescent="0.3">
      <c r="A2483" t="s">
        <v>3771</v>
      </c>
      <c r="B2483" s="1">
        <v>45169</v>
      </c>
      <c r="C2483" t="s">
        <v>786</v>
      </c>
      <c r="D2483" t="s">
        <v>12</v>
      </c>
      <c r="E2483" t="s">
        <v>13</v>
      </c>
      <c r="F2483" t="s">
        <v>36</v>
      </c>
      <c r="G2483" t="s">
        <v>2091</v>
      </c>
      <c r="H2483" s="8">
        <v>1191.43</v>
      </c>
      <c r="I2483" s="8">
        <v>186.86</v>
      </c>
      <c r="J2483" s="8">
        <v>0.06</v>
      </c>
      <c r="K2483" t="str">
        <f>IF(SalesData[[#This Row],[Profit]]&gt;0,"Profit","Loss")</f>
        <v>Profit</v>
      </c>
      <c r="L2483" s="8">
        <f>SalesData[[#This Row],[Profit]]/SalesData[[#This Row],[Sales]]</f>
        <v>0.15683674240198753</v>
      </c>
      <c r="M2483" t="str">
        <f>TEXT(SalesData[[#This Row],[Order_Date]],"mmm")</f>
        <v>Aug</v>
      </c>
      <c r="N2483">
        <f>YEAR(SalesData[[#This Row],[Order_Date]])</f>
        <v>2023</v>
      </c>
    </row>
    <row r="2484" spans="1:14" x14ac:dyDescent="0.3">
      <c r="A2484" t="s">
        <v>3772</v>
      </c>
      <c r="B2484" s="1">
        <v>45252</v>
      </c>
      <c r="C2484" t="s">
        <v>916</v>
      </c>
      <c r="D2484" t="s">
        <v>28</v>
      </c>
      <c r="E2484" t="s">
        <v>19</v>
      </c>
      <c r="F2484" t="s">
        <v>29</v>
      </c>
      <c r="G2484" t="s">
        <v>850</v>
      </c>
      <c r="H2484" s="8">
        <v>639.6</v>
      </c>
      <c r="I2484" s="8">
        <v>-52.7</v>
      </c>
      <c r="J2484" s="8">
        <v>0.16</v>
      </c>
      <c r="K2484" t="str">
        <f>IF(SalesData[[#This Row],[Profit]]&gt;0,"Profit","Loss")</f>
        <v>Loss</v>
      </c>
      <c r="L2484" s="8">
        <f>SalesData[[#This Row],[Profit]]/SalesData[[#This Row],[Sales]]</f>
        <v>-8.2395247029393368E-2</v>
      </c>
      <c r="M2484" t="str">
        <f>TEXT(SalesData[[#This Row],[Order_Date]],"mmm")</f>
        <v>Nov</v>
      </c>
      <c r="N2484">
        <f>YEAR(SalesData[[#This Row],[Order_Date]])</f>
        <v>2023</v>
      </c>
    </row>
    <row r="2485" spans="1:14" x14ac:dyDescent="0.3">
      <c r="A2485" t="s">
        <v>3773</v>
      </c>
      <c r="B2485" s="1">
        <v>45197</v>
      </c>
      <c r="C2485" t="s">
        <v>1206</v>
      </c>
      <c r="D2485" t="s">
        <v>40</v>
      </c>
      <c r="E2485" t="s">
        <v>56</v>
      </c>
      <c r="F2485" t="s">
        <v>57</v>
      </c>
      <c r="G2485" t="s">
        <v>600</v>
      </c>
      <c r="H2485" s="8">
        <v>4281.29</v>
      </c>
      <c r="I2485" s="8">
        <v>726.53</v>
      </c>
      <c r="J2485" s="8">
        <v>0.18</v>
      </c>
      <c r="K2485" t="str">
        <f>IF(SalesData[[#This Row],[Profit]]&gt;0,"Profit","Loss")</f>
        <v>Profit</v>
      </c>
      <c r="L2485" s="8">
        <f>SalesData[[#This Row],[Profit]]/SalesData[[#This Row],[Sales]]</f>
        <v>0.16969885244867786</v>
      </c>
      <c r="M2485" t="str">
        <f>TEXT(SalesData[[#This Row],[Order_Date]],"mmm")</f>
        <v>Sep</v>
      </c>
      <c r="N2485">
        <f>YEAR(SalesData[[#This Row],[Order_Date]])</f>
        <v>2023</v>
      </c>
    </row>
    <row r="2486" spans="1:14" x14ac:dyDescent="0.3">
      <c r="A2486" t="s">
        <v>3774</v>
      </c>
      <c r="B2486" s="1">
        <v>44867</v>
      </c>
      <c r="C2486" t="s">
        <v>91</v>
      </c>
      <c r="D2486" t="s">
        <v>40</v>
      </c>
      <c r="E2486" t="s">
        <v>19</v>
      </c>
      <c r="F2486" t="s">
        <v>29</v>
      </c>
      <c r="G2486" t="s">
        <v>777</v>
      </c>
      <c r="H2486" s="8">
        <v>4620.76</v>
      </c>
      <c r="I2486" s="8">
        <v>-273.67</v>
      </c>
      <c r="J2486" s="8">
        <v>0.12</v>
      </c>
      <c r="K2486" t="str">
        <f>IF(SalesData[[#This Row],[Profit]]&gt;0,"Profit","Loss")</f>
        <v>Loss</v>
      </c>
      <c r="L2486" s="8">
        <f>SalesData[[#This Row],[Profit]]/SalesData[[#This Row],[Sales]]</f>
        <v>-5.9226187899826005E-2</v>
      </c>
      <c r="M2486" t="str">
        <f>TEXT(SalesData[[#This Row],[Order_Date]],"mmm")</f>
        <v>Nov</v>
      </c>
      <c r="N2486">
        <f>YEAR(SalesData[[#This Row],[Order_Date]])</f>
        <v>2022</v>
      </c>
    </row>
    <row r="2487" spans="1:14" x14ac:dyDescent="0.3">
      <c r="A2487" t="s">
        <v>3775</v>
      </c>
      <c r="B2487" s="1">
        <v>44874</v>
      </c>
      <c r="C2487" t="s">
        <v>1552</v>
      </c>
      <c r="D2487" t="s">
        <v>12</v>
      </c>
      <c r="E2487" t="s">
        <v>19</v>
      </c>
      <c r="F2487" t="s">
        <v>141</v>
      </c>
      <c r="G2487" t="s">
        <v>938</v>
      </c>
      <c r="H2487" s="8">
        <v>1184.8900000000001</v>
      </c>
      <c r="I2487" s="8">
        <v>72.680000000000007</v>
      </c>
      <c r="J2487" s="8">
        <v>0.21</v>
      </c>
      <c r="K2487" t="str">
        <f>IF(SalesData[[#This Row],[Profit]]&gt;0,"Profit","Loss")</f>
        <v>Profit</v>
      </c>
      <c r="L2487" s="8">
        <f>SalesData[[#This Row],[Profit]]/SalesData[[#This Row],[Sales]]</f>
        <v>6.1339027251474824E-2</v>
      </c>
      <c r="M2487" t="str">
        <f>TEXT(SalesData[[#This Row],[Order_Date]],"mmm")</f>
        <v>Nov</v>
      </c>
      <c r="N2487">
        <f>YEAR(SalesData[[#This Row],[Order_Date]])</f>
        <v>2022</v>
      </c>
    </row>
    <row r="2488" spans="1:14" x14ac:dyDescent="0.3">
      <c r="A2488" t="s">
        <v>3776</v>
      </c>
      <c r="B2488" s="1">
        <v>45284</v>
      </c>
      <c r="C2488" t="s">
        <v>1093</v>
      </c>
      <c r="D2488" t="s">
        <v>40</v>
      </c>
      <c r="E2488" t="s">
        <v>13</v>
      </c>
      <c r="F2488" t="s">
        <v>24</v>
      </c>
      <c r="G2488" t="s">
        <v>122</v>
      </c>
      <c r="H2488" s="8">
        <v>2986.53</v>
      </c>
      <c r="I2488" s="8">
        <v>-849.74</v>
      </c>
      <c r="J2488" s="8">
        <v>0.23</v>
      </c>
      <c r="K2488" t="str">
        <f>IF(SalesData[[#This Row],[Profit]]&gt;0,"Profit","Loss")</f>
        <v>Loss</v>
      </c>
      <c r="L2488" s="8">
        <f>SalesData[[#This Row],[Profit]]/SalesData[[#This Row],[Sales]]</f>
        <v>-0.28452418023592596</v>
      </c>
      <c r="M2488" t="str">
        <f>TEXT(SalesData[[#This Row],[Order_Date]],"mmm")</f>
        <v>Dec</v>
      </c>
      <c r="N2488">
        <f>YEAR(SalesData[[#This Row],[Order_Date]])</f>
        <v>2023</v>
      </c>
    </row>
    <row r="2489" spans="1:14" x14ac:dyDescent="0.3">
      <c r="A2489" t="s">
        <v>3777</v>
      </c>
      <c r="B2489" s="1">
        <v>44832</v>
      </c>
      <c r="C2489" t="s">
        <v>1262</v>
      </c>
      <c r="D2489" t="s">
        <v>18</v>
      </c>
      <c r="E2489" t="s">
        <v>19</v>
      </c>
      <c r="F2489" t="s">
        <v>29</v>
      </c>
      <c r="G2489" t="s">
        <v>1229</v>
      </c>
      <c r="H2489" s="8">
        <v>1209.43</v>
      </c>
      <c r="I2489" s="8">
        <v>80.12</v>
      </c>
      <c r="J2489" s="8">
        <v>0.26</v>
      </c>
      <c r="K2489" t="str">
        <f>IF(SalesData[[#This Row],[Profit]]&gt;0,"Profit","Loss")</f>
        <v>Profit</v>
      </c>
      <c r="L2489" s="8">
        <f>SalesData[[#This Row],[Profit]]/SalesData[[#This Row],[Sales]]</f>
        <v>6.6246082865482087E-2</v>
      </c>
      <c r="M2489" t="str">
        <f>TEXT(SalesData[[#This Row],[Order_Date]],"mmm")</f>
        <v>Sep</v>
      </c>
      <c r="N2489">
        <f>YEAR(SalesData[[#This Row],[Order_Date]])</f>
        <v>2022</v>
      </c>
    </row>
    <row r="2490" spans="1:14" x14ac:dyDescent="0.3">
      <c r="A2490" t="s">
        <v>3778</v>
      </c>
      <c r="B2490" s="1">
        <v>45050</v>
      </c>
      <c r="C2490" t="s">
        <v>1486</v>
      </c>
      <c r="D2490" t="s">
        <v>18</v>
      </c>
      <c r="E2490" t="s">
        <v>56</v>
      </c>
      <c r="F2490" t="s">
        <v>57</v>
      </c>
      <c r="G2490" t="s">
        <v>895</v>
      </c>
      <c r="H2490" s="8">
        <v>3007.27</v>
      </c>
      <c r="I2490" s="8">
        <v>-821.04</v>
      </c>
      <c r="J2490" s="8">
        <v>0.15</v>
      </c>
      <c r="K2490" t="str">
        <f>IF(SalesData[[#This Row],[Profit]]&gt;0,"Profit","Loss")</f>
        <v>Loss</v>
      </c>
      <c r="L2490" s="8">
        <f>SalesData[[#This Row],[Profit]]/SalesData[[#This Row],[Sales]]</f>
        <v>-0.27301838544593598</v>
      </c>
      <c r="M2490" t="str">
        <f>TEXT(SalesData[[#This Row],[Order_Date]],"mmm")</f>
        <v>May</v>
      </c>
      <c r="N2490">
        <f>YEAR(SalesData[[#This Row],[Order_Date]])</f>
        <v>2023</v>
      </c>
    </row>
    <row r="2491" spans="1:14" x14ac:dyDescent="0.3">
      <c r="A2491" t="s">
        <v>3779</v>
      </c>
      <c r="B2491" s="1">
        <v>44838</v>
      </c>
      <c r="C2491" t="s">
        <v>353</v>
      </c>
      <c r="D2491" t="s">
        <v>18</v>
      </c>
      <c r="E2491" t="s">
        <v>13</v>
      </c>
      <c r="F2491" t="s">
        <v>24</v>
      </c>
      <c r="G2491" t="s">
        <v>294</v>
      </c>
      <c r="H2491" s="8">
        <v>3248.47</v>
      </c>
      <c r="I2491" s="8">
        <v>-358.69</v>
      </c>
      <c r="J2491" s="8">
        <v>0.26</v>
      </c>
      <c r="K2491" t="str">
        <f>IF(SalesData[[#This Row],[Profit]]&gt;0,"Profit","Loss")</f>
        <v>Loss</v>
      </c>
      <c r="L2491" s="8">
        <f>SalesData[[#This Row],[Profit]]/SalesData[[#This Row],[Sales]]</f>
        <v>-0.11041813530677519</v>
      </c>
      <c r="M2491" t="str">
        <f>TEXT(SalesData[[#This Row],[Order_Date]],"mmm")</f>
        <v>Oct</v>
      </c>
      <c r="N2491">
        <f>YEAR(SalesData[[#This Row],[Order_Date]])</f>
        <v>2022</v>
      </c>
    </row>
    <row r="2492" spans="1:14" x14ac:dyDescent="0.3">
      <c r="A2492" t="s">
        <v>3780</v>
      </c>
      <c r="B2492" s="1">
        <v>44624</v>
      </c>
      <c r="C2492" t="s">
        <v>1385</v>
      </c>
      <c r="D2492" t="s">
        <v>18</v>
      </c>
      <c r="E2492" t="s">
        <v>56</v>
      </c>
      <c r="F2492" t="s">
        <v>57</v>
      </c>
      <c r="G2492" t="s">
        <v>457</v>
      </c>
      <c r="H2492" s="8">
        <v>4988.76</v>
      </c>
      <c r="I2492" s="8">
        <v>-811.54</v>
      </c>
      <c r="J2492" s="8">
        <v>0.23</v>
      </c>
      <c r="K2492" t="str">
        <f>IF(SalesData[[#This Row],[Profit]]&gt;0,"Profit","Loss")</f>
        <v>Loss</v>
      </c>
      <c r="L2492" s="8">
        <f>SalesData[[#This Row],[Profit]]/SalesData[[#This Row],[Sales]]</f>
        <v>-0.16267369045614541</v>
      </c>
      <c r="M2492" t="str">
        <f>TEXT(SalesData[[#This Row],[Order_Date]],"mmm")</f>
        <v>Mar</v>
      </c>
      <c r="N2492">
        <f>YEAR(SalesData[[#This Row],[Order_Date]])</f>
        <v>2022</v>
      </c>
    </row>
    <row r="2493" spans="1:14" x14ac:dyDescent="0.3">
      <c r="A2493" t="s">
        <v>3781</v>
      </c>
      <c r="B2493" s="1">
        <v>44918</v>
      </c>
      <c r="C2493" t="s">
        <v>2441</v>
      </c>
      <c r="D2493" t="s">
        <v>40</v>
      </c>
      <c r="E2493" t="s">
        <v>19</v>
      </c>
      <c r="F2493" t="s">
        <v>20</v>
      </c>
      <c r="G2493" t="s">
        <v>1434</v>
      </c>
      <c r="H2493" s="8">
        <v>2446.7600000000002</v>
      </c>
      <c r="I2493" s="8">
        <v>540.66999999999996</v>
      </c>
      <c r="J2493" s="8">
        <v>0.09</v>
      </c>
      <c r="K2493" t="str">
        <f>IF(SalesData[[#This Row],[Profit]]&gt;0,"Profit","Loss")</f>
        <v>Profit</v>
      </c>
      <c r="L2493" s="8">
        <f>SalesData[[#This Row],[Profit]]/SalesData[[#This Row],[Sales]]</f>
        <v>0.22097385930781929</v>
      </c>
      <c r="M2493" t="str">
        <f>TEXT(SalesData[[#This Row],[Order_Date]],"mmm")</f>
        <v>Dec</v>
      </c>
      <c r="N2493">
        <f>YEAR(SalesData[[#This Row],[Order_Date]])</f>
        <v>2022</v>
      </c>
    </row>
    <row r="2494" spans="1:14" x14ac:dyDescent="0.3">
      <c r="A2494" t="s">
        <v>3782</v>
      </c>
      <c r="B2494" s="1">
        <v>44690</v>
      </c>
      <c r="C2494" t="s">
        <v>702</v>
      </c>
      <c r="D2494" t="s">
        <v>18</v>
      </c>
      <c r="E2494" t="s">
        <v>13</v>
      </c>
      <c r="F2494" t="s">
        <v>36</v>
      </c>
      <c r="G2494" t="s">
        <v>1198</v>
      </c>
      <c r="H2494" s="8">
        <v>1915.67</v>
      </c>
      <c r="I2494" s="8">
        <v>21.77</v>
      </c>
      <c r="J2494" s="8">
        <v>0.14000000000000001</v>
      </c>
      <c r="K2494" t="str">
        <f>IF(SalesData[[#This Row],[Profit]]&gt;0,"Profit","Loss")</f>
        <v>Profit</v>
      </c>
      <c r="L2494" s="8">
        <f>SalesData[[#This Row],[Profit]]/SalesData[[#This Row],[Sales]]</f>
        <v>1.1364170238089022E-2</v>
      </c>
      <c r="M2494" t="str">
        <f>TEXT(SalesData[[#This Row],[Order_Date]],"mmm")</f>
        <v>May</v>
      </c>
      <c r="N2494">
        <f>YEAR(SalesData[[#This Row],[Order_Date]])</f>
        <v>2022</v>
      </c>
    </row>
    <row r="2495" spans="1:14" x14ac:dyDescent="0.3">
      <c r="A2495" t="s">
        <v>3783</v>
      </c>
      <c r="B2495" s="1">
        <v>44627</v>
      </c>
      <c r="C2495" t="s">
        <v>198</v>
      </c>
      <c r="D2495" t="s">
        <v>18</v>
      </c>
      <c r="E2495" t="s">
        <v>56</v>
      </c>
      <c r="F2495" t="s">
        <v>95</v>
      </c>
      <c r="G2495" t="s">
        <v>1099</v>
      </c>
      <c r="H2495" s="8">
        <v>1462.87</v>
      </c>
      <c r="I2495" s="8">
        <v>-215.58</v>
      </c>
      <c r="J2495" s="8">
        <v>0.13</v>
      </c>
      <c r="K2495" t="str">
        <f>IF(SalesData[[#This Row],[Profit]]&gt;0,"Profit","Loss")</f>
        <v>Loss</v>
      </c>
      <c r="L2495" s="8">
        <f>SalesData[[#This Row],[Profit]]/SalesData[[#This Row],[Sales]]</f>
        <v>-0.1473678453997963</v>
      </c>
      <c r="M2495" t="str">
        <f>TEXT(SalesData[[#This Row],[Order_Date]],"mmm")</f>
        <v>Mar</v>
      </c>
      <c r="N2495">
        <f>YEAR(SalesData[[#This Row],[Order_Date]])</f>
        <v>2022</v>
      </c>
    </row>
    <row r="2496" spans="1:14" x14ac:dyDescent="0.3">
      <c r="A2496" t="s">
        <v>3784</v>
      </c>
      <c r="B2496" s="1">
        <v>44701</v>
      </c>
      <c r="C2496" t="s">
        <v>2940</v>
      </c>
      <c r="D2496" t="s">
        <v>12</v>
      </c>
      <c r="E2496" t="s">
        <v>56</v>
      </c>
      <c r="F2496" t="s">
        <v>57</v>
      </c>
      <c r="G2496" t="s">
        <v>125</v>
      </c>
      <c r="H2496" s="8">
        <v>793.03</v>
      </c>
      <c r="I2496" s="8">
        <v>-163.79</v>
      </c>
      <c r="J2496" s="8">
        <v>0.22</v>
      </c>
      <c r="K2496" t="str">
        <f>IF(SalesData[[#This Row],[Profit]]&gt;0,"Profit","Loss")</f>
        <v>Loss</v>
      </c>
      <c r="L2496" s="8">
        <f>SalesData[[#This Row],[Profit]]/SalesData[[#This Row],[Sales]]</f>
        <v>-0.20653695320479679</v>
      </c>
      <c r="M2496" t="str">
        <f>TEXT(SalesData[[#This Row],[Order_Date]],"mmm")</f>
        <v>May</v>
      </c>
      <c r="N2496">
        <f>YEAR(SalesData[[#This Row],[Order_Date]])</f>
        <v>2022</v>
      </c>
    </row>
    <row r="2497" spans="1:14" x14ac:dyDescent="0.3">
      <c r="A2497" t="s">
        <v>3785</v>
      </c>
      <c r="B2497" s="1">
        <v>45285</v>
      </c>
      <c r="C2497" t="s">
        <v>204</v>
      </c>
      <c r="D2497" t="s">
        <v>28</v>
      </c>
      <c r="E2497" t="s">
        <v>13</v>
      </c>
      <c r="F2497" t="s">
        <v>36</v>
      </c>
      <c r="G2497" t="s">
        <v>2550</v>
      </c>
      <c r="H2497" s="8">
        <v>1733.26</v>
      </c>
      <c r="I2497" s="8">
        <v>-184.17</v>
      </c>
      <c r="J2497" s="8">
        <v>0.12</v>
      </c>
      <c r="K2497" t="str">
        <f>IF(SalesData[[#This Row],[Profit]]&gt;0,"Profit","Loss")</f>
        <v>Loss</v>
      </c>
      <c r="L2497" s="8">
        <f>SalesData[[#This Row],[Profit]]/SalesData[[#This Row],[Sales]]</f>
        <v>-0.10625641854078441</v>
      </c>
      <c r="M2497" t="str">
        <f>TEXT(SalesData[[#This Row],[Order_Date]],"mmm")</f>
        <v>Dec</v>
      </c>
      <c r="N2497">
        <f>YEAR(SalesData[[#This Row],[Order_Date]])</f>
        <v>2023</v>
      </c>
    </row>
    <row r="2498" spans="1:14" x14ac:dyDescent="0.3">
      <c r="A2498" t="s">
        <v>3786</v>
      </c>
      <c r="B2498" s="1">
        <v>44564</v>
      </c>
      <c r="C2498" t="s">
        <v>264</v>
      </c>
      <c r="D2498" t="s">
        <v>28</v>
      </c>
      <c r="E2498" t="s">
        <v>19</v>
      </c>
      <c r="F2498" t="s">
        <v>141</v>
      </c>
      <c r="G2498" t="s">
        <v>64</v>
      </c>
      <c r="H2498" s="8">
        <v>1753.17</v>
      </c>
      <c r="I2498" s="8">
        <v>-205.45</v>
      </c>
      <c r="J2498" s="8">
        <v>0.2</v>
      </c>
      <c r="K2498" t="str">
        <f>IF(SalesData[[#This Row],[Profit]]&gt;0,"Profit","Loss")</f>
        <v>Loss</v>
      </c>
      <c r="L2498" s="8">
        <f>SalesData[[#This Row],[Profit]]/SalesData[[#This Row],[Sales]]</f>
        <v>-0.11718772281068007</v>
      </c>
      <c r="M2498" t="str">
        <f>TEXT(SalesData[[#This Row],[Order_Date]],"mmm")</f>
        <v>Jan</v>
      </c>
      <c r="N2498">
        <f>YEAR(SalesData[[#This Row],[Order_Date]])</f>
        <v>2022</v>
      </c>
    </row>
    <row r="2499" spans="1:14" x14ac:dyDescent="0.3">
      <c r="A2499" t="s">
        <v>3787</v>
      </c>
      <c r="B2499" s="1">
        <v>44931</v>
      </c>
      <c r="C2499" t="s">
        <v>293</v>
      </c>
      <c r="D2499" t="s">
        <v>40</v>
      </c>
      <c r="E2499" t="s">
        <v>56</v>
      </c>
      <c r="F2499" t="s">
        <v>73</v>
      </c>
      <c r="G2499" t="s">
        <v>1109</v>
      </c>
      <c r="H2499" s="8">
        <v>3086.47</v>
      </c>
      <c r="I2499" s="8">
        <v>-998</v>
      </c>
      <c r="J2499" s="8">
        <v>0.28000000000000003</v>
      </c>
      <c r="K2499" t="str">
        <f>IF(SalesData[[#This Row],[Profit]]&gt;0,"Profit","Loss")</f>
        <v>Loss</v>
      </c>
      <c r="L2499" s="8">
        <f>SalesData[[#This Row],[Profit]]/SalesData[[#This Row],[Sales]]</f>
        <v>-0.32334673591513935</v>
      </c>
      <c r="M2499" t="str">
        <f>TEXT(SalesData[[#This Row],[Order_Date]],"mmm")</f>
        <v>Jan</v>
      </c>
      <c r="N2499">
        <f>YEAR(SalesData[[#This Row],[Order_Date]])</f>
        <v>2023</v>
      </c>
    </row>
    <row r="2500" spans="1:14" x14ac:dyDescent="0.3">
      <c r="A2500" t="s">
        <v>3788</v>
      </c>
      <c r="B2500" s="1">
        <v>44790</v>
      </c>
      <c r="C2500" t="s">
        <v>1042</v>
      </c>
      <c r="D2500" t="s">
        <v>40</v>
      </c>
      <c r="E2500" t="s">
        <v>19</v>
      </c>
      <c r="F2500" t="s">
        <v>141</v>
      </c>
      <c r="G2500" t="s">
        <v>646</v>
      </c>
      <c r="H2500" s="8">
        <v>1703.55</v>
      </c>
      <c r="I2500" s="8">
        <v>-458.62</v>
      </c>
      <c r="J2500" s="8">
        <v>0.12</v>
      </c>
      <c r="K2500" t="str">
        <f>IF(SalesData[[#This Row],[Profit]]&gt;0,"Profit","Loss")</f>
        <v>Loss</v>
      </c>
      <c r="L2500" s="8">
        <f>SalesData[[#This Row],[Profit]]/SalesData[[#This Row],[Sales]]</f>
        <v>-0.26921428781074813</v>
      </c>
      <c r="M2500" t="str">
        <f>TEXT(SalesData[[#This Row],[Order_Date]],"mmm")</f>
        <v>Aug</v>
      </c>
      <c r="N2500">
        <f>YEAR(SalesData[[#This Row],[Order_Date]])</f>
        <v>2022</v>
      </c>
    </row>
    <row r="2501" spans="1:14" x14ac:dyDescent="0.3">
      <c r="A2501" t="s">
        <v>3789</v>
      </c>
      <c r="B2501" s="1">
        <v>45248</v>
      </c>
      <c r="C2501" t="s">
        <v>691</v>
      </c>
      <c r="D2501" t="s">
        <v>18</v>
      </c>
      <c r="E2501" t="s">
        <v>56</v>
      </c>
      <c r="F2501" t="s">
        <v>95</v>
      </c>
      <c r="G2501" t="s">
        <v>1025</v>
      </c>
      <c r="H2501" s="8">
        <v>4462.22</v>
      </c>
      <c r="I2501" s="8">
        <v>-69.44</v>
      </c>
      <c r="J2501" s="8">
        <v>0.06</v>
      </c>
      <c r="K2501" t="str">
        <f>IF(SalesData[[#This Row],[Profit]]&gt;0,"Profit","Loss")</f>
        <v>Loss</v>
      </c>
      <c r="L2501" s="8">
        <f>SalesData[[#This Row],[Profit]]/SalesData[[#This Row],[Sales]]</f>
        <v>-1.5561760737928653E-2</v>
      </c>
      <c r="M2501" t="str">
        <f>TEXT(SalesData[[#This Row],[Order_Date]],"mmm")</f>
        <v>Nov</v>
      </c>
      <c r="N2501">
        <f>YEAR(SalesData[[#This Row],[Order_Date]])</f>
        <v>2023</v>
      </c>
    </row>
    <row r="2502" spans="1:14" x14ac:dyDescent="0.3">
      <c r="A2502" t="s">
        <v>3790</v>
      </c>
      <c r="B2502" s="1">
        <v>44774</v>
      </c>
      <c r="C2502" t="s">
        <v>2537</v>
      </c>
      <c r="D2502" t="s">
        <v>12</v>
      </c>
      <c r="E2502" t="s">
        <v>56</v>
      </c>
      <c r="F2502" t="s">
        <v>57</v>
      </c>
      <c r="G2502" t="s">
        <v>1162</v>
      </c>
      <c r="H2502" s="8">
        <v>1619.13</v>
      </c>
      <c r="I2502" s="8">
        <v>-211.99</v>
      </c>
      <c r="J2502" s="8">
        <v>0.09</v>
      </c>
      <c r="K2502" t="str">
        <f>IF(SalesData[[#This Row],[Profit]]&gt;0,"Profit","Loss")</f>
        <v>Loss</v>
      </c>
      <c r="L2502" s="8">
        <f>SalesData[[#This Row],[Profit]]/SalesData[[#This Row],[Sales]]</f>
        <v>-0.13092833805809292</v>
      </c>
      <c r="M2502" t="str">
        <f>TEXT(SalesData[[#This Row],[Order_Date]],"mmm")</f>
        <v>Aug</v>
      </c>
      <c r="N2502">
        <f>YEAR(SalesData[[#This Row],[Order_Date]])</f>
        <v>2022</v>
      </c>
    </row>
    <row r="2503" spans="1:14" x14ac:dyDescent="0.3">
      <c r="A2503" t="s">
        <v>3791</v>
      </c>
      <c r="B2503" s="1">
        <v>45271</v>
      </c>
      <c r="C2503" t="s">
        <v>710</v>
      </c>
      <c r="D2503" t="s">
        <v>28</v>
      </c>
      <c r="E2503" t="s">
        <v>19</v>
      </c>
      <c r="F2503" t="s">
        <v>20</v>
      </c>
      <c r="G2503" t="s">
        <v>160</v>
      </c>
      <c r="H2503" s="8">
        <v>3350.1</v>
      </c>
      <c r="I2503" s="8">
        <v>-537.99</v>
      </c>
      <c r="J2503" s="8">
        <v>0.21</v>
      </c>
      <c r="K2503" t="str">
        <f>IF(SalesData[[#This Row],[Profit]]&gt;0,"Profit","Loss")</f>
        <v>Loss</v>
      </c>
      <c r="L2503" s="8">
        <f>SalesData[[#This Row],[Profit]]/SalesData[[#This Row],[Sales]]</f>
        <v>-0.16058923614220472</v>
      </c>
      <c r="M2503" t="str">
        <f>TEXT(SalesData[[#This Row],[Order_Date]],"mmm")</f>
        <v>Dec</v>
      </c>
      <c r="N2503">
        <f>YEAR(SalesData[[#This Row],[Order_Date]])</f>
        <v>2023</v>
      </c>
    </row>
    <row r="2504" spans="1:14" x14ac:dyDescent="0.3">
      <c r="A2504" t="s">
        <v>3792</v>
      </c>
      <c r="B2504" s="1">
        <v>45228</v>
      </c>
      <c r="C2504" t="s">
        <v>1194</v>
      </c>
      <c r="D2504" t="s">
        <v>18</v>
      </c>
      <c r="E2504" t="s">
        <v>13</v>
      </c>
      <c r="F2504" t="s">
        <v>14</v>
      </c>
      <c r="G2504" t="s">
        <v>917</v>
      </c>
      <c r="H2504" s="8">
        <v>260.08</v>
      </c>
      <c r="I2504" s="8">
        <v>39.83</v>
      </c>
      <c r="J2504" s="8">
        <v>0.24</v>
      </c>
      <c r="K2504" t="str">
        <f>IF(SalesData[[#This Row],[Profit]]&gt;0,"Profit","Loss")</f>
        <v>Profit</v>
      </c>
      <c r="L2504" s="8">
        <f>SalesData[[#This Row],[Profit]]/SalesData[[#This Row],[Sales]]</f>
        <v>0.15314518609658567</v>
      </c>
      <c r="M2504" t="str">
        <f>TEXT(SalesData[[#This Row],[Order_Date]],"mmm")</f>
        <v>Oct</v>
      </c>
      <c r="N2504">
        <f>YEAR(SalesData[[#This Row],[Order_Date]])</f>
        <v>2023</v>
      </c>
    </row>
    <row r="2505" spans="1:14" x14ac:dyDescent="0.3">
      <c r="A2505" t="s">
        <v>3793</v>
      </c>
      <c r="B2505" s="1">
        <v>45231</v>
      </c>
      <c r="C2505" t="s">
        <v>1410</v>
      </c>
      <c r="D2505" t="s">
        <v>28</v>
      </c>
      <c r="E2505" t="s">
        <v>19</v>
      </c>
      <c r="F2505" t="s">
        <v>29</v>
      </c>
      <c r="G2505" t="s">
        <v>86</v>
      </c>
      <c r="H2505" s="8">
        <v>3790.99</v>
      </c>
      <c r="I2505" s="8">
        <v>-1509.59</v>
      </c>
      <c r="J2505" s="8">
        <v>0.28999999999999998</v>
      </c>
      <c r="K2505" t="str">
        <f>IF(SalesData[[#This Row],[Profit]]&gt;0,"Profit","Loss")</f>
        <v>Loss</v>
      </c>
      <c r="L2505" s="8">
        <f>SalesData[[#This Row],[Profit]]/SalesData[[#This Row],[Sales]]</f>
        <v>-0.39820469059533264</v>
      </c>
      <c r="M2505" t="str">
        <f>TEXT(SalesData[[#This Row],[Order_Date]],"mmm")</f>
        <v>Nov</v>
      </c>
      <c r="N2505">
        <f>YEAR(SalesData[[#This Row],[Order_Date]])</f>
        <v>2023</v>
      </c>
    </row>
    <row r="2506" spans="1:14" x14ac:dyDescent="0.3">
      <c r="A2506" t="s">
        <v>3794</v>
      </c>
      <c r="B2506" s="1">
        <v>44774</v>
      </c>
      <c r="C2506" t="s">
        <v>852</v>
      </c>
      <c r="D2506" t="s">
        <v>12</v>
      </c>
      <c r="E2506" t="s">
        <v>19</v>
      </c>
      <c r="F2506" t="s">
        <v>20</v>
      </c>
      <c r="G2506" t="s">
        <v>114</v>
      </c>
      <c r="H2506" s="8">
        <v>2382.5</v>
      </c>
      <c r="I2506" s="8">
        <v>-565.79</v>
      </c>
      <c r="J2506" s="8">
        <v>0.06</v>
      </c>
      <c r="K2506" t="str">
        <f>IF(SalesData[[#This Row],[Profit]]&gt;0,"Profit","Loss")</f>
        <v>Loss</v>
      </c>
      <c r="L2506" s="8">
        <f>SalesData[[#This Row],[Profit]]/SalesData[[#This Row],[Sales]]</f>
        <v>-0.23747743966421825</v>
      </c>
      <c r="M2506" t="str">
        <f>TEXT(SalesData[[#This Row],[Order_Date]],"mmm")</f>
        <v>Aug</v>
      </c>
      <c r="N2506">
        <f>YEAR(SalesData[[#This Row],[Order_Date]])</f>
        <v>2022</v>
      </c>
    </row>
    <row r="2507" spans="1:14" x14ac:dyDescent="0.3">
      <c r="A2507" t="s">
        <v>3795</v>
      </c>
      <c r="B2507" s="1">
        <v>44729</v>
      </c>
      <c r="C2507" t="s">
        <v>1677</v>
      </c>
      <c r="D2507" t="s">
        <v>40</v>
      </c>
      <c r="E2507" t="s">
        <v>56</v>
      </c>
      <c r="F2507" t="s">
        <v>73</v>
      </c>
      <c r="G2507" t="s">
        <v>1091</v>
      </c>
      <c r="H2507" s="8">
        <v>3990.3</v>
      </c>
      <c r="I2507" s="8">
        <v>472.25</v>
      </c>
      <c r="J2507" s="8">
        <v>0.25</v>
      </c>
      <c r="K2507" t="str">
        <f>IF(SalesData[[#This Row],[Profit]]&gt;0,"Profit","Loss")</f>
        <v>Profit</v>
      </c>
      <c r="L2507" s="8">
        <f>SalesData[[#This Row],[Profit]]/SalesData[[#This Row],[Sales]]</f>
        <v>0.11834949753151391</v>
      </c>
      <c r="M2507" t="str">
        <f>TEXT(SalesData[[#This Row],[Order_Date]],"mmm")</f>
        <v>Jun</v>
      </c>
      <c r="N2507">
        <f>YEAR(SalesData[[#This Row],[Order_Date]])</f>
        <v>2022</v>
      </c>
    </row>
    <row r="2508" spans="1:14" x14ac:dyDescent="0.3">
      <c r="A2508" t="s">
        <v>3796</v>
      </c>
      <c r="B2508" s="1">
        <v>44725</v>
      </c>
      <c r="C2508" t="s">
        <v>1431</v>
      </c>
      <c r="D2508" t="s">
        <v>18</v>
      </c>
      <c r="E2508" t="s">
        <v>19</v>
      </c>
      <c r="F2508" t="s">
        <v>29</v>
      </c>
      <c r="G2508" t="s">
        <v>1637</v>
      </c>
      <c r="H2508" s="8">
        <v>987.75</v>
      </c>
      <c r="I2508" s="8">
        <v>7.8</v>
      </c>
      <c r="J2508" s="8">
        <v>0.23</v>
      </c>
      <c r="K2508" t="str">
        <f>IF(SalesData[[#This Row],[Profit]]&gt;0,"Profit","Loss")</f>
        <v>Profit</v>
      </c>
      <c r="L2508" s="8">
        <f>SalesData[[#This Row],[Profit]]/SalesData[[#This Row],[Sales]]</f>
        <v>7.8967350037965067E-3</v>
      </c>
      <c r="M2508" t="str">
        <f>TEXT(SalesData[[#This Row],[Order_Date]],"mmm")</f>
        <v>Jun</v>
      </c>
      <c r="N2508">
        <f>YEAR(SalesData[[#This Row],[Order_Date]])</f>
        <v>2022</v>
      </c>
    </row>
    <row r="2509" spans="1:14" x14ac:dyDescent="0.3">
      <c r="A2509" t="s">
        <v>3797</v>
      </c>
      <c r="B2509" s="1">
        <v>44699</v>
      </c>
      <c r="C2509" t="s">
        <v>91</v>
      </c>
      <c r="D2509" t="s">
        <v>28</v>
      </c>
      <c r="E2509" t="s">
        <v>13</v>
      </c>
      <c r="F2509" t="s">
        <v>14</v>
      </c>
      <c r="G2509" t="s">
        <v>279</v>
      </c>
      <c r="H2509" s="8">
        <v>3155.68</v>
      </c>
      <c r="I2509" s="8">
        <v>-593.98</v>
      </c>
      <c r="J2509" s="8">
        <v>7.0000000000000007E-2</v>
      </c>
      <c r="K2509" t="str">
        <f>IF(SalesData[[#This Row],[Profit]]&gt;0,"Profit","Loss")</f>
        <v>Loss</v>
      </c>
      <c r="L2509" s="8">
        <f>SalesData[[#This Row],[Profit]]/SalesData[[#This Row],[Sales]]</f>
        <v>-0.18822567560715917</v>
      </c>
      <c r="M2509" t="str">
        <f>TEXT(SalesData[[#This Row],[Order_Date]],"mmm")</f>
        <v>May</v>
      </c>
      <c r="N2509">
        <f>YEAR(SalesData[[#This Row],[Order_Date]])</f>
        <v>2022</v>
      </c>
    </row>
    <row r="2510" spans="1:14" x14ac:dyDescent="0.3">
      <c r="A2510" t="s">
        <v>3798</v>
      </c>
      <c r="B2510" s="1">
        <v>44764</v>
      </c>
      <c r="C2510" t="s">
        <v>3799</v>
      </c>
      <c r="D2510" t="s">
        <v>28</v>
      </c>
      <c r="E2510" t="s">
        <v>56</v>
      </c>
      <c r="F2510" t="s">
        <v>57</v>
      </c>
      <c r="G2510" t="s">
        <v>3163</v>
      </c>
      <c r="H2510" s="8">
        <v>1101.6099999999999</v>
      </c>
      <c r="I2510" s="8">
        <v>-205.8</v>
      </c>
      <c r="J2510" s="8">
        <v>0</v>
      </c>
      <c r="K2510" t="str">
        <f>IF(SalesData[[#This Row],[Profit]]&gt;0,"Profit","Loss")</f>
        <v>Loss</v>
      </c>
      <c r="L2510" s="8">
        <f>SalesData[[#This Row],[Profit]]/SalesData[[#This Row],[Sales]]</f>
        <v>-0.18681747623932246</v>
      </c>
      <c r="M2510" t="str">
        <f>TEXT(SalesData[[#This Row],[Order_Date]],"mmm")</f>
        <v>Jul</v>
      </c>
      <c r="N2510">
        <f>YEAR(SalesData[[#This Row],[Order_Date]])</f>
        <v>2022</v>
      </c>
    </row>
    <row r="2511" spans="1:14" x14ac:dyDescent="0.3">
      <c r="A2511" t="s">
        <v>3800</v>
      </c>
      <c r="B2511" s="1">
        <v>45029</v>
      </c>
      <c r="C2511" t="s">
        <v>391</v>
      </c>
      <c r="D2511" t="s">
        <v>12</v>
      </c>
      <c r="E2511" t="s">
        <v>19</v>
      </c>
      <c r="F2511" t="s">
        <v>20</v>
      </c>
      <c r="G2511" t="s">
        <v>86</v>
      </c>
      <c r="H2511" s="8">
        <v>3696.91</v>
      </c>
      <c r="I2511" s="8">
        <v>1111.08</v>
      </c>
      <c r="J2511" s="8">
        <v>0.04</v>
      </c>
      <c r="K2511" t="str">
        <f>IF(SalesData[[#This Row],[Profit]]&gt;0,"Profit","Loss")</f>
        <v>Profit</v>
      </c>
      <c r="L2511" s="8">
        <f>SalesData[[#This Row],[Profit]]/SalesData[[#This Row],[Sales]]</f>
        <v>0.3005428858154513</v>
      </c>
      <c r="M2511" t="str">
        <f>TEXT(SalesData[[#This Row],[Order_Date]],"mmm")</f>
        <v>Apr</v>
      </c>
      <c r="N2511">
        <f>YEAR(SalesData[[#This Row],[Order_Date]])</f>
        <v>2023</v>
      </c>
    </row>
    <row r="2512" spans="1:14" x14ac:dyDescent="0.3">
      <c r="A2512" t="s">
        <v>3801</v>
      </c>
      <c r="B2512" s="1">
        <v>44884</v>
      </c>
      <c r="C2512" t="s">
        <v>1013</v>
      </c>
      <c r="D2512" t="s">
        <v>12</v>
      </c>
      <c r="E2512" t="s">
        <v>19</v>
      </c>
      <c r="F2512" t="s">
        <v>20</v>
      </c>
      <c r="G2512" t="s">
        <v>1113</v>
      </c>
      <c r="H2512" s="8">
        <v>3901.94</v>
      </c>
      <c r="I2512" s="8">
        <v>-669.48</v>
      </c>
      <c r="J2512" s="8">
        <v>0.18</v>
      </c>
      <c r="K2512" t="str">
        <f>IF(SalesData[[#This Row],[Profit]]&gt;0,"Profit","Loss")</f>
        <v>Loss</v>
      </c>
      <c r="L2512" s="8">
        <f>SalesData[[#This Row],[Profit]]/SalesData[[#This Row],[Sales]]</f>
        <v>-0.1715761903053353</v>
      </c>
      <c r="M2512" t="str">
        <f>TEXT(SalesData[[#This Row],[Order_Date]],"mmm")</f>
        <v>Nov</v>
      </c>
      <c r="N2512">
        <f>YEAR(SalesData[[#This Row],[Order_Date]])</f>
        <v>2022</v>
      </c>
    </row>
    <row r="2513" spans="1:14" x14ac:dyDescent="0.3">
      <c r="A2513" t="s">
        <v>3802</v>
      </c>
      <c r="B2513" s="1">
        <v>44739</v>
      </c>
      <c r="C2513" t="s">
        <v>799</v>
      </c>
      <c r="D2513" t="s">
        <v>40</v>
      </c>
      <c r="E2513" t="s">
        <v>19</v>
      </c>
      <c r="F2513" t="s">
        <v>141</v>
      </c>
      <c r="G2513" t="s">
        <v>575</v>
      </c>
      <c r="H2513" s="8">
        <v>1913.96</v>
      </c>
      <c r="I2513" s="8">
        <v>660.2</v>
      </c>
      <c r="J2513" s="8">
        <v>0.02</v>
      </c>
      <c r="K2513" t="str">
        <f>IF(SalesData[[#This Row],[Profit]]&gt;0,"Profit","Loss")</f>
        <v>Profit</v>
      </c>
      <c r="L2513" s="8">
        <f>SalesData[[#This Row],[Profit]]/SalesData[[#This Row],[Sales]]</f>
        <v>0.34493928817739139</v>
      </c>
      <c r="M2513" t="str">
        <f>TEXT(SalesData[[#This Row],[Order_Date]],"mmm")</f>
        <v>Jun</v>
      </c>
      <c r="N2513">
        <f>YEAR(SalesData[[#This Row],[Order_Date]])</f>
        <v>2022</v>
      </c>
    </row>
    <row r="2514" spans="1:14" x14ac:dyDescent="0.3">
      <c r="A2514" t="s">
        <v>3803</v>
      </c>
      <c r="B2514" s="1">
        <v>44696</v>
      </c>
      <c r="C2514" t="s">
        <v>1302</v>
      </c>
      <c r="D2514" t="s">
        <v>18</v>
      </c>
      <c r="E2514" t="s">
        <v>19</v>
      </c>
      <c r="F2514" t="s">
        <v>20</v>
      </c>
      <c r="G2514" t="s">
        <v>74</v>
      </c>
      <c r="H2514" s="8">
        <v>1251.44</v>
      </c>
      <c r="I2514" s="8">
        <v>200.28</v>
      </c>
      <c r="J2514" s="8">
        <v>7.0000000000000007E-2</v>
      </c>
      <c r="K2514" t="str">
        <f>IF(SalesData[[#This Row],[Profit]]&gt;0,"Profit","Loss")</f>
        <v>Profit</v>
      </c>
      <c r="L2514" s="8">
        <f>SalesData[[#This Row],[Profit]]/SalesData[[#This Row],[Sales]]</f>
        <v>0.16003963434123888</v>
      </c>
      <c r="M2514" t="str">
        <f>TEXT(SalesData[[#This Row],[Order_Date]],"mmm")</f>
        <v>May</v>
      </c>
      <c r="N2514">
        <f>YEAR(SalesData[[#This Row],[Order_Date]])</f>
        <v>2022</v>
      </c>
    </row>
    <row r="2515" spans="1:14" x14ac:dyDescent="0.3">
      <c r="A2515" t="s">
        <v>3804</v>
      </c>
      <c r="B2515" s="1">
        <v>44578</v>
      </c>
      <c r="C2515" t="s">
        <v>449</v>
      </c>
      <c r="D2515" t="s">
        <v>28</v>
      </c>
      <c r="E2515" t="s">
        <v>19</v>
      </c>
      <c r="F2515" t="s">
        <v>29</v>
      </c>
      <c r="G2515" t="s">
        <v>694</v>
      </c>
      <c r="H2515" s="8">
        <v>433.7</v>
      </c>
      <c r="I2515" s="8">
        <v>-61.19</v>
      </c>
      <c r="J2515" s="8">
        <v>0.28999999999999998</v>
      </c>
      <c r="K2515" t="str">
        <f>IF(SalesData[[#This Row],[Profit]]&gt;0,"Profit","Loss")</f>
        <v>Loss</v>
      </c>
      <c r="L2515" s="8">
        <f>SalesData[[#This Row],[Profit]]/SalesData[[#This Row],[Sales]]</f>
        <v>-0.14108830989163015</v>
      </c>
      <c r="M2515" t="str">
        <f>TEXT(SalesData[[#This Row],[Order_Date]],"mmm")</f>
        <v>Jan</v>
      </c>
      <c r="N2515">
        <f>YEAR(SalesData[[#This Row],[Order_Date]])</f>
        <v>2022</v>
      </c>
    </row>
    <row r="2516" spans="1:14" x14ac:dyDescent="0.3">
      <c r="A2516" t="s">
        <v>3805</v>
      </c>
      <c r="B2516" s="1">
        <v>44944</v>
      </c>
      <c r="C2516" t="s">
        <v>1032</v>
      </c>
      <c r="D2516" t="s">
        <v>28</v>
      </c>
      <c r="E2516" t="s">
        <v>56</v>
      </c>
      <c r="F2516" t="s">
        <v>57</v>
      </c>
      <c r="G2516" t="s">
        <v>891</v>
      </c>
      <c r="H2516" s="8">
        <v>3343.4</v>
      </c>
      <c r="I2516" s="8">
        <v>-697.86</v>
      </c>
      <c r="J2516" s="8">
        <v>0.04</v>
      </c>
      <c r="K2516" t="str">
        <f>IF(SalesData[[#This Row],[Profit]]&gt;0,"Profit","Loss")</f>
        <v>Loss</v>
      </c>
      <c r="L2516" s="8">
        <f>SalesData[[#This Row],[Profit]]/SalesData[[#This Row],[Sales]]</f>
        <v>-0.20872764251959083</v>
      </c>
      <c r="M2516" t="str">
        <f>TEXT(SalesData[[#This Row],[Order_Date]],"mmm")</f>
        <v>Jan</v>
      </c>
      <c r="N2516">
        <f>YEAR(SalesData[[#This Row],[Order_Date]])</f>
        <v>2023</v>
      </c>
    </row>
    <row r="2517" spans="1:14" x14ac:dyDescent="0.3">
      <c r="A2517" t="s">
        <v>3806</v>
      </c>
      <c r="B2517" s="1">
        <v>45035</v>
      </c>
      <c r="C2517" t="s">
        <v>2843</v>
      </c>
      <c r="D2517" t="s">
        <v>12</v>
      </c>
      <c r="E2517" t="s">
        <v>13</v>
      </c>
      <c r="F2517" t="s">
        <v>36</v>
      </c>
      <c r="G2517" t="s">
        <v>395</v>
      </c>
      <c r="H2517" s="8">
        <v>4589.83</v>
      </c>
      <c r="I2517" s="8">
        <v>1146.81</v>
      </c>
      <c r="J2517" s="8">
        <v>0.08</v>
      </c>
      <c r="K2517" t="str">
        <f>IF(SalesData[[#This Row],[Profit]]&gt;0,"Profit","Loss")</f>
        <v>Profit</v>
      </c>
      <c r="L2517" s="8">
        <f>SalesData[[#This Row],[Profit]]/SalesData[[#This Row],[Sales]]</f>
        <v>0.24985892723695649</v>
      </c>
      <c r="M2517" t="str">
        <f>TEXT(SalesData[[#This Row],[Order_Date]],"mmm")</f>
        <v>Apr</v>
      </c>
      <c r="N2517">
        <f>YEAR(SalesData[[#This Row],[Order_Date]])</f>
        <v>2023</v>
      </c>
    </row>
    <row r="2518" spans="1:14" x14ac:dyDescent="0.3">
      <c r="A2518" t="s">
        <v>3807</v>
      </c>
      <c r="B2518" s="1">
        <v>44985</v>
      </c>
      <c r="C2518" t="s">
        <v>250</v>
      </c>
      <c r="D2518" t="s">
        <v>18</v>
      </c>
      <c r="E2518" t="s">
        <v>19</v>
      </c>
      <c r="F2518" t="s">
        <v>141</v>
      </c>
      <c r="G2518" t="s">
        <v>157</v>
      </c>
      <c r="H2518" s="8">
        <v>3216.71</v>
      </c>
      <c r="I2518" s="8">
        <v>466.11</v>
      </c>
      <c r="J2518" s="8">
        <v>0.15</v>
      </c>
      <c r="K2518" t="str">
        <f>IF(SalesData[[#This Row],[Profit]]&gt;0,"Profit","Loss")</f>
        <v>Profit</v>
      </c>
      <c r="L2518" s="8">
        <f>SalesData[[#This Row],[Profit]]/SalesData[[#This Row],[Sales]]</f>
        <v>0.14490271115518652</v>
      </c>
      <c r="M2518" t="str">
        <f>TEXT(SalesData[[#This Row],[Order_Date]],"mmm")</f>
        <v>Feb</v>
      </c>
      <c r="N2518">
        <f>YEAR(SalesData[[#This Row],[Order_Date]])</f>
        <v>2023</v>
      </c>
    </row>
    <row r="2519" spans="1:14" x14ac:dyDescent="0.3">
      <c r="A2519" t="s">
        <v>3808</v>
      </c>
      <c r="B2519" s="1">
        <v>45013</v>
      </c>
      <c r="C2519" t="s">
        <v>1259</v>
      </c>
      <c r="D2519" t="s">
        <v>28</v>
      </c>
      <c r="E2519" t="s">
        <v>19</v>
      </c>
      <c r="F2519" t="s">
        <v>20</v>
      </c>
      <c r="G2519" t="s">
        <v>1434</v>
      </c>
      <c r="H2519" s="8">
        <v>1992.95</v>
      </c>
      <c r="I2519" s="8">
        <v>-505.34</v>
      </c>
      <c r="J2519" s="8">
        <v>0.19</v>
      </c>
      <c r="K2519" t="str">
        <f>IF(SalesData[[#This Row],[Profit]]&gt;0,"Profit","Loss")</f>
        <v>Loss</v>
      </c>
      <c r="L2519" s="8">
        <f>SalesData[[#This Row],[Profit]]/SalesData[[#This Row],[Sales]]</f>
        <v>-0.2535638124388469</v>
      </c>
      <c r="M2519" t="str">
        <f>TEXT(SalesData[[#This Row],[Order_Date]],"mmm")</f>
        <v>Mar</v>
      </c>
      <c r="N2519">
        <f>YEAR(SalesData[[#This Row],[Order_Date]])</f>
        <v>2023</v>
      </c>
    </row>
    <row r="2520" spans="1:14" x14ac:dyDescent="0.3">
      <c r="A2520" t="s">
        <v>3809</v>
      </c>
      <c r="B2520" s="1">
        <v>44886</v>
      </c>
      <c r="C2520" t="s">
        <v>1671</v>
      </c>
      <c r="D2520" t="s">
        <v>12</v>
      </c>
      <c r="E2520" t="s">
        <v>56</v>
      </c>
      <c r="F2520" t="s">
        <v>95</v>
      </c>
      <c r="G2520" t="s">
        <v>1191</v>
      </c>
      <c r="H2520" s="8">
        <v>2578.37</v>
      </c>
      <c r="I2520" s="8">
        <v>-959.34</v>
      </c>
      <c r="J2520" s="8">
        <v>0.28000000000000003</v>
      </c>
      <c r="K2520" t="str">
        <f>IF(SalesData[[#This Row],[Profit]]&gt;0,"Profit","Loss")</f>
        <v>Loss</v>
      </c>
      <c r="L2520" s="8">
        <f>SalesData[[#This Row],[Profit]]/SalesData[[#This Row],[Sales]]</f>
        <v>-0.37207227822228778</v>
      </c>
      <c r="M2520" t="str">
        <f>TEXT(SalesData[[#This Row],[Order_Date]],"mmm")</f>
        <v>Nov</v>
      </c>
      <c r="N2520">
        <f>YEAR(SalesData[[#This Row],[Order_Date]])</f>
        <v>2022</v>
      </c>
    </row>
    <row r="2521" spans="1:14" x14ac:dyDescent="0.3">
      <c r="A2521" t="s">
        <v>3810</v>
      </c>
      <c r="B2521" s="1">
        <v>45291</v>
      </c>
      <c r="C2521" t="s">
        <v>373</v>
      </c>
      <c r="D2521" t="s">
        <v>18</v>
      </c>
      <c r="E2521" t="s">
        <v>13</v>
      </c>
      <c r="F2521" t="s">
        <v>24</v>
      </c>
      <c r="G2521" t="s">
        <v>1140</v>
      </c>
      <c r="H2521" s="8">
        <v>1781.89</v>
      </c>
      <c r="I2521" s="8">
        <v>0.47</v>
      </c>
      <c r="J2521" s="8">
        <v>0.12</v>
      </c>
      <c r="K2521" t="str">
        <f>IF(SalesData[[#This Row],[Profit]]&gt;0,"Profit","Loss")</f>
        <v>Profit</v>
      </c>
      <c r="L2521" s="8">
        <f>SalesData[[#This Row],[Profit]]/SalesData[[#This Row],[Sales]]</f>
        <v>2.6376487886457632E-4</v>
      </c>
      <c r="M2521" t="str">
        <f>TEXT(SalesData[[#This Row],[Order_Date]],"mmm")</f>
        <v>Dec</v>
      </c>
      <c r="N2521">
        <f>YEAR(SalesData[[#This Row],[Order_Date]])</f>
        <v>2023</v>
      </c>
    </row>
    <row r="2522" spans="1:14" x14ac:dyDescent="0.3">
      <c r="A2522" t="s">
        <v>3811</v>
      </c>
      <c r="B2522" s="1">
        <v>44640</v>
      </c>
      <c r="C2522" t="s">
        <v>2703</v>
      </c>
      <c r="D2522" t="s">
        <v>12</v>
      </c>
      <c r="E2522" t="s">
        <v>56</v>
      </c>
      <c r="F2522" t="s">
        <v>95</v>
      </c>
      <c r="G2522" t="s">
        <v>525</v>
      </c>
      <c r="H2522" s="8">
        <v>1320.61</v>
      </c>
      <c r="I2522" s="8">
        <v>110.99</v>
      </c>
      <c r="J2522" s="8">
        <v>0.06</v>
      </c>
      <c r="K2522" t="str">
        <f>IF(SalesData[[#This Row],[Profit]]&gt;0,"Profit","Loss")</f>
        <v>Profit</v>
      </c>
      <c r="L2522" s="8">
        <f>SalesData[[#This Row],[Profit]]/SalesData[[#This Row],[Sales]]</f>
        <v>8.404449458962146E-2</v>
      </c>
      <c r="M2522" t="str">
        <f>TEXT(SalesData[[#This Row],[Order_Date]],"mmm")</f>
        <v>Mar</v>
      </c>
      <c r="N2522">
        <f>YEAR(SalesData[[#This Row],[Order_Date]])</f>
        <v>2022</v>
      </c>
    </row>
    <row r="2523" spans="1:14" x14ac:dyDescent="0.3">
      <c r="A2523" t="s">
        <v>3812</v>
      </c>
      <c r="B2523" s="1">
        <v>45087</v>
      </c>
      <c r="C2523" t="s">
        <v>2924</v>
      </c>
      <c r="D2523" t="s">
        <v>18</v>
      </c>
      <c r="E2523" t="s">
        <v>56</v>
      </c>
      <c r="F2523" t="s">
        <v>57</v>
      </c>
      <c r="G2523" t="s">
        <v>942</v>
      </c>
      <c r="H2523" s="8">
        <v>4898.7</v>
      </c>
      <c r="I2523" s="8">
        <v>170.15</v>
      </c>
      <c r="J2523" s="8">
        <v>0.04</v>
      </c>
      <c r="K2523" t="str">
        <f>IF(SalesData[[#This Row],[Profit]]&gt;0,"Profit","Loss")</f>
        <v>Profit</v>
      </c>
      <c r="L2523" s="8">
        <f>SalesData[[#This Row],[Profit]]/SalesData[[#This Row],[Sales]]</f>
        <v>3.473370486047319E-2</v>
      </c>
      <c r="M2523" t="str">
        <f>TEXT(SalesData[[#This Row],[Order_Date]],"mmm")</f>
        <v>Jun</v>
      </c>
      <c r="N2523">
        <f>YEAR(SalesData[[#This Row],[Order_Date]])</f>
        <v>2023</v>
      </c>
    </row>
    <row r="2524" spans="1:14" x14ac:dyDescent="0.3">
      <c r="A2524" t="s">
        <v>3813</v>
      </c>
      <c r="B2524" s="1">
        <v>44613</v>
      </c>
      <c r="C2524" t="s">
        <v>1976</v>
      </c>
      <c r="D2524" t="s">
        <v>12</v>
      </c>
      <c r="E2524" t="s">
        <v>19</v>
      </c>
      <c r="F2524" t="s">
        <v>141</v>
      </c>
      <c r="G2524" t="s">
        <v>41</v>
      </c>
      <c r="H2524" s="8">
        <v>2808.71</v>
      </c>
      <c r="I2524" s="8">
        <v>15.86</v>
      </c>
      <c r="J2524" s="8">
        <v>0.24</v>
      </c>
      <c r="K2524" t="str">
        <f>IF(SalesData[[#This Row],[Profit]]&gt;0,"Profit","Loss")</f>
        <v>Profit</v>
      </c>
      <c r="L2524" s="8">
        <f>SalesData[[#This Row],[Profit]]/SalesData[[#This Row],[Sales]]</f>
        <v>5.6467203805305637E-3</v>
      </c>
      <c r="M2524" t="str">
        <f>TEXT(SalesData[[#This Row],[Order_Date]],"mmm")</f>
        <v>Feb</v>
      </c>
      <c r="N2524">
        <f>YEAR(SalesData[[#This Row],[Order_Date]])</f>
        <v>2022</v>
      </c>
    </row>
    <row r="2525" spans="1:14" x14ac:dyDescent="0.3">
      <c r="A2525" t="s">
        <v>3814</v>
      </c>
      <c r="B2525" s="1">
        <v>44792</v>
      </c>
      <c r="C2525" t="s">
        <v>1336</v>
      </c>
      <c r="D2525" t="s">
        <v>18</v>
      </c>
      <c r="E2525" t="s">
        <v>56</v>
      </c>
      <c r="F2525" t="s">
        <v>95</v>
      </c>
      <c r="G2525" t="s">
        <v>271</v>
      </c>
      <c r="H2525" s="8">
        <v>1527.61</v>
      </c>
      <c r="I2525" s="8">
        <v>255.98</v>
      </c>
      <c r="J2525" s="8">
        <v>0.01</v>
      </c>
      <c r="K2525" t="str">
        <f>IF(SalesData[[#This Row],[Profit]]&gt;0,"Profit","Loss")</f>
        <v>Profit</v>
      </c>
      <c r="L2525" s="8">
        <f>SalesData[[#This Row],[Profit]]/SalesData[[#This Row],[Sales]]</f>
        <v>0.16756894757169696</v>
      </c>
      <c r="M2525" t="str">
        <f>TEXT(SalesData[[#This Row],[Order_Date]],"mmm")</f>
        <v>Aug</v>
      </c>
      <c r="N2525">
        <f>YEAR(SalesData[[#This Row],[Order_Date]])</f>
        <v>2022</v>
      </c>
    </row>
    <row r="2526" spans="1:14" x14ac:dyDescent="0.3">
      <c r="A2526" t="s">
        <v>3815</v>
      </c>
      <c r="B2526" s="1">
        <v>44744</v>
      </c>
      <c r="C2526" t="s">
        <v>1336</v>
      </c>
      <c r="D2526" t="s">
        <v>40</v>
      </c>
      <c r="E2526" t="s">
        <v>56</v>
      </c>
      <c r="F2526" t="s">
        <v>73</v>
      </c>
      <c r="G2526" t="s">
        <v>853</v>
      </c>
      <c r="H2526" s="8">
        <v>4860.96</v>
      </c>
      <c r="I2526" s="8">
        <v>129.63</v>
      </c>
      <c r="J2526" s="8">
        <v>0.19</v>
      </c>
      <c r="K2526" t="str">
        <f>IF(SalesData[[#This Row],[Profit]]&gt;0,"Profit","Loss")</f>
        <v>Profit</v>
      </c>
      <c r="L2526" s="8">
        <f>SalesData[[#This Row],[Profit]]/SalesData[[#This Row],[Sales]]</f>
        <v>2.6667571837661695E-2</v>
      </c>
      <c r="M2526" t="str">
        <f>TEXT(SalesData[[#This Row],[Order_Date]],"mmm")</f>
        <v>Jul</v>
      </c>
      <c r="N2526">
        <f>YEAR(SalesData[[#This Row],[Order_Date]])</f>
        <v>2022</v>
      </c>
    </row>
    <row r="2527" spans="1:14" x14ac:dyDescent="0.3">
      <c r="A2527" t="s">
        <v>3816</v>
      </c>
      <c r="B2527" s="1">
        <v>44959</v>
      </c>
      <c r="C2527" t="s">
        <v>2840</v>
      </c>
      <c r="D2527" t="s">
        <v>40</v>
      </c>
      <c r="E2527" t="s">
        <v>56</v>
      </c>
      <c r="F2527" t="s">
        <v>95</v>
      </c>
      <c r="G2527" t="s">
        <v>105</v>
      </c>
      <c r="H2527" s="8">
        <v>599.91999999999996</v>
      </c>
      <c r="I2527" s="8">
        <v>175.89</v>
      </c>
      <c r="J2527" s="8">
        <v>0.05</v>
      </c>
      <c r="K2527" t="str">
        <f>IF(SalesData[[#This Row],[Profit]]&gt;0,"Profit","Loss")</f>
        <v>Profit</v>
      </c>
      <c r="L2527" s="8">
        <f>SalesData[[#This Row],[Profit]]/SalesData[[#This Row],[Sales]]</f>
        <v>0.29318909187891717</v>
      </c>
      <c r="M2527" t="str">
        <f>TEXT(SalesData[[#This Row],[Order_Date]],"mmm")</f>
        <v>Feb</v>
      </c>
      <c r="N2527">
        <f>YEAR(SalesData[[#This Row],[Order_Date]])</f>
        <v>2023</v>
      </c>
    </row>
    <row r="2528" spans="1:14" x14ac:dyDescent="0.3">
      <c r="A2528" t="s">
        <v>3817</v>
      </c>
      <c r="B2528" s="1">
        <v>44858</v>
      </c>
      <c r="C2528" t="s">
        <v>1098</v>
      </c>
      <c r="D2528" t="s">
        <v>18</v>
      </c>
      <c r="E2528" t="s">
        <v>56</v>
      </c>
      <c r="F2528" t="s">
        <v>73</v>
      </c>
      <c r="G2528" t="s">
        <v>67</v>
      </c>
      <c r="H2528" s="8">
        <v>2326.58</v>
      </c>
      <c r="I2528" s="8">
        <v>-78.099999999999994</v>
      </c>
      <c r="J2528" s="8">
        <v>0.05</v>
      </c>
      <c r="K2528" t="str">
        <f>IF(SalesData[[#This Row],[Profit]]&gt;0,"Profit","Loss")</f>
        <v>Loss</v>
      </c>
      <c r="L2528" s="8">
        <f>SalesData[[#This Row],[Profit]]/SalesData[[#This Row],[Sales]]</f>
        <v>-3.3568585649322177E-2</v>
      </c>
      <c r="M2528" t="str">
        <f>TEXT(SalesData[[#This Row],[Order_Date]],"mmm")</f>
        <v>Oct</v>
      </c>
      <c r="N2528">
        <f>YEAR(SalesData[[#This Row],[Order_Date]])</f>
        <v>2022</v>
      </c>
    </row>
    <row r="2529" spans="1:14" x14ac:dyDescent="0.3">
      <c r="A2529" t="s">
        <v>3818</v>
      </c>
      <c r="B2529" s="1">
        <v>45167</v>
      </c>
      <c r="C2529" t="s">
        <v>1108</v>
      </c>
      <c r="D2529" t="s">
        <v>28</v>
      </c>
      <c r="E2529" t="s">
        <v>19</v>
      </c>
      <c r="F2529" t="s">
        <v>20</v>
      </c>
      <c r="G2529" t="s">
        <v>119</v>
      </c>
      <c r="H2529" s="8">
        <v>1946.73</v>
      </c>
      <c r="I2529" s="8">
        <v>363.15</v>
      </c>
      <c r="J2529" s="8">
        <v>0.1</v>
      </c>
      <c r="K2529" t="str">
        <f>IF(SalesData[[#This Row],[Profit]]&gt;0,"Profit","Loss")</f>
        <v>Profit</v>
      </c>
      <c r="L2529" s="8">
        <f>SalesData[[#This Row],[Profit]]/SalesData[[#This Row],[Sales]]</f>
        <v>0.18654358847914193</v>
      </c>
      <c r="M2529" t="str">
        <f>TEXT(SalesData[[#This Row],[Order_Date]],"mmm")</f>
        <v>Aug</v>
      </c>
      <c r="N2529">
        <f>YEAR(SalesData[[#This Row],[Order_Date]])</f>
        <v>2023</v>
      </c>
    </row>
    <row r="2530" spans="1:14" x14ac:dyDescent="0.3">
      <c r="A2530" t="s">
        <v>3819</v>
      </c>
      <c r="B2530" s="1">
        <v>44762</v>
      </c>
      <c r="C2530" t="s">
        <v>3092</v>
      </c>
      <c r="D2530" t="s">
        <v>40</v>
      </c>
      <c r="E2530" t="s">
        <v>56</v>
      </c>
      <c r="F2530" t="s">
        <v>57</v>
      </c>
      <c r="G2530" t="s">
        <v>2278</v>
      </c>
      <c r="H2530" s="8">
        <v>3726.19</v>
      </c>
      <c r="I2530" s="8">
        <v>461.11</v>
      </c>
      <c r="J2530" s="8">
        <v>0</v>
      </c>
      <c r="K2530" t="str">
        <f>IF(SalesData[[#This Row],[Profit]]&gt;0,"Profit","Loss")</f>
        <v>Profit</v>
      </c>
      <c r="L2530" s="8">
        <f>SalesData[[#This Row],[Profit]]/SalesData[[#This Row],[Sales]]</f>
        <v>0.12374838642151903</v>
      </c>
      <c r="M2530" t="str">
        <f>TEXT(SalesData[[#This Row],[Order_Date]],"mmm")</f>
        <v>Jul</v>
      </c>
      <c r="N2530">
        <f>YEAR(SalesData[[#This Row],[Order_Date]])</f>
        <v>2022</v>
      </c>
    </row>
    <row r="2531" spans="1:14" x14ac:dyDescent="0.3">
      <c r="A2531" t="s">
        <v>3820</v>
      </c>
      <c r="B2531" s="1">
        <v>45093</v>
      </c>
      <c r="C2531" t="s">
        <v>978</v>
      </c>
      <c r="D2531" t="s">
        <v>40</v>
      </c>
      <c r="E2531" t="s">
        <v>19</v>
      </c>
      <c r="F2531" t="s">
        <v>29</v>
      </c>
      <c r="G2531" t="s">
        <v>1234</v>
      </c>
      <c r="H2531" s="8">
        <v>4398.32</v>
      </c>
      <c r="I2531" s="8">
        <v>-1175.06</v>
      </c>
      <c r="J2531" s="8">
        <v>0.25</v>
      </c>
      <c r="K2531" t="str">
        <f>IF(SalesData[[#This Row],[Profit]]&gt;0,"Profit","Loss")</f>
        <v>Loss</v>
      </c>
      <c r="L2531" s="8">
        <f>SalesData[[#This Row],[Profit]]/SalesData[[#This Row],[Sales]]</f>
        <v>-0.2671610978737336</v>
      </c>
      <c r="M2531" t="str">
        <f>TEXT(SalesData[[#This Row],[Order_Date]],"mmm")</f>
        <v>Jun</v>
      </c>
      <c r="N2531">
        <f>YEAR(SalesData[[#This Row],[Order_Date]])</f>
        <v>2023</v>
      </c>
    </row>
    <row r="2532" spans="1:14" x14ac:dyDescent="0.3">
      <c r="A2532" t="s">
        <v>3821</v>
      </c>
      <c r="B2532" s="1">
        <v>45190</v>
      </c>
      <c r="C2532" t="s">
        <v>43</v>
      </c>
      <c r="D2532" t="s">
        <v>28</v>
      </c>
      <c r="E2532" t="s">
        <v>19</v>
      </c>
      <c r="F2532" t="s">
        <v>29</v>
      </c>
      <c r="G2532" t="s">
        <v>1459</v>
      </c>
      <c r="H2532" s="8">
        <v>201.97</v>
      </c>
      <c r="I2532" s="8">
        <v>53.75</v>
      </c>
      <c r="J2532" s="8">
        <v>0.05</v>
      </c>
      <c r="K2532" t="str">
        <f>IF(SalesData[[#This Row],[Profit]]&gt;0,"Profit","Loss")</f>
        <v>Profit</v>
      </c>
      <c r="L2532" s="8">
        <f>SalesData[[#This Row],[Profit]]/SalesData[[#This Row],[Sales]]</f>
        <v>0.26612863296529188</v>
      </c>
      <c r="M2532" t="str">
        <f>TEXT(SalesData[[#This Row],[Order_Date]],"mmm")</f>
        <v>Sep</v>
      </c>
      <c r="N2532">
        <f>YEAR(SalesData[[#This Row],[Order_Date]])</f>
        <v>2023</v>
      </c>
    </row>
    <row r="2533" spans="1:14" x14ac:dyDescent="0.3">
      <c r="A2533" t="s">
        <v>3822</v>
      </c>
      <c r="B2533" s="1">
        <v>44756</v>
      </c>
      <c r="C2533" t="s">
        <v>3569</v>
      </c>
      <c r="D2533" t="s">
        <v>28</v>
      </c>
      <c r="E2533" t="s">
        <v>13</v>
      </c>
      <c r="F2533" t="s">
        <v>24</v>
      </c>
      <c r="G2533" t="s">
        <v>1875</v>
      </c>
      <c r="H2533" s="8">
        <v>1811.87</v>
      </c>
      <c r="I2533" s="8">
        <v>262.67</v>
      </c>
      <c r="J2533" s="8">
        <v>0.18</v>
      </c>
      <c r="K2533" t="str">
        <f>IF(SalesData[[#This Row],[Profit]]&gt;0,"Profit","Loss")</f>
        <v>Profit</v>
      </c>
      <c r="L2533" s="8">
        <f>SalesData[[#This Row],[Profit]]/SalesData[[#This Row],[Sales]]</f>
        <v>0.14497176949781168</v>
      </c>
      <c r="M2533" t="str">
        <f>TEXT(SalesData[[#This Row],[Order_Date]],"mmm")</f>
        <v>Jul</v>
      </c>
      <c r="N2533">
        <f>YEAR(SalesData[[#This Row],[Order_Date]])</f>
        <v>2022</v>
      </c>
    </row>
    <row r="2534" spans="1:14" x14ac:dyDescent="0.3">
      <c r="A2534" t="s">
        <v>3823</v>
      </c>
      <c r="B2534" s="1">
        <v>45235</v>
      </c>
      <c r="C2534" t="s">
        <v>913</v>
      </c>
      <c r="D2534" t="s">
        <v>18</v>
      </c>
      <c r="E2534" t="s">
        <v>19</v>
      </c>
      <c r="F2534" t="s">
        <v>141</v>
      </c>
      <c r="G2534" t="s">
        <v>291</v>
      </c>
      <c r="H2534" s="8">
        <v>3539.75</v>
      </c>
      <c r="I2534" s="8">
        <v>22.24</v>
      </c>
      <c r="J2534" s="8">
        <v>0.05</v>
      </c>
      <c r="K2534" t="str">
        <f>IF(SalesData[[#This Row],[Profit]]&gt;0,"Profit","Loss")</f>
        <v>Profit</v>
      </c>
      <c r="L2534" s="8">
        <f>SalesData[[#This Row],[Profit]]/SalesData[[#This Row],[Sales]]</f>
        <v>6.2829295854226986E-3</v>
      </c>
      <c r="M2534" t="str">
        <f>TEXT(SalesData[[#This Row],[Order_Date]],"mmm")</f>
        <v>Nov</v>
      </c>
      <c r="N2534">
        <f>YEAR(SalesData[[#This Row],[Order_Date]])</f>
        <v>2023</v>
      </c>
    </row>
    <row r="2535" spans="1:14" x14ac:dyDescent="0.3">
      <c r="A2535" t="s">
        <v>3824</v>
      </c>
      <c r="B2535" s="1">
        <v>45071</v>
      </c>
      <c r="C2535" t="s">
        <v>3198</v>
      </c>
      <c r="D2535" t="s">
        <v>40</v>
      </c>
      <c r="E2535" t="s">
        <v>13</v>
      </c>
      <c r="F2535" t="s">
        <v>24</v>
      </c>
      <c r="G2535" t="s">
        <v>608</v>
      </c>
      <c r="H2535" s="8">
        <v>1651.01</v>
      </c>
      <c r="I2535" s="8">
        <v>-262.52</v>
      </c>
      <c r="J2535" s="8">
        <v>7.0000000000000007E-2</v>
      </c>
      <c r="K2535" t="str">
        <f>IF(SalesData[[#This Row],[Profit]]&gt;0,"Profit","Loss")</f>
        <v>Loss</v>
      </c>
      <c r="L2535" s="8">
        <f>SalesData[[#This Row],[Profit]]/SalesData[[#This Row],[Sales]]</f>
        <v>-0.15900569954149277</v>
      </c>
      <c r="M2535" t="str">
        <f>TEXT(SalesData[[#This Row],[Order_Date]],"mmm")</f>
        <v>May</v>
      </c>
      <c r="N2535">
        <f>YEAR(SalesData[[#This Row],[Order_Date]])</f>
        <v>2023</v>
      </c>
    </row>
    <row r="2536" spans="1:14" x14ac:dyDescent="0.3">
      <c r="A2536" t="s">
        <v>3825</v>
      </c>
      <c r="B2536" s="1">
        <v>44644</v>
      </c>
      <c r="C2536" t="s">
        <v>3511</v>
      </c>
      <c r="D2536" t="s">
        <v>40</v>
      </c>
      <c r="E2536" t="s">
        <v>56</v>
      </c>
      <c r="F2536" t="s">
        <v>57</v>
      </c>
      <c r="G2536" t="s">
        <v>3526</v>
      </c>
      <c r="H2536" s="8">
        <v>4569.04</v>
      </c>
      <c r="I2536" s="8">
        <v>-1642.47</v>
      </c>
      <c r="J2536" s="8">
        <v>0.17</v>
      </c>
      <c r="K2536" t="str">
        <f>IF(SalesData[[#This Row],[Profit]]&gt;0,"Profit","Loss")</f>
        <v>Loss</v>
      </c>
      <c r="L2536" s="8">
        <f>SalesData[[#This Row],[Profit]]/SalesData[[#This Row],[Sales]]</f>
        <v>-0.35947813982806015</v>
      </c>
      <c r="M2536" t="str">
        <f>TEXT(SalesData[[#This Row],[Order_Date]],"mmm")</f>
        <v>Mar</v>
      </c>
      <c r="N2536">
        <f>YEAR(SalesData[[#This Row],[Order_Date]])</f>
        <v>2022</v>
      </c>
    </row>
    <row r="2537" spans="1:14" x14ac:dyDescent="0.3">
      <c r="A2537" t="s">
        <v>3826</v>
      </c>
      <c r="B2537" s="1">
        <v>45148</v>
      </c>
      <c r="C2537" t="s">
        <v>839</v>
      </c>
      <c r="D2537" t="s">
        <v>18</v>
      </c>
      <c r="E2537" t="s">
        <v>56</v>
      </c>
      <c r="F2537" t="s">
        <v>57</v>
      </c>
      <c r="G2537" t="s">
        <v>214</v>
      </c>
      <c r="H2537" s="8">
        <v>4066.65</v>
      </c>
      <c r="I2537" s="8">
        <v>620.04999999999995</v>
      </c>
      <c r="J2537" s="8">
        <v>0.04</v>
      </c>
      <c r="K2537" t="str">
        <f>IF(SalesData[[#This Row],[Profit]]&gt;0,"Profit","Loss")</f>
        <v>Profit</v>
      </c>
      <c r="L2537" s="8">
        <f>SalesData[[#This Row],[Profit]]/SalesData[[#This Row],[Sales]]</f>
        <v>0.15247193636039491</v>
      </c>
      <c r="M2537" t="str">
        <f>TEXT(SalesData[[#This Row],[Order_Date]],"mmm")</f>
        <v>Aug</v>
      </c>
      <c r="N2537">
        <f>YEAR(SalesData[[#This Row],[Order_Date]])</f>
        <v>2023</v>
      </c>
    </row>
    <row r="2538" spans="1:14" x14ac:dyDescent="0.3">
      <c r="A2538" t="s">
        <v>3827</v>
      </c>
      <c r="B2538" s="1">
        <v>44982</v>
      </c>
      <c r="C2538" t="s">
        <v>2318</v>
      </c>
      <c r="D2538" t="s">
        <v>12</v>
      </c>
      <c r="E2538" t="s">
        <v>13</v>
      </c>
      <c r="F2538" t="s">
        <v>36</v>
      </c>
      <c r="G2538" t="s">
        <v>214</v>
      </c>
      <c r="H2538" s="8">
        <v>673.43</v>
      </c>
      <c r="I2538" s="8">
        <v>147.35</v>
      </c>
      <c r="J2538" s="8">
        <v>0.1</v>
      </c>
      <c r="K2538" t="str">
        <f>IF(SalesData[[#This Row],[Profit]]&gt;0,"Profit","Loss")</f>
        <v>Profit</v>
      </c>
      <c r="L2538" s="8">
        <f>SalesData[[#This Row],[Profit]]/SalesData[[#This Row],[Sales]]</f>
        <v>0.21880522103262404</v>
      </c>
      <c r="M2538" t="str">
        <f>TEXT(SalesData[[#This Row],[Order_Date]],"mmm")</f>
        <v>Feb</v>
      </c>
      <c r="N2538">
        <f>YEAR(SalesData[[#This Row],[Order_Date]])</f>
        <v>2023</v>
      </c>
    </row>
    <row r="2539" spans="1:14" x14ac:dyDescent="0.3">
      <c r="A2539" t="s">
        <v>3828</v>
      </c>
      <c r="B2539" s="1">
        <v>44800</v>
      </c>
      <c r="C2539" t="s">
        <v>484</v>
      </c>
      <c r="D2539" t="s">
        <v>18</v>
      </c>
      <c r="E2539" t="s">
        <v>13</v>
      </c>
      <c r="F2539" t="s">
        <v>36</v>
      </c>
      <c r="G2539" t="s">
        <v>1007</v>
      </c>
      <c r="H2539" s="8">
        <v>1647.44</v>
      </c>
      <c r="I2539" s="8">
        <v>-84.12</v>
      </c>
      <c r="J2539" s="8">
        <v>0.2</v>
      </c>
      <c r="K2539" t="str">
        <f>IF(SalesData[[#This Row],[Profit]]&gt;0,"Profit","Loss")</f>
        <v>Loss</v>
      </c>
      <c r="L2539" s="8">
        <f>SalesData[[#This Row],[Profit]]/SalesData[[#This Row],[Sales]]</f>
        <v>-5.1061040159277427E-2</v>
      </c>
      <c r="M2539" t="str">
        <f>TEXT(SalesData[[#This Row],[Order_Date]],"mmm")</f>
        <v>Aug</v>
      </c>
      <c r="N2539">
        <f>YEAR(SalesData[[#This Row],[Order_Date]])</f>
        <v>2022</v>
      </c>
    </row>
    <row r="2540" spans="1:14" x14ac:dyDescent="0.3">
      <c r="A2540" t="s">
        <v>3829</v>
      </c>
      <c r="B2540" s="1">
        <v>45199</v>
      </c>
      <c r="C2540" t="s">
        <v>1486</v>
      </c>
      <c r="D2540" t="s">
        <v>40</v>
      </c>
      <c r="E2540" t="s">
        <v>13</v>
      </c>
      <c r="F2540" t="s">
        <v>24</v>
      </c>
      <c r="G2540" t="s">
        <v>181</v>
      </c>
      <c r="H2540" s="8">
        <v>4080.58</v>
      </c>
      <c r="I2540" s="8">
        <v>-1169.43</v>
      </c>
      <c r="J2540" s="8">
        <v>0.19</v>
      </c>
      <c r="K2540" t="str">
        <f>IF(SalesData[[#This Row],[Profit]]&gt;0,"Profit","Loss")</f>
        <v>Loss</v>
      </c>
      <c r="L2540" s="8">
        <f>SalesData[[#This Row],[Profit]]/SalesData[[#This Row],[Sales]]</f>
        <v>-0.28658426008067484</v>
      </c>
      <c r="M2540" t="str">
        <f>TEXT(SalesData[[#This Row],[Order_Date]],"mmm")</f>
        <v>Sep</v>
      </c>
      <c r="N2540">
        <f>YEAR(SalesData[[#This Row],[Order_Date]])</f>
        <v>2023</v>
      </c>
    </row>
    <row r="2541" spans="1:14" x14ac:dyDescent="0.3">
      <c r="A2541" t="s">
        <v>3830</v>
      </c>
      <c r="B2541" s="1">
        <v>45200</v>
      </c>
      <c r="C2541" t="s">
        <v>3831</v>
      </c>
      <c r="D2541" t="s">
        <v>12</v>
      </c>
      <c r="E2541" t="s">
        <v>56</v>
      </c>
      <c r="F2541" t="s">
        <v>57</v>
      </c>
      <c r="G2541" t="s">
        <v>528</v>
      </c>
      <c r="H2541" s="8">
        <v>2214.1799999999998</v>
      </c>
      <c r="I2541" s="8">
        <v>394.01</v>
      </c>
      <c r="J2541" s="8">
        <v>0.02</v>
      </c>
      <c r="K2541" t="str">
        <f>IF(SalesData[[#This Row],[Profit]]&gt;0,"Profit","Loss")</f>
        <v>Profit</v>
      </c>
      <c r="L2541" s="8">
        <f>SalesData[[#This Row],[Profit]]/SalesData[[#This Row],[Sales]]</f>
        <v>0.17794849560559667</v>
      </c>
      <c r="M2541" t="str">
        <f>TEXT(SalesData[[#This Row],[Order_Date]],"mmm")</f>
        <v>Oct</v>
      </c>
      <c r="N2541">
        <f>YEAR(SalesData[[#This Row],[Order_Date]])</f>
        <v>2023</v>
      </c>
    </row>
    <row r="2542" spans="1:14" x14ac:dyDescent="0.3">
      <c r="A2542" t="s">
        <v>3832</v>
      </c>
      <c r="B2542" s="1">
        <v>44790</v>
      </c>
      <c r="C2542" t="s">
        <v>2191</v>
      </c>
      <c r="D2542" t="s">
        <v>12</v>
      </c>
      <c r="E2542" t="s">
        <v>13</v>
      </c>
      <c r="F2542" t="s">
        <v>24</v>
      </c>
      <c r="G2542" t="s">
        <v>981</v>
      </c>
      <c r="H2542" s="8">
        <v>1764.25</v>
      </c>
      <c r="I2542" s="8">
        <v>307.52999999999997</v>
      </c>
      <c r="J2542" s="8">
        <v>0.06</v>
      </c>
      <c r="K2542" t="str">
        <f>IF(SalesData[[#This Row],[Profit]]&gt;0,"Profit","Loss")</f>
        <v>Profit</v>
      </c>
      <c r="L2542" s="8">
        <f>SalesData[[#This Row],[Profit]]/SalesData[[#This Row],[Sales]]</f>
        <v>0.17431203060790704</v>
      </c>
      <c r="M2542" t="str">
        <f>TEXT(SalesData[[#This Row],[Order_Date]],"mmm")</f>
        <v>Aug</v>
      </c>
      <c r="N2542">
        <f>YEAR(SalesData[[#This Row],[Order_Date]])</f>
        <v>2022</v>
      </c>
    </row>
    <row r="2543" spans="1:14" x14ac:dyDescent="0.3">
      <c r="A2543" t="s">
        <v>3833</v>
      </c>
      <c r="B2543" s="1">
        <v>44722</v>
      </c>
      <c r="C2543" t="s">
        <v>2130</v>
      </c>
      <c r="D2543" t="s">
        <v>12</v>
      </c>
      <c r="E2543" t="s">
        <v>19</v>
      </c>
      <c r="F2543" t="s">
        <v>141</v>
      </c>
      <c r="G2543" t="s">
        <v>1038</v>
      </c>
      <c r="H2543" s="8">
        <v>2718.72</v>
      </c>
      <c r="I2543" s="8">
        <v>-101.62</v>
      </c>
      <c r="J2543" s="8">
        <v>0.26</v>
      </c>
      <c r="K2543" t="str">
        <f>IF(SalesData[[#This Row],[Profit]]&gt;0,"Profit","Loss")</f>
        <v>Loss</v>
      </c>
      <c r="L2543" s="8">
        <f>SalesData[[#This Row],[Profit]]/SalesData[[#This Row],[Sales]]</f>
        <v>-3.7377883709981172E-2</v>
      </c>
      <c r="M2543" t="str">
        <f>TEXT(SalesData[[#This Row],[Order_Date]],"mmm")</f>
        <v>Jun</v>
      </c>
      <c r="N2543">
        <f>YEAR(SalesData[[#This Row],[Order_Date]])</f>
        <v>2022</v>
      </c>
    </row>
    <row r="2544" spans="1:14" x14ac:dyDescent="0.3">
      <c r="A2544" t="s">
        <v>3834</v>
      </c>
      <c r="B2544" s="1">
        <v>44865</v>
      </c>
      <c r="C2544" t="s">
        <v>174</v>
      </c>
      <c r="D2544" t="s">
        <v>12</v>
      </c>
      <c r="E2544" t="s">
        <v>56</v>
      </c>
      <c r="F2544" t="s">
        <v>57</v>
      </c>
      <c r="G2544" t="s">
        <v>438</v>
      </c>
      <c r="H2544" s="8">
        <v>4753.8100000000004</v>
      </c>
      <c r="I2544" s="8">
        <v>-970.91</v>
      </c>
      <c r="J2544" s="8">
        <v>0.05</v>
      </c>
      <c r="K2544" t="str">
        <f>IF(SalesData[[#This Row],[Profit]]&gt;0,"Profit","Loss")</f>
        <v>Loss</v>
      </c>
      <c r="L2544" s="8">
        <f>SalesData[[#This Row],[Profit]]/SalesData[[#This Row],[Sales]]</f>
        <v>-0.20423828466009367</v>
      </c>
      <c r="M2544" t="str">
        <f>TEXT(SalesData[[#This Row],[Order_Date]],"mmm")</f>
        <v>Oct</v>
      </c>
      <c r="N2544">
        <f>YEAR(SalesData[[#This Row],[Order_Date]])</f>
        <v>2022</v>
      </c>
    </row>
    <row r="2545" spans="1:14" x14ac:dyDescent="0.3">
      <c r="A2545" t="s">
        <v>3835</v>
      </c>
      <c r="B2545" s="1">
        <v>45073</v>
      </c>
      <c r="C2545" t="s">
        <v>658</v>
      </c>
      <c r="D2545" t="s">
        <v>40</v>
      </c>
      <c r="E2545" t="s">
        <v>19</v>
      </c>
      <c r="F2545" t="s">
        <v>141</v>
      </c>
      <c r="G2545" t="s">
        <v>199</v>
      </c>
      <c r="H2545" s="8">
        <v>852.9</v>
      </c>
      <c r="I2545" s="8">
        <v>-67.98</v>
      </c>
      <c r="J2545" s="8">
        <v>0.13</v>
      </c>
      <c r="K2545" t="str">
        <f>IF(SalesData[[#This Row],[Profit]]&gt;0,"Profit","Loss")</f>
        <v>Loss</v>
      </c>
      <c r="L2545" s="8">
        <f>SalesData[[#This Row],[Profit]]/SalesData[[#This Row],[Sales]]</f>
        <v>-7.9704537460429131E-2</v>
      </c>
      <c r="M2545" t="str">
        <f>TEXT(SalesData[[#This Row],[Order_Date]],"mmm")</f>
        <v>May</v>
      </c>
      <c r="N2545">
        <f>YEAR(SalesData[[#This Row],[Order_Date]])</f>
        <v>2023</v>
      </c>
    </row>
    <row r="2546" spans="1:14" x14ac:dyDescent="0.3">
      <c r="A2546" t="s">
        <v>3836</v>
      </c>
      <c r="B2546" s="1">
        <v>45131</v>
      </c>
      <c r="C2546" t="s">
        <v>130</v>
      </c>
      <c r="D2546" t="s">
        <v>12</v>
      </c>
      <c r="E2546" t="s">
        <v>56</v>
      </c>
      <c r="F2546" t="s">
        <v>57</v>
      </c>
      <c r="G2546" t="s">
        <v>1993</v>
      </c>
      <c r="H2546" s="8">
        <v>3841.52</v>
      </c>
      <c r="I2546" s="8">
        <v>-130.5</v>
      </c>
      <c r="J2546" s="8">
        <v>0.03</v>
      </c>
      <c r="K2546" t="str">
        <f>IF(SalesData[[#This Row],[Profit]]&gt;0,"Profit","Loss")</f>
        <v>Loss</v>
      </c>
      <c r="L2546" s="8">
        <f>SalesData[[#This Row],[Profit]]/SalesData[[#This Row],[Sales]]</f>
        <v>-3.397092817426435E-2</v>
      </c>
      <c r="M2546" t="str">
        <f>TEXT(SalesData[[#This Row],[Order_Date]],"mmm")</f>
        <v>Jul</v>
      </c>
      <c r="N2546">
        <f>YEAR(SalesData[[#This Row],[Order_Date]])</f>
        <v>2023</v>
      </c>
    </row>
    <row r="2547" spans="1:14" x14ac:dyDescent="0.3">
      <c r="A2547" t="s">
        <v>3837</v>
      </c>
      <c r="B2547" s="1">
        <v>44605</v>
      </c>
      <c r="C2547" t="s">
        <v>2392</v>
      </c>
      <c r="D2547" t="s">
        <v>18</v>
      </c>
      <c r="E2547" t="s">
        <v>19</v>
      </c>
      <c r="F2547" t="s">
        <v>29</v>
      </c>
      <c r="G2547" t="s">
        <v>917</v>
      </c>
      <c r="H2547" s="8">
        <v>3775.38</v>
      </c>
      <c r="I2547" s="8">
        <v>-172.79</v>
      </c>
      <c r="J2547" s="8">
        <v>0.25</v>
      </c>
      <c r="K2547" t="str">
        <f>IF(SalesData[[#This Row],[Profit]]&gt;0,"Profit","Loss")</f>
        <v>Loss</v>
      </c>
      <c r="L2547" s="8">
        <f>SalesData[[#This Row],[Profit]]/SalesData[[#This Row],[Sales]]</f>
        <v>-4.5767578362972731E-2</v>
      </c>
      <c r="M2547" t="str">
        <f>TEXT(SalesData[[#This Row],[Order_Date]],"mmm")</f>
        <v>Feb</v>
      </c>
      <c r="N2547">
        <f>YEAR(SalesData[[#This Row],[Order_Date]])</f>
        <v>2022</v>
      </c>
    </row>
    <row r="2548" spans="1:14" x14ac:dyDescent="0.3">
      <c r="A2548" t="s">
        <v>3838</v>
      </c>
      <c r="B2548" s="1">
        <v>44883</v>
      </c>
      <c r="C2548" t="s">
        <v>1583</v>
      </c>
      <c r="D2548" t="s">
        <v>40</v>
      </c>
      <c r="E2548" t="s">
        <v>13</v>
      </c>
      <c r="F2548" t="s">
        <v>36</v>
      </c>
      <c r="G2548" t="s">
        <v>468</v>
      </c>
      <c r="H2548" s="8">
        <v>2267</v>
      </c>
      <c r="I2548" s="8">
        <v>-483.48</v>
      </c>
      <c r="J2548" s="8">
        <v>0.16</v>
      </c>
      <c r="K2548" t="str">
        <f>IF(SalesData[[#This Row],[Profit]]&gt;0,"Profit","Loss")</f>
        <v>Loss</v>
      </c>
      <c r="L2548" s="8">
        <f>SalesData[[#This Row],[Profit]]/SalesData[[#This Row],[Sales]]</f>
        <v>-0.21326863696515219</v>
      </c>
      <c r="M2548" t="str">
        <f>TEXT(SalesData[[#This Row],[Order_Date]],"mmm")</f>
        <v>Nov</v>
      </c>
      <c r="N2548">
        <f>YEAR(SalesData[[#This Row],[Order_Date]])</f>
        <v>2022</v>
      </c>
    </row>
    <row r="2549" spans="1:14" x14ac:dyDescent="0.3">
      <c r="A2549" t="s">
        <v>3839</v>
      </c>
      <c r="B2549" s="1">
        <v>44880</v>
      </c>
      <c r="C2549" t="s">
        <v>1874</v>
      </c>
      <c r="D2549" t="s">
        <v>12</v>
      </c>
      <c r="E2549" t="s">
        <v>13</v>
      </c>
      <c r="F2549" t="s">
        <v>36</v>
      </c>
      <c r="G2549" t="s">
        <v>667</v>
      </c>
      <c r="H2549" s="8">
        <v>3225.25</v>
      </c>
      <c r="I2549" s="8">
        <v>780.93</v>
      </c>
      <c r="J2549" s="8">
        <v>0.08</v>
      </c>
      <c r="K2549" t="str">
        <f>IF(SalesData[[#This Row],[Profit]]&gt;0,"Profit","Loss")</f>
        <v>Profit</v>
      </c>
      <c r="L2549" s="8">
        <f>SalesData[[#This Row],[Profit]]/SalesData[[#This Row],[Sales]]</f>
        <v>0.24213006743663279</v>
      </c>
      <c r="M2549" t="str">
        <f>TEXT(SalesData[[#This Row],[Order_Date]],"mmm")</f>
        <v>Nov</v>
      </c>
      <c r="N2549">
        <f>YEAR(SalesData[[#This Row],[Order_Date]])</f>
        <v>2022</v>
      </c>
    </row>
    <row r="2550" spans="1:14" x14ac:dyDescent="0.3">
      <c r="A2550" t="s">
        <v>3840</v>
      </c>
      <c r="B2550" s="1">
        <v>45187</v>
      </c>
      <c r="C2550" t="s">
        <v>2168</v>
      </c>
      <c r="D2550" t="s">
        <v>28</v>
      </c>
      <c r="E2550" t="s">
        <v>19</v>
      </c>
      <c r="F2550" t="s">
        <v>141</v>
      </c>
      <c r="G2550" t="s">
        <v>734</v>
      </c>
      <c r="H2550" s="8">
        <v>733.58</v>
      </c>
      <c r="I2550" s="8">
        <v>-133.38</v>
      </c>
      <c r="J2550" s="8">
        <v>0.09</v>
      </c>
      <c r="K2550" t="str">
        <f>IF(SalesData[[#This Row],[Profit]]&gt;0,"Profit","Loss")</f>
        <v>Loss</v>
      </c>
      <c r="L2550" s="8">
        <f>SalesData[[#This Row],[Profit]]/SalesData[[#This Row],[Sales]]</f>
        <v>-0.18182066032334576</v>
      </c>
      <c r="M2550" t="str">
        <f>TEXT(SalesData[[#This Row],[Order_Date]],"mmm")</f>
        <v>Sep</v>
      </c>
      <c r="N2550">
        <f>YEAR(SalesData[[#This Row],[Order_Date]])</f>
        <v>2023</v>
      </c>
    </row>
    <row r="2551" spans="1:14" x14ac:dyDescent="0.3">
      <c r="A2551" t="s">
        <v>3841</v>
      </c>
      <c r="B2551" s="1">
        <v>44627</v>
      </c>
      <c r="C2551" t="s">
        <v>739</v>
      </c>
      <c r="D2551" t="s">
        <v>40</v>
      </c>
      <c r="E2551" t="s">
        <v>56</v>
      </c>
      <c r="F2551" t="s">
        <v>57</v>
      </c>
      <c r="G2551" t="s">
        <v>971</v>
      </c>
      <c r="H2551" s="8">
        <v>468.01</v>
      </c>
      <c r="I2551" s="8">
        <v>-31.18</v>
      </c>
      <c r="J2551" s="8">
        <v>0.05</v>
      </c>
      <c r="K2551" t="str">
        <f>IF(SalesData[[#This Row],[Profit]]&gt;0,"Profit","Loss")</f>
        <v>Loss</v>
      </c>
      <c r="L2551" s="8">
        <f>SalesData[[#This Row],[Profit]]/SalesData[[#This Row],[Sales]]</f>
        <v>-6.6622508066066968E-2</v>
      </c>
      <c r="M2551" t="str">
        <f>TEXT(SalesData[[#This Row],[Order_Date]],"mmm")</f>
        <v>Mar</v>
      </c>
      <c r="N2551">
        <f>YEAR(SalesData[[#This Row],[Order_Date]])</f>
        <v>2022</v>
      </c>
    </row>
    <row r="2552" spans="1:14" x14ac:dyDescent="0.3">
      <c r="A2552" t="s">
        <v>3842</v>
      </c>
      <c r="B2552" s="1">
        <v>45059</v>
      </c>
      <c r="C2552" t="s">
        <v>174</v>
      </c>
      <c r="D2552" t="s">
        <v>12</v>
      </c>
      <c r="E2552" t="s">
        <v>13</v>
      </c>
      <c r="F2552" t="s">
        <v>36</v>
      </c>
      <c r="G2552" t="s">
        <v>392</v>
      </c>
      <c r="H2552" s="8">
        <v>2706.3</v>
      </c>
      <c r="I2552" s="8">
        <v>-1007.66</v>
      </c>
      <c r="J2552" s="8">
        <v>0.24</v>
      </c>
      <c r="K2552" t="str">
        <f>IF(SalesData[[#This Row],[Profit]]&gt;0,"Profit","Loss")</f>
        <v>Loss</v>
      </c>
      <c r="L2552" s="8">
        <f>SalesData[[#This Row],[Profit]]/SalesData[[#This Row],[Sales]]</f>
        <v>-0.37233861730037315</v>
      </c>
      <c r="M2552" t="str">
        <f>TEXT(SalesData[[#This Row],[Order_Date]],"mmm")</f>
        <v>May</v>
      </c>
      <c r="N2552">
        <f>YEAR(SalesData[[#This Row],[Order_Date]])</f>
        <v>2023</v>
      </c>
    </row>
    <row r="2553" spans="1:14" x14ac:dyDescent="0.3">
      <c r="A2553" t="s">
        <v>3843</v>
      </c>
      <c r="B2553" s="1">
        <v>45186</v>
      </c>
      <c r="C2553" t="s">
        <v>849</v>
      </c>
      <c r="D2553" t="s">
        <v>40</v>
      </c>
      <c r="E2553" t="s">
        <v>19</v>
      </c>
      <c r="F2553" t="s">
        <v>141</v>
      </c>
      <c r="G2553" t="s">
        <v>895</v>
      </c>
      <c r="H2553" s="8">
        <v>2287.92</v>
      </c>
      <c r="I2553" s="8">
        <v>-471.88</v>
      </c>
      <c r="J2553" s="8">
        <v>0.25</v>
      </c>
      <c r="K2553" t="str">
        <f>IF(SalesData[[#This Row],[Profit]]&gt;0,"Profit","Loss")</f>
        <v>Loss</v>
      </c>
      <c r="L2553" s="8">
        <f>SalesData[[#This Row],[Profit]]/SalesData[[#This Row],[Sales]]</f>
        <v>-0.20624847022623169</v>
      </c>
      <c r="M2553" t="str">
        <f>TEXT(SalesData[[#This Row],[Order_Date]],"mmm")</f>
        <v>Sep</v>
      </c>
      <c r="N2553">
        <f>YEAR(SalesData[[#This Row],[Order_Date]])</f>
        <v>2023</v>
      </c>
    </row>
    <row r="2554" spans="1:14" x14ac:dyDescent="0.3">
      <c r="A2554" t="s">
        <v>3844</v>
      </c>
      <c r="B2554" s="1">
        <v>44675</v>
      </c>
      <c r="C2554" t="s">
        <v>1501</v>
      </c>
      <c r="D2554" t="s">
        <v>12</v>
      </c>
      <c r="E2554" t="s">
        <v>13</v>
      </c>
      <c r="F2554" t="s">
        <v>24</v>
      </c>
      <c r="G2554" t="s">
        <v>77</v>
      </c>
      <c r="H2554" s="8">
        <v>573.02</v>
      </c>
      <c r="I2554" s="8">
        <v>96.83</v>
      </c>
      <c r="J2554" s="8">
        <v>0.05</v>
      </c>
      <c r="K2554" t="str">
        <f>IF(SalesData[[#This Row],[Profit]]&gt;0,"Profit","Loss")</f>
        <v>Profit</v>
      </c>
      <c r="L2554" s="8">
        <f>SalesData[[#This Row],[Profit]]/SalesData[[#This Row],[Sales]]</f>
        <v>0.16898188544902448</v>
      </c>
      <c r="M2554" t="str">
        <f>TEXT(SalesData[[#This Row],[Order_Date]],"mmm")</f>
        <v>Apr</v>
      </c>
      <c r="N2554">
        <f>YEAR(SalesData[[#This Row],[Order_Date]])</f>
        <v>2022</v>
      </c>
    </row>
    <row r="2555" spans="1:14" x14ac:dyDescent="0.3">
      <c r="A2555" t="s">
        <v>3845</v>
      </c>
      <c r="B2555" s="1">
        <v>44734</v>
      </c>
      <c r="C2555" t="s">
        <v>1451</v>
      </c>
      <c r="D2555" t="s">
        <v>12</v>
      </c>
      <c r="E2555" t="s">
        <v>56</v>
      </c>
      <c r="F2555" t="s">
        <v>95</v>
      </c>
      <c r="G2555" t="s">
        <v>720</v>
      </c>
      <c r="H2555" s="8">
        <v>2169.02</v>
      </c>
      <c r="I2555" s="8">
        <v>440.12</v>
      </c>
      <c r="J2555" s="8">
        <v>0.01</v>
      </c>
      <c r="K2555" t="str">
        <f>IF(SalesData[[#This Row],[Profit]]&gt;0,"Profit","Loss")</f>
        <v>Profit</v>
      </c>
      <c r="L2555" s="8">
        <f>SalesData[[#This Row],[Profit]]/SalesData[[#This Row],[Sales]]</f>
        <v>0.20291191413633808</v>
      </c>
      <c r="M2555" t="str">
        <f>TEXT(SalesData[[#This Row],[Order_Date]],"mmm")</f>
        <v>Jun</v>
      </c>
      <c r="N2555">
        <f>YEAR(SalesData[[#This Row],[Order_Date]])</f>
        <v>2022</v>
      </c>
    </row>
    <row r="2556" spans="1:14" x14ac:dyDescent="0.3">
      <c r="A2556" t="s">
        <v>3846</v>
      </c>
      <c r="B2556" s="1">
        <v>44760</v>
      </c>
      <c r="C2556" t="s">
        <v>2417</v>
      </c>
      <c r="D2556" t="s">
        <v>28</v>
      </c>
      <c r="E2556" t="s">
        <v>56</v>
      </c>
      <c r="F2556" t="s">
        <v>95</v>
      </c>
      <c r="G2556" t="s">
        <v>1109</v>
      </c>
      <c r="H2556" s="8">
        <v>4687.6099999999997</v>
      </c>
      <c r="I2556" s="8">
        <v>-452.14</v>
      </c>
      <c r="J2556" s="8">
        <v>0.22</v>
      </c>
      <c r="K2556" t="str">
        <f>IF(SalesData[[#This Row],[Profit]]&gt;0,"Profit","Loss")</f>
        <v>Loss</v>
      </c>
      <c r="L2556" s="8">
        <f>SalesData[[#This Row],[Profit]]/SalesData[[#This Row],[Sales]]</f>
        <v>-9.6454269873133644E-2</v>
      </c>
      <c r="M2556" t="str">
        <f>TEXT(SalesData[[#This Row],[Order_Date]],"mmm")</f>
        <v>Jul</v>
      </c>
      <c r="N2556">
        <f>YEAR(SalesData[[#This Row],[Order_Date]])</f>
        <v>2022</v>
      </c>
    </row>
    <row r="2557" spans="1:14" x14ac:dyDescent="0.3">
      <c r="A2557" t="s">
        <v>3847</v>
      </c>
      <c r="B2557" s="1">
        <v>44838</v>
      </c>
      <c r="C2557" t="s">
        <v>2096</v>
      </c>
      <c r="D2557" t="s">
        <v>18</v>
      </c>
      <c r="E2557" t="s">
        <v>56</v>
      </c>
      <c r="F2557" t="s">
        <v>57</v>
      </c>
      <c r="G2557" t="s">
        <v>3038</v>
      </c>
      <c r="H2557" s="8">
        <v>1676.65</v>
      </c>
      <c r="I2557" s="8">
        <v>462.37</v>
      </c>
      <c r="J2557" s="8">
        <v>0.01</v>
      </c>
      <c r="K2557" t="str">
        <f>IF(SalesData[[#This Row],[Profit]]&gt;0,"Profit","Loss")</f>
        <v>Profit</v>
      </c>
      <c r="L2557" s="8">
        <f>SalesData[[#This Row],[Profit]]/SalesData[[#This Row],[Sales]]</f>
        <v>0.27577013688008828</v>
      </c>
      <c r="M2557" t="str">
        <f>TEXT(SalesData[[#This Row],[Order_Date]],"mmm")</f>
        <v>Oct</v>
      </c>
      <c r="N2557">
        <f>YEAR(SalesData[[#This Row],[Order_Date]])</f>
        <v>2022</v>
      </c>
    </row>
    <row r="2558" spans="1:14" x14ac:dyDescent="0.3">
      <c r="A2558" t="s">
        <v>3848</v>
      </c>
      <c r="B2558" s="1">
        <v>44989</v>
      </c>
      <c r="C2558" t="s">
        <v>416</v>
      </c>
      <c r="D2558" t="s">
        <v>18</v>
      </c>
      <c r="E2558" t="s">
        <v>13</v>
      </c>
      <c r="F2558" t="s">
        <v>14</v>
      </c>
      <c r="G2558" t="s">
        <v>803</v>
      </c>
      <c r="H2558" s="8">
        <v>4683.0600000000004</v>
      </c>
      <c r="I2558" s="8">
        <v>-1277.99</v>
      </c>
      <c r="J2558" s="8">
        <v>0.17</v>
      </c>
      <c r="K2558" t="str">
        <f>IF(SalesData[[#This Row],[Profit]]&gt;0,"Profit","Loss")</f>
        <v>Loss</v>
      </c>
      <c r="L2558" s="8">
        <f>SalesData[[#This Row],[Profit]]/SalesData[[#This Row],[Sales]]</f>
        <v>-0.27289635409326379</v>
      </c>
      <c r="M2558" t="str">
        <f>TEXT(SalesData[[#This Row],[Order_Date]],"mmm")</f>
        <v>Mar</v>
      </c>
      <c r="N2558">
        <f>YEAR(SalesData[[#This Row],[Order_Date]])</f>
        <v>2023</v>
      </c>
    </row>
    <row r="2559" spans="1:14" x14ac:dyDescent="0.3">
      <c r="A2559" t="s">
        <v>3849</v>
      </c>
      <c r="B2559" s="1">
        <v>45004</v>
      </c>
      <c r="C2559" t="s">
        <v>2341</v>
      </c>
      <c r="D2559" t="s">
        <v>28</v>
      </c>
      <c r="E2559" t="s">
        <v>13</v>
      </c>
      <c r="F2559" t="s">
        <v>24</v>
      </c>
      <c r="G2559" t="s">
        <v>1295</v>
      </c>
      <c r="H2559" s="8">
        <v>405.99</v>
      </c>
      <c r="I2559" s="8">
        <v>-7.96</v>
      </c>
      <c r="J2559" s="8">
        <v>0.14000000000000001</v>
      </c>
      <c r="K2559" t="str">
        <f>IF(SalesData[[#This Row],[Profit]]&gt;0,"Profit","Loss")</f>
        <v>Loss</v>
      </c>
      <c r="L2559" s="8">
        <f>SalesData[[#This Row],[Profit]]/SalesData[[#This Row],[Sales]]</f>
        <v>-1.96063942461637E-2</v>
      </c>
      <c r="M2559" t="str">
        <f>TEXT(SalesData[[#This Row],[Order_Date]],"mmm")</f>
        <v>Mar</v>
      </c>
      <c r="N2559">
        <f>YEAR(SalesData[[#This Row],[Order_Date]])</f>
        <v>2023</v>
      </c>
    </row>
    <row r="2560" spans="1:14" x14ac:dyDescent="0.3">
      <c r="A2560" t="s">
        <v>3850</v>
      </c>
      <c r="B2560" s="1">
        <v>44773</v>
      </c>
      <c r="C2560" t="s">
        <v>2293</v>
      </c>
      <c r="D2560" t="s">
        <v>28</v>
      </c>
      <c r="E2560" t="s">
        <v>19</v>
      </c>
      <c r="F2560" t="s">
        <v>20</v>
      </c>
      <c r="G2560" t="s">
        <v>404</v>
      </c>
      <c r="H2560" s="8">
        <v>4303.1899999999996</v>
      </c>
      <c r="I2560" s="8">
        <v>359.26</v>
      </c>
      <c r="J2560" s="8">
        <v>0.05</v>
      </c>
      <c r="K2560" t="str">
        <f>IF(SalesData[[#This Row],[Profit]]&gt;0,"Profit","Loss")</f>
        <v>Profit</v>
      </c>
      <c r="L2560" s="8">
        <f>SalesData[[#This Row],[Profit]]/SalesData[[#This Row],[Sales]]</f>
        <v>8.3486901577666806E-2</v>
      </c>
      <c r="M2560" t="str">
        <f>TEXT(SalesData[[#This Row],[Order_Date]],"mmm")</f>
        <v>Jul</v>
      </c>
      <c r="N2560">
        <f>YEAR(SalesData[[#This Row],[Order_Date]])</f>
        <v>2022</v>
      </c>
    </row>
    <row r="2561" spans="1:14" x14ac:dyDescent="0.3">
      <c r="A2561" t="s">
        <v>3851</v>
      </c>
      <c r="B2561" s="1">
        <v>45079</v>
      </c>
      <c r="C2561" t="s">
        <v>2198</v>
      </c>
      <c r="D2561" t="s">
        <v>12</v>
      </c>
      <c r="E2561" t="s">
        <v>56</v>
      </c>
      <c r="F2561" t="s">
        <v>57</v>
      </c>
      <c r="G2561" t="s">
        <v>2041</v>
      </c>
      <c r="H2561" s="8">
        <v>4091.33</v>
      </c>
      <c r="I2561" s="8">
        <v>524.47</v>
      </c>
      <c r="J2561" s="8">
        <v>0.12</v>
      </c>
      <c r="K2561" t="str">
        <f>IF(SalesData[[#This Row],[Profit]]&gt;0,"Profit","Loss")</f>
        <v>Profit</v>
      </c>
      <c r="L2561" s="8">
        <f>SalesData[[#This Row],[Profit]]/SalesData[[#This Row],[Sales]]</f>
        <v>0.12819058839057226</v>
      </c>
      <c r="M2561" t="str">
        <f>TEXT(SalesData[[#This Row],[Order_Date]],"mmm")</f>
        <v>Jun</v>
      </c>
      <c r="N2561">
        <f>YEAR(SalesData[[#This Row],[Order_Date]])</f>
        <v>2023</v>
      </c>
    </row>
    <row r="2562" spans="1:14" x14ac:dyDescent="0.3">
      <c r="A2562" t="s">
        <v>3852</v>
      </c>
      <c r="B2562" s="1">
        <v>44743</v>
      </c>
      <c r="C2562" t="s">
        <v>1078</v>
      </c>
      <c r="D2562" t="s">
        <v>28</v>
      </c>
      <c r="E2562" t="s">
        <v>13</v>
      </c>
      <c r="F2562" t="s">
        <v>24</v>
      </c>
      <c r="G2562" t="s">
        <v>3557</v>
      </c>
      <c r="H2562" s="8">
        <v>4573.95</v>
      </c>
      <c r="I2562" s="8">
        <v>140.78</v>
      </c>
      <c r="J2562" s="8">
        <v>0.23</v>
      </c>
      <c r="K2562" t="str">
        <f>IF(SalesData[[#This Row],[Profit]]&gt;0,"Profit","Loss")</f>
        <v>Profit</v>
      </c>
      <c r="L2562" s="8">
        <f>SalesData[[#This Row],[Profit]]/SalesData[[#This Row],[Sales]]</f>
        <v>3.07786486516031E-2</v>
      </c>
      <c r="M2562" t="str">
        <f>TEXT(SalesData[[#This Row],[Order_Date]],"mmm")</f>
        <v>Jul</v>
      </c>
      <c r="N2562">
        <f>YEAR(SalesData[[#This Row],[Order_Date]])</f>
        <v>2022</v>
      </c>
    </row>
    <row r="2563" spans="1:14" x14ac:dyDescent="0.3">
      <c r="A2563" t="s">
        <v>3853</v>
      </c>
      <c r="B2563" s="1">
        <v>44638</v>
      </c>
      <c r="C2563" t="s">
        <v>422</v>
      </c>
      <c r="D2563" t="s">
        <v>18</v>
      </c>
      <c r="E2563" t="s">
        <v>56</v>
      </c>
      <c r="F2563" t="s">
        <v>95</v>
      </c>
      <c r="G2563" t="s">
        <v>320</v>
      </c>
      <c r="H2563" s="8">
        <v>2805.53</v>
      </c>
      <c r="I2563" s="8">
        <v>-1191.8</v>
      </c>
      <c r="J2563" s="8">
        <v>0.28999999999999998</v>
      </c>
      <c r="K2563" t="str">
        <f>IF(SalesData[[#This Row],[Profit]]&gt;0,"Profit","Loss")</f>
        <v>Loss</v>
      </c>
      <c r="L2563" s="8">
        <f>SalesData[[#This Row],[Profit]]/SalesData[[#This Row],[Sales]]</f>
        <v>-0.4248038695005934</v>
      </c>
      <c r="M2563" t="str">
        <f>TEXT(SalesData[[#This Row],[Order_Date]],"mmm")</f>
        <v>Mar</v>
      </c>
      <c r="N2563">
        <f>YEAR(SalesData[[#This Row],[Order_Date]])</f>
        <v>2022</v>
      </c>
    </row>
    <row r="2564" spans="1:14" x14ac:dyDescent="0.3">
      <c r="A2564" t="s">
        <v>3854</v>
      </c>
      <c r="B2564" s="1">
        <v>44663</v>
      </c>
      <c r="C2564" t="s">
        <v>859</v>
      </c>
      <c r="D2564" t="s">
        <v>18</v>
      </c>
      <c r="E2564" t="s">
        <v>13</v>
      </c>
      <c r="F2564" t="s">
        <v>14</v>
      </c>
      <c r="G2564" t="s">
        <v>1712</v>
      </c>
      <c r="H2564" s="8">
        <v>1085.51</v>
      </c>
      <c r="I2564" s="8">
        <v>103.41</v>
      </c>
      <c r="J2564" s="8">
        <v>7.0000000000000007E-2</v>
      </c>
      <c r="K2564" t="str">
        <f>IF(SalesData[[#This Row],[Profit]]&gt;0,"Profit","Loss")</f>
        <v>Profit</v>
      </c>
      <c r="L2564" s="8">
        <f>SalesData[[#This Row],[Profit]]/SalesData[[#This Row],[Sales]]</f>
        <v>9.5263977300992161E-2</v>
      </c>
      <c r="M2564" t="str">
        <f>TEXT(SalesData[[#This Row],[Order_Date]],"mmm")</f>
        <v>Apr</v>
      </c>
      <c r="N2564">
        <f>YEAR(SalesData[[#This Row],[Order_Date]])</f>
        <v>2022</v>
      </c>
    </row>
    <row r="2565" spans="1:14" x14ac:dyDescent="0.3">
      <c r="A2565" t="s">
        <v>3855</v>
      </c>
      <c r="B2565" s="1">
        <v>45050</v>
      </c>
      <c r="C2565" t="s">
        <v>2595</v>
      </c>
      <c r="D2565" t="s">
        <v>12</v>
      </c>
      <c r="E2565" t="s">
        <v>56</v>
      </c>
      <c r="F2565" t="s">
        <v>95</v>
      </c>
      <c r="G2565" t="s">
        <v>488</v>
      </c>
      <c r="H2565" s="8">
        <v>3712.15</v>
      </c>
      <c r="I2565" s="8">
        <v>-1418.11</v>
      </c>
      <c r="J2565" s="8">
        <v>0.22</v>
      </c>
      <c r="K2565" t="str">
        <f>IF(SalesData[[#This Row],[Profit]]&gt;0,"Profit","Loss")</f>
        <v>Loss</v>
      </c>
      <c r="L2565" s="8">
        <f>SalesData[[#This Row],[Profit]]/SalesData[[#This Row],[Sales]]</f>
        <v>-0.3820185067952534</v>
      </c>
      <c r="M2565" t="str">
        <f>TEXT(SalesData[[#This Row],[Order_Date]],"mmm")</f>
        <v>May</v>
      </c>
      <c r="N2565">
        <f>YEAR(SalesData[[#This Row],[Order_Date]])</f>
        <v>2023</v>
      </c>
    </row>
    <row r="2566" spans="1:14" x14ac:dyDescent="0.3">
      <c r="A2566" t="s">
        <v>3856</v>
      </c>
      <c r="B2566" s="1">
        <v>45206</v>
      </c>
      <c r="C2566" t="s">
        <v>1486</v>
      </c>
      <c r="D2566" t="s">
        <v>40</v>
      </c>
      <c r="E2566" t="s">
        <v>19</v>
      </c>
      <c r="F2566" t="s">
        <v>29</v>
      </c>
      <c r="G2566" t="s">
        <v>1203</v>
      </c>
      <c r="H2566" s="8">
        <v>1989.65</v>
      </c>
      <c r="I2566" s="8">
        <v>-291.49</v>
      </c>
      <c r="J2566" s="8">
        <v>0.2</v>
      </c>
      <c r="K2566" t="str">
        <f>IF(SalesData[[#This Row],[Profit]]&gt;0,"Profit","Loss")</f>
        <v>Loss</v>
      </c>
      <c r="L2566" s="8">
        <f>SalesData[[#This Row],[Profit]]/SalesData[[#This Row],[Sales]]</f>
        <v>-0.1465031538210238</v>
      </c>
      <c r="M2566" t="str">
        <f>TEXT(SalesData[[#This Row],[Order_Date]],"mmm")</f>
        <v>Oct</v>
      </c>
      <c r="N2566">
        <f>YEAR(SalesData[[#This Row],[Order_Date]])</f>
        <v>2023</v>
      </c>
    </row>
    <row r="2567" spans="1:14" x14ac:dyDescent="0.3">
      <c r="A2567" t="s">
        <v>3857</v>
      </c>
      <c r="B2567" s="1">
        <v>44664</v>
      </c>
      <c r="C2567" t="s">
        <v>746</v>
      </c>
      <c r="D2567" t="s">
        <v>40</v>
      </c>
      <c r="E2567" t="s">
        <v>13</v>
      </c>
      <c r="F2567" t="s">
        <v>14</v>
      </c>
      <c r="G2567" t="s">
        <v>954</v>
      </c>
      <c r="H2567" s="8">
        <v>130.74</v>
      </c>
      <c r="I2567" s="8">
        <v>-19.23</v>
      </c>
      <c r="J2567" s="8">
        <v>0.27</v>
      </c>
      <c r="K2567" t="str">
        <f>IF(SalesData[[#This Row],[Profit]]&gt;0,"Profit","Loss")</f>
        <v>Loss</v>
      </c>
      <c r="L2567" s="8">
        <f>SalesData[[#This Row],[Profit]]/SalesData[[#This Row],[Sales]]</f>
        <v>-0.1470858191831115</v>
      </c>
      <c r="M2567" t="str">
        <f>TEXT(SalesData[[#This Row],[Order_Date]],"mmm")</f>
        <v>Apr</v>
      </c>
      <c r="N2567">
        <f>YEAR(SalesData[[#This Row],[Order_Date]])</f>
        <v>2022</v>
      </c>
    </row>
    <row r="2568" spans="1:14" x14ac:dyDescent="0.3">
      <c r="A2568" t="s">
        <v>3858</v>
      </c>
      <c r="B2568" s="1">
        <v>44681</v>
      </c>
      <c r="C2568" t="s">
        <v>2358</v>
      </c>
      <c r="D2568" t="s">
        <v>12</v>
      </c>
      <c r="E2568" t="s">
        <v>56</v>
      </c>
      <c r="F2568" t="s">
        <v>73</v>
      </c>
      <c r="G2568" t="s">
        <v>271</v>
      </c>
      <c r="H2568" s="8">
        <v>724.43</v>
      </c>
      <c r="I2568" s="8">
        <v>140.47999999999999</v>
      </c>
      <c r="J2568" s="8">
        <v>0.18</v>
      </c>
      <c r="K2568" t="str">
        <f>IF(SalesData[[#This Row],[Profit]]&gt;0,"Profit","Loss")</f>
        <v>Profit</v>
      </c>
      <c r="L2568" s="8">
        <f>SalesData[[#This Row],[Profit]]/SalesData[[#This Row],[Sales]]</f>
        <v>0.1939179768921773</v>
      </c>
      <c r="M2568" t="str">
        <f>TEXT(SalesData[[#This Row],[Order_Date]],"mmm")</f>
        <v>Apr</v>
      </c>
      <c r="N2568">
        <f>YEAR(SalesData[[#This Row],[Order_Date]])</f>
        <v>2022</v>
      </c>
    </row>
    <row r="2569" spans="1:14" x14ac:dyDescent="0.3">
      <c r="A2569" t="s">
        <v>3859</v>
      </c>
      <c r="B2569" s="1">
        <v>45271</v>
      </c>
      <c r="C2569" t="s">
        <v>2277</v>
      </c>
      <c r="D2569" t="s">
        <v>40</v>
      </c>
      <c r="E2569" t="s">
        <v>13</v>
      </c>
      <c r="F2569" t="s">
        <v>36</v>
      </c>
      <c r="G2569" t="s">
        <v>248</v>
      </c>
      <c r="H2569" s="8">
        <v>2939.82</v>
      </c>
      <c r="I2569" s="8">
        <v>-622.74</v>
      </c>
      <c r="J2569" s="8">
        <v>0.16</v>
      </c>
      <c r="K2569" t="str">
        <f>IF(SalesData[[#This Row],[Profit]]&gt;0,"Profit","Loss")</f>
        <v>Loss</v>
      </c>
      <c r="L2569" s="8">
        <f>SalesData[[#This Row],[Profit]]/SalesData[[#This Row],[Sales]]</f>
        <v>-0.21182929567116354</v>
      </c>
      <c r="M2569" t="str">
        <f>TEXT(SalesData[[#This Row],[Order_Date]],"mmm")</f>
        <v>Dec</v>
      </c>
      <c r="N2569">
        <f>YEAR(SalesData[[#This Row],[Order_Date]])</f>
        <v>2023</v>
      </c>
    </row>
    <row r="2570" spans="1:14" x14ac:dyDescent="0.3">
      <c r="A2570" t="s">
        <v>3860</v>
      </c>
      <c r="B2570" s="1">
        <v>44716</v>
      </c>
      <c r="C2570" t="s">
        <v>970</v>
      </c>
      <c r="D2570" t="s">
        <v>28</v>
      </c>
      <c r="E2570" t="s">
        <v>19</v>
      </c>
      <c r="F2570" t="s">
        <v>20</v>
      </c>
      <c r="G2570" t="s">
        <v>1306</v>
      </c>
      <c r="H2570" s="8">
        <v>3698.68</v>
      </c>
      <c r="I2570" s="8">
        <v>849.64</v>
      </c>
      <c r="J2570" s="8">
        <v>0</v>
      </c>
      <c r="K2570" t="str">
        <f>IF(SalesData[[#This Row],[Profit]]&gt;0,"Profit","Loss")</f>
        <v>Profit</v>
      </c>
      <c r="L2570" s="8">
        <f>SalesData[[#This Row],[Profit]]/SalesData[[#This Row],[Sales]]</f>
        <v>0.22971438459125959</v>
      </c>
      <c r="M2570" t="str">
        <f>TEXT(SalesData[[#This Row],[Order_Date]],"mmm")</f>
        <v>Jun</v>
      </c>
      <c r="N2570">
        <f>YEAR(SalesData[[#This Row],[Order_Date]])</f>
        <v>2022</v>
      </c>
    </row>
    <row r="2571" spans="1:14" x14ac:dyDescent="0.3">
      <c r="A2571" t="s">
        <v>3861</v>
      </c>
      <c r="B2571" s="1">
        <v>44736</v>
      </c>
      <c r="C2571" t="s">
        <v>1552</v>
      </c>
      <c r="D2571" t="s">
        <v>40</v>
      </c>
      <c r="E2571" t="s">
        <v>19</v>
      </c>
      <c r="F2571" t="s">
        <v>141</v>
      </c>
      <c r="G2571" t="s">
        <v>895</v>
      </c>
      <c r="H2571" s="8">
        <v>4771.37</v>
      </c>
      <c r="I2571" s="8">
        <v>-426.16</v>
      </c>
      <c r="J2571" s="8">
        <v>0.12</v>
      </c>
      <c r="K2571" t="str">
        <f>IF(SalesData[[#This Row],[Profit]]&gt;0,"Profit","Loss")</f>
        <v>Loss</v>
      </c>
      <c r="L2571" s="8">
        <f>SalesData[[#This Row],[Profit]]/SalesData[[#This Row],[Sales]]</f>
        <v>-8.9316066454707979E-2</v>
      </c>
      <c r="M2571" t="str">
        <f>TEXT(SalesData[[#This Row],[Order_Date]],"mmm")</f>
        <v>Jun</v>
      </c>
      <c r="N2571">
        <f>YEAR(SalesData[[#This Row],[Order_Date]])</f>
        <v>2022</v>
      </c>
    </row>
    <row r="2572" spans="1:14" x14ac:dyDescent="0.3">
      <c r="A2572" t="s">
        <v>3862</v>
      </c>
      <c r="B2572" s="1">
        <v>45169</v>
      </c>
      <c r="C2572" t="s">
        <v>1673</v>
      </c>
      <c r="D2572" t="s">
        <v>18</v>
      </c>
      <c r="E2572" t="s">
        <v>56</v>
      </c>
      <c r="F2572" t="s">
        <v>57</v>
      </c>
      <c r="G2572" t="s">
        <v>878</v>
      </c>
      <c r="H2572" s="8">
        <v>1686</v>
      </c>
      <c r="I2572" s="8">
        <v>185.54</v>
      </c>
      <c r="J2572" s="8">
        <v>0.06</v>
      </c>
      <c r="K2572" t="str">
        <f>IF(SalesData[[#This Row],[Profit]]&gt;0,"Profit","Loss")</f>
        <v>Profit</v>
      </c>
      <c r="L2572" s="8">
        <f>SalesData[[#This Row],[Profit]]/SalesData[[#This Row],[Sales]]</f>
        <v>0.11004744958481613</v>
      </c>
      <c r="M2572" t="str">
        <f>TEXT(SalesData[[#This Row],[Order_Date]],"mmm")</f>
        <v>Aug</v>
      </c>
      <c r="N2572">
        <f>YEAR(SalesData[[#This Row],[Order_Date]])</f>
        <v>2023</v>
      </c>
    </row>
    <row r="2573" spans="1:14" x14ac:dyDescent="0.3">
      <c r="A2573" t="s">
        <v>3863</v>
      </c>
      <c r="B2573" s="1">
        <v>44571</v>
      </c>
      <c r="C2573" t="s">
        <v>478</v>
      </c>
      <c r="D2573" t="s">
        <v>28</v>
      </c>
      <c r="E2573" t="s">
        <v>19</v>
      </c>
      <c r="F2573" t="s">
        <v>20</v>
      </c>
      <c r="G2573" t="s">
        <v>2063</v>
      </c>
      <c r="H2573" s="8">
        <v>3051.49</v>
      </c>
      <c r="I2573" s="8">
        <v>-70.290000000000006</v>
      </c>
      <c r="J2573" s="8">
        <v>0.2</v>
      </c>
      <c r="K2573" t="str">
        <f>IF(SalesData[[#This Row],[Profit]]&gt;0,"Profit","Loss")</f>
        <v>Loss</v>
      </c>
      <c r="L2573" s="8">
        <f>SalesData[[#This Row],[Profit]]/SalesData[[#This Row],[Sales]]</f>
        <v>-2.3034648647054394E-2</v>
      </c>
      <c r="M2573" t="str">
        <f>TEXT(SalesData[[#This Row],[Order_Date]],"mmm")</f>
        <v>Jan</v>
      </c>
      <c r="N2573">
        <f>YEAR(SalesData[[#This Row],[Order_Date]])</f>
        <v>2022</v>
      </c>
    </row>
    <row r="2574" spans="1:14" x14ac:dyDescent="0.3">
      <c r="A2574" t="s">
        <v>3864</v>
      </c>
      <c r="B2574" s="1">
        <v>45204</v>
      </c>
      <c r="C2574" t="s">
        <v>1776</v>
      </c>
      <c r="D2574" t="s">
        <v>18</v>
      </c>
      <c r="E2574" t="s">
        <v>19</v>
      </c>
      <c r="F2574" t="s">
        <v>20</v>
      </c>
      <c r="G2574" t="s">
        <v>312</v>
      </c>
      <c r="H2574" s="8">
        <v>2938.72</v>
      </c>
      <c r="I2574" s="8">
        <v>-331.98</v>
      </c>
      <c r="J2574" s="8">
        <v>0.18</v>
      </c>
      <c r="K2574" t="str">
        <f>IF(SalesData[[#This Row],[Profit]]&gt;0,"Profit","Loss")</f>
        <v>Loss</v>
      </c>
      <c r="L2574" s="8">
        <f>SalesData[[#This Row],[Profit]]/SalesData[[#This Row],[Sales]]</f>
        <v>-0.11296755049817608</v>
      </c>
      <c r="M2574" t="str">
        <f>TEXT(SalesData[[#This Row],[Order_Date]],"mmm")</f>
        <v>Oct</v>
      </c>
      <c r="N2574">
        <f>YEAR(SalesData[[#This Row],[Order_Date]])</f>
        <v>2023</v>
      </c>
    </row>
    <row r="2575" spans="1:14" x14ac:dyDescent="0.3">
      <c r="A2575" t="s">
        <v>3865</v>
      </c>
      <c r="B2575" s="1">
        <v>45010</v>
      </c>
      <c r="C2575" t="s">
        <v>1623</v>
      </c>
      <c r="D2575" t="s">
        <v>28</v>
      </c>
      <c r="E2575" t="s">
        <v>13</v>
      </c>
      <c r="F2575" t="s">
        <v>36</v>
      </c>
      <c r="G2575" t="s">
        <v>2141</v>
      </c>
      <c r="H2575" s="8">
        <v>2172.9499999999998</v>
      </c>
      <c r="I2575" s="8">
        <v>-689.46</v>
      </c>
      <c r="J2575" s="8">
        <v>0.3</v>
      </c>
      <c r="K2575" t="str">
        <f>IF(SalesData[[#This Row],[Profit]]&gt;0,"Profit","Loss")</f>
        <v>Loss</v>
      </c>
      <c r="L2575" s="8">
        <f>SalesData[[#This Row],[Profit]]/SalesData[[#This Row],[Sales]]</f>
        <v>-0.31729216042706926</v>
      </c>
      <c r="M2575" t="str">
        <f>TEXT(SalesData[[#This Row],[Order_Date]],"mmm")</f>
        <v>Mar</v>
      </c>
      <c r="N2575">
        <f>YEAR(SalesData[[#This Row],[Order_Date]])</f>
        <v>2023</v>
      </c>
    </row>
    <row r="2576" spans="1:14" x14ac:dyDescent="0.3">
      <c r="A2576" t="s">
        <v>3866</v>
      </c>
      <c r="B2576" s="1">
        <v>45264</v>
      </c>
      <c r="C2576" t="s">
        <v>3063</v>
      </c>
      <c r="D2576" t="s">
        <v>28</v>
      </c>
      <c r="E2576" t="s">
        <v>56</v>
      </c>
      <c r="F2576" t="s">
        <v>73</v>
      </c>
      <c r="G2576" t="s">
        <v>374</v>
      </c>
      <c r="H2576" s="8">
        <v>118.85</v>
      </c>
      <c r="I2576" s="8">
        <v>-18.5</v>
      </c>
      <c r="J2576" s="8">
        <v>0.23</v>
      </c>
      <c r="K2576" t="str">
        <f>IF(SalesData[[#This Row],[Profit]]&gt;0,"Profit","Loss")</f>
        <v>Loss</v>
      </c>
      <c r="L2576" s="8">
        <f>SalesData[[#This Row],[Profit]]/SalesData[[#This Row],[Sales]]</f>
        <v>-0.15565839293226758</v>
      </c>
      <c r="M2576" t="str">
        <f>TEXT(SalesData[[#This Row],[Order_Date]],"mmm")</f>
        <v>Dec</v>
      </c>
      <c r="N2576">
        <f>YEAR(SalesData[[#This Row],[Order_Date]])</f>
        <v>2023</v>
      </c>
    </row>
    <row r="2577" spans="1:14" x14ac:dyDescent="0.3">
      <c r="A2577" t="s">
        <v>3867</v>
      </c>
      <c r="B2577" s="1">
        <v>44844</v>
      </c>
      <c r="C2577" t="s">
        <v>2987</v>
      </c>
      <c r="D2577" t="s">
        <v>18</v>
      </c>
      <c r="E2577" t="s">
        <v>13</v>
      </c>
      <c r="F2577" t="s">
        <v>36</v>
      </c>
      <c r="G2577" t="s">
        <v>1191</v>
      </c>
      <c r="H2577" s="8">
        <v>3459.36</v>
      </c>
      <c r="I2577" s="8">
        <v>-1001.36</v>
      </c>
      <c r="J2577" s="8">
        <v>0.26</v>
      </c>
      <c r="K2577" t="str">
        <f>IF(SalesData[[#This Row],[Profit]]&gt;0,"Profit","Loss")</f>
        <v>Loss</v>
      </c>
      <c r="L2577" s="8">
        <f>SalesData[[#This Row],[Profit]]/SalesData[[#This Row],[Sales]]</f>
        <v>-0.28946394708847878</v>
      </c>
      <c r="M2577" t="str">
        <f>TEXT(SalesData[[#This Row],[Order_Date]],"mmm")</f>
        <v>Oct</v>
      </c>
      <c r="N2577">
        <f>YEAR(SalesData[[#This Row],[Order_Date]])</f>
        <v>2022</v>
      </c>
    </row>
    <row r="2578" spans="1:14" x14ac:dyDescent="0.3">
      <c r="A2578" t="s">
        <v>3868</v>
      </c>
      <c r="B2578" s="1">
        <v>44857</v>
      </c>
      <c r="C2578" t="s">
        <v>52</v>
      </c>
      <c r="D2578" t="s">
        <v>40</v>
      </c>
      <c r="E2578" t="s">
        <v>13</v>
      </c>
      <c r="F2578" t="s">
        <v>24</v>
      </c>
      <c r="G2578" t="s">
        <v>1076</v>
      </c>
      <c r="H2578" s="8">
        <v>4250.2</v>
      </c>
      <c r="I2578" s="8">
        <v>200.72</v>
      </c>
      <c r="J2578" s="8">
        <v>0.03</v>
      </c>
      <c r="K2578" t="str">
        <f>IF(SalesData[[#This Row],[Profit]]&gt;0,"Profit","Loss")</f>
        <v>Profit</v>
      </c>
      <c r="L2578" s="8">
        <f>SalesData[[#This Row],[Profit]]/SalesData[[#This Row],[Sales]]</f>
        <v>4.7226012893510895E-2</v>
      </c>
      <c r="M2578" t="str">
        <f>TEXT(SalesData[[#This Row],[Order_Date]],"mmm")</f>
        <v>Oct</v>
      </c>
      <c r="N2578">
        <f>YEAR(SalesData[[#This Row],[Order_Date]])</f>
        <v>2022</v>
      </c>
    </row>
    <row r="2579" spans="1:14" x14ac:dyDescent="0.3">
      <c r="A2579" t="s">
        <v>3869</v>
      </c>
      <c r="B2579" s="1">
        <v>44951</v>
      </c>
      <c r="C2579" t="s">
        <v>904</v>
      </c>
      <c r="D2579" t="s">
        <v>12</v>
      </c>
      <c r="E2579" t="s">
        <v>19</v>
      </c>
      <c r="F2579" t="s">
        <v>141</v>
      </c>
      <c r="G2579" t="s">
        <v>53</v>
      </c>
      <c r="H2579" s="8">
        <v>2949.47</v>
      </c>
      <c r="I2579" s="8">
        <v>-1108.73</v>
      </c>
      <c r="J2579" s="8">
        <v>0.24</v>
      </c>
      <c r="K2579" t="str">
        <f>IF(SalesData[[#This Row],[Profit]]&gt;0,"Profit","Loss")</f>
        <v>Loss</v>
      </c>
      <c r="L2579" s="8">
        <f>SalesData[[#This Row],[Profit]]/SalesData[[#This Row],[Sales]]</f>
        <v>-0.37590821401811175</v>
      </c>
      <c r="M2579" t="str">
        <f>TEXT(SalesData[[#This Row],[Order_Date]],"mmm")</f>
        <v>Jan</v>
      </c>
      <c r="N2579">
        <f>YEAR(SalesData[[#This Row],[Order_Date]])</f>
        <v>2023</v>
      </c>
    </row>
    <row r="2580" spans="1:14" x14ac:dyDescent="0.3">
      <c r="A2580" t="s">
        <v>3870</v>
      </c>
      <c r="B2580" s="1">
        <v>45089</v>
      </c>
      <c r="C2580" t="s">
        <v>2335</v>
      </c>
      <c r="D2580" t="s">
        <v>12</v>
      </c>
      <c r="E2580" t="s">
        <v>19</v>
      </c>
      <c r="F2580" t="s">
        <v>29</v>
      </c>
      <c r="G2580" t="s">
        <v>660</v>
      </c>
      <c r="H2580" s="8">
        <v>148.38999999999999</v>
      </c>
      <c r="I2580" s="8">
        <v>2.63</v>
      </c>
      <c r="J2580" s="8">
        <v>0.18</v>
      </c>
      <c r="K2580" t="str">
        <f>IF(SalesData[[#This Row],[Profit]]&gt;0,"Profit","Loss")</f>
        <v>Profit</v>
      </c>
      <c r="L2580" s="8">
        <f>SalesData[[#This Row],[Profit]]/SalesData[[#This Row],[Sales]]</f>
        <v>1.7723566278051082E-2</v>
      </c>
      <c r="M2580" t="str">
        <f>TEXT(SalesData[[#This Row],[Order_Date]],"mmm")</f>
        <v>Jun</v>
      </c>
      <c r="N2580">
        <f>YEAR(SalesData[[#This Row],[Order_Date]])</f>
        <v>2023</v>
      </c>
    </row>
    <row r="2581" spans="1:14" x14ac:dyDescent="0.3">
      <c r="A2581" t="s">
        <v>3871</v>
      </c>
      <c r="B2581" s="1">
        <v>44704</v>
      </c>
      <c r="C2581" t="s">
        <v>52</v>
      </c>
      <c r="D2581" t="s">
        <v>12</v>
      </c>
      <c r="E2581" t="s">
        <v>56</v>
      </c>
      <c r="F2581" t="s">
        <v>57</v>
      </c>
      <c r="G2581" t="s">
        <v>1402</v>
      </c>
      <c r="H2581" s="8">
        <v>4194.8999999999996</v>
      </c>
      <c r="I2581" s="8">
        <v>-1684.61</v>
      </c>
      <c r="J2581" s="8">
        <v>0.3</v>
      </c>
      <c r="K2581" t="str">
        <f>IF(SalesData[[#This Row],[Profit]]&gt;0,"Profit","Loss")</f>
        <v>Loss</v>
      </c>
      <c r="L2581" s="8">
        <f>SalesData[[#This Row],[Profit]]/SalesData[[#This Row],[Sales]]</f>
        <v>-0.40158525828982816</v>
      </c>
      <c r="M2581" t="str">
        <f>TEXT(SalesData[[#This Row],[Order_Date]],"mmm")</f>
        <v>May</v>
      </c>
      <c r="N2581">
        <f>YEAR(SalesData[[#This Row],[Order_Date]])</f>
        <v>2022</v>
      </c>
    </row>
    <row r="2582" spans="1:14" x14ac:dyDescent="0.3">
      <c r="A2582" t="s">
        <v>3872</v>
      </c>
      <c r="B2582" s="1">
        <v>45119</v>
      </c>
      <c r="C2582" t="s">
        <v>159</v>
      </c>
      <c r="D2582" t="s">
        <v>40</v>
      </c>
      <c r="E2582" t="s">
        <v>19</v>
      </c>
      <c r="F2582" t="s">
        <v>29</v>
      </c>
      <c r="G2582" t="s">
        <v>1035</v>
      </c>
      <c r="H2582" s="8">
        <v>2809.1</v>
      </c>
      <c r="I2582" s="8">
        <v>-1289.81</v>
      </c>
      <c r="J2582" s="8">
        <v>0.27</v>
      </c>
      <c r="K2582" t="str">
        <f>IF(SalesData[[#This Row],[Profit]]&gt;0,"Profit","Loss")</f>
        <v>Loss</v>
      </c>
      <c r="L2582" s="8">
        <f>SalesData[[#This Row],[Profit]]/SalesData[[#This Row],[Sales]]</f>
        <v>-0.45915417749457121</v>
      </c>
      <c r="M2582" t="str">
        <f>TEXT(SalesData[[#This Row],[Order_Date]],"mmm")</f>
        <v>Jul</v>
      </c>
      <c r="N2582">
        <f>YEAR(SalesData[[#This Row],[Order_Date]])</f>
        <v>2023</v>
      </c>
    </row>
    <row r="2583" spans="1:14" x14ac:dyDescent="0.3">
      <c r="A2583" t="s">
        <v>3873</v>
      </c>
      <c r="B2583" s="1">
        <v>45114</v>
      </c>
      <c r="C2583" t="s">
        <v>1086</v>
      </c>
      <c r="D2583" t="s">
        <v>18</v>
      </c>
      <c r="E2583" t="s">
        <v>19</v>
      </c>
      <c r="F2583" t="s">
        <v>29</v>
      </c>
      <c r="G2583" t="s">
        <v>777</v>
      </c>
      <c r="H2583" s="8">
        <v>2648.41</v>
      </c>
      <c r="I2583" s="8">
        <v>-1137.95</v>
      </c>
      <c r="J2583" s="8">
        <v>0.23</v>
      </c>
      <c r="K2583" t="str">
        <f>IF(SalesData[[#This Row],[Profit]]&gt;0,"Profit","Loss")</f>
        <v>Loss</v>
      </c>
      <c r="L2583" s="8">
        <f>SalesData[[#This Row],[Profit]]/SalesData[[#This Row],[Sales]]</f>
        <v>-0.42967289807846976</v>
      </c>
      <c r="M2583" t="str">
        <f>TEXT(SalesData[[#This Row],[Order_Date]],"mmm")</f>
        <v>Jul</v>
      </c>
      <c r="N2583">
        <f>YEAR(SalesData[[#This Row],[Order_Date]])</f>
        <v>2023</v>
      </c>
    </row>
    <row r="2584" spans="1:14" x14ac:dyDescent="0.3">
      <c r="A2584" t="s">
        <v>3874</v>
      </c>
      <c r="B2584" s="1">
        <v>45126</v>
      </c>
      <c r="C2584" t="s">
        <v>760</v>
      </c>
      <c r="D2584" t="s">
        <v>28</v>
      </c>
      <c r="E2584" t="s">
        <v>13</v>
      </c>
      <c r="F2584" t="s">
        <v>14</v>
      </c>
      <c r="G2584" t="s">
        <v>911</v>
      </c>
      <c r="H2584" s="8">
        <v>1716.41</v>
      </c>
      <c r="I2584" s="8">
        <v>341.36</v>
      </c>
      <c r="J2584" s="8">
        <v>0.09</v>
      </c>
      <c r="K2584" t="str">
        <f>IF(SalesData[[#This Row],[Profit]]&gt;0,"Profit","Loss")</f>
        <v>Profit</v>
      </c>
      <c r="L2584" s="8">
        <f>SalesData[[#This Row],[Profit]]/SalesData[[#This Row],[Sales]]</f>
        <v>0.19888022092623558</v>
      </c>
      <c r="M2584" t="str">
        <f>TEXT(SalesData[[#This Row],[Order_Date]],"mmm")</f>
        <v>Jul</v>
      </c>
      <c r="N2584">
        <f>YEAR(SalesData[[#This Row],[Order_Date]])</f>
        <v>2023</v>
      </c>
    </row>
    <row r="2585" spans="1:14" x14ac:dyDescent="0.3">
      <c r="A2585" t="s">
        <v>3875</v>
      </c>
      <c r="B2585" s="1">
        <v>44576</v>
      </c>
      <c r="C2585" t="s">
        <v>284</v>
      </c>
      <c r="D2585" t="s">
        <v>28</v>
      </c>
      <c r="E2585" t="s">
        <v>13</v>
      </c>
      <c r="F2585" t="s">
        <v>14</v>
      </c>
      <c r="G2585" t="s">
        <v>1737</v>
      </c>
      <c r="H2585" s="8">
        <v>2811.33</v>
      </c>
      <c r="I2585" s="8">
        <v>560.29</v>
      </c>
      <c r="J2585" s="8">
        <v>0.12</v>
      </c>
      <c r="K2585" t="str">
        <f>IF(SalesData[[#This Row],[Profit]]&gt;0,"Profit","Loss")</f>
        <v>Profit</v>
      </c>
      <c r="L2585" s="8">
        <f>SalesData[[#This Row],[Profit]]/SalesData[[#This Row],[Sales]]</f>
        <v>0.19929712982823075</v>
      </c>
      <c r="M2585" t="str">
        <f>TEXT(SalesData[[#This Row],[Order_Date]],"mmm")</f>
        <v>Jan</v>
      </c>
      <c r="N2585">
        <f>YEAR(SalesData[[#This Row],[Order_Date]])</f>
        <v>2022</v>
      </c>
    </row>
    <row r="2586" spans="1:14" x14ac:dyDescent="0.3">
      <c r="A2586" t="s">
        <v>3876</v>
      </c>
      <c r="B2586" s="1">
        <v>44961</v>
      </c>
      <c r="C2586" t="s">
        <v>79</v>
      </c>
      <c r="D2586" t="s">
        <v>28</v>
      </c>
      <c r="E2586" t="s">
        <v>19</v>
      </c>
      <c r="F2586" t="s">
        <v>20</v>
      </c>
      <c r="G2586" t="s">
        <v>3261</v>
      </c>
      <c r="H2586" s="8">
        <v>331.49</v>
      </c>
      <c r="I2586" s="8">
        <v>48.99</v>
      </c>
      <c r="J2586" s="8">
        <v>0.06</v>
      </c>
      <c r="K2586" t="str">
        <f>IF(SalesData[[#This Row],[Profit]]&gt;0,"Profit","Loss")</f>
        <v>Profit</v>
      </c>
      <c r="L2586" s="8">
        <f>SalesData[[#This Row],[Profit]]/SalesData[[#This Row],[Sales]]</f>
        <v>0.14778726356752844</v>
      </c>
      <c r="M2586" t="str">
        <f>TEXT(SalesData[[#This Row],[Order_Date]],"mmm")</f>
        <v>Feb</v>
      </c>
      <c r="N2586">
        <f>YEAR(SalesData[[#This Row],[Order_Date]])</f>
        <v>2023</v>
      </c>
    </row>
    <row r="2587" spans="1:14" x14ac:dyDescent="0.3">
      <c r="A2587" t="s">
        <v>3877</v>
      </c>
      <c r="B2587" s="1">
        <v>44928</v>
      </c>
      <c r="C2587" t="s">
        <v>1594</v>
      </c>
      <c r="D2587" t="s">
        <v>40</v>
      </c>
      <c r="E2587" t="s">
        <v>13</v>
      </c>
      <c r="F2587" t="s">
        <v>24</v>
      </c>
      <c r="G2587" t="s">
        <v>30</v>
      </c>
      <c r="H2587" s="8">
        <v>1843.87</v>
      </c>
      <c r="I2587" s="8">
        <v>528.63</v>
      </c>
      <c r="J2587" s="8">
        <v>0.06</v>
      </c>
      <c r="K2587" t="str">
        <f>IF(SalesData[[#This Row],[Profit]]&gt;0,"Profit","Loss")</f>
        <v>Profit</v>
      </c>
      <c r="L2587" s="8">
        <f>SalesData[[#This Row],[Profit]]/SalesData[[#This Row],[Sales]]</f>
        <v>0.28669591674033418</v>
      </c>
      <c r="M2587" t="str">
        <f>TEXT(SalesData[[#This Row],[Order_Date]],"mmm")</f>
        <v>Jan</v>
      </c>
      <c r="N2587">
        <f>YEAR(SalesData[[#This Row],[Order_Date]])</f>
        <v>2023</v>
      </c>
    </row>
    <row r="2588" spans="1:14" x14ac:dyDescent="0.3">
      <c r="A2588" t="s">
        <v>3878</v>
      </c>
      <c r="B2588" s="1">
        <v>45116</v>
      </c>
      <c r="C2588" t="s">
        <v>3879</v>
      </c>
      <c r="D2588" t="s">
        <v>40</v>
      </c>
      <c r="E2588" t="s">
        <v>13</v>
      </c>
      <c r="F2588" t="s">
        <v>36</v>
      </c>
      <c r="G2588" t="s">
        <v>1196</v>
      </c>
      <c r="H2588" s="8">
        <v>3859.55</v>
      </c>
      <c r="I2588" s="8">
        <v>11.44</v>
      </c>
      <c r="J2588" s="8">
        <v>0.06</v>
      </c>
      <c r="K2588" t="str">
        <f>IF(SalesData[[#This Row],[Profit]]&gt;0,"Profit","Loss")</f>
        <v>Profit</v>
      </c>
      <c r="L2588" s="8">
        <f>SalesData[[#This Row],[Profit]]/SalesData[[#This Row],[Sales]]</f>
        <v>2.9640761228640644E-3</v>
      </c>
      <c r="M2588" t="str">
        <f>TEXT(SalesData[[#This Row],[Order_Date]],"mmm")</f>
        <v>Jul</v>
      </c>
      <c r="N2588">
        <f>YEAR(SalesData[[#This Row],[Order_Date]])</f>
        <v>2023</v>
      </c>
    </row>
    <row r="2589" spans="1:14" x14ac:dyDescent="0.3">
      <c r="A2589" t="s">
        <v>3880</v>
      </c>
      <c r="B2589" s="1">
        <v>44581</v>
      </c>
      <c r="C2589" t="s">
        <v>746</v>
      </c>
      <c r="D2589" t="s">
        <v>12</v>
      </c>
      <c r="E2589" t="s">
        <v>19</v>
      </c>
      <c r="F2589" t="s">
        <v>141</v>
      </c>
      <c r="G2589" t="s">
        <v>1033</v>
      </c>
      <c r="H2589" s="8">
        <v>353.75</v>
      </c>
      <c r="I2589" s="8">
        <v>41.88</v>
      </c>
      <c r="J2589" s="8">
        <v>0.23</v>
      </c>
      <c r="K2589" t="str">
        <f>IF(SalesData[[#This Row],[Profit]]&gt;0,"Profit","Loss")</f>
        <v>Profit</v>
      </c>
      <c r="L2589" s="8">
        <f>SalesData[[#This Row],[Profit]]/SalesData[[#This Row],[Sales]]</f>
        <v>0.11838869257950531</v>
      </c>
      <c r="M2589" t="str">
        <f>TEXT(SalesData[[#This Row],[Order_Date]],"mmm")</f>
        <v>Jan</v>
      </c>
      <c r="N2589">
        <f>YEAR(SalesData[[#This Row],[Order_Date]])</f>
        <v>2022</v>
      </c>
    </row>
    <row r="2590" spans="1:14" x14ac:dyDescent="0.3">
      <c r="A2590" t="s">
        <v>3881</v>
      </c>
      <c r="B2590" s="1">
        <v>44677</v>
      </c>
      <c r="C2590" t="s">
        <v>519</v>
      </c>
      <c r="D2590" t="s">
        <v>18</v>
      </c>
      <c r="E2590" t="s">
        <v>19</v>
      </c>
      <c r="F2590" t="s">
        <v>20</v>
      </c>
      <c r="G2590" t="s">
        <v>1570</v>
      </c>
      <c r="H2590" s="8">
        <v>2130.7800000000002</v>
      </c>
      <c r="I2590" s="8">
        <v>-786.36</v>
      </c>
      <c r="J2590" s="8">
        <v>0.19</v>
      </c>
      <c r="K2590" t="str">
        <f>IF(SalesData[[#This Row],[Profit]]&gt;0,"Profit","Loss")</f>
        <v>Loss</v>
      </c>
      <c r="L2590" s="8">
        <f>SalesData[[#This Row],[Profit]]/SalesData[[#This Row],[Sales]]</f>
        <v>-0.36904795427026721</v>
      </c>
      <c r="M2590" t="str">
        <f>TEXT(SalesData[[#This Row],[Order_Date]],"mmm")</f>
        <v>Apr</v>
      </c>
      <c r="N2590">
        <f>YEAR(SalesData[[#This Row],[Order_Date]])</f>
        <v>2022</v>
      </c>
    </row>
    <row r="2591" spans="1:14" x14ac:dyDescent="0.3">
      <c r="A2591" t="s">
        <v>3882</v>
      </c>
      <c r="B2591" s="1">
        <v>44872</v>
      </c>
      <c r="C2591" t="s">
        <v>232</v>
      </c>
      <c r="D2591" t="s">
        <v>18</v>
      </c>
      <c r="E2591" t="s">
        <v>19</v>
      </c>
      <c r="F2591" t="s">
        <v>141</v>
      </c>
      <c r="G2591" t="s">
        <v>1321</v>
      </c>
      <c r="H2591" s="8">
        <v>702.09</v>
      </c>
      <c r="I2591" s="8">
        <v>197.54</v>
      </c>
      <c r="J2591" s="8">
        <v>7.0000000000000007E-2</v>
      </c>
      <c r="K2591" t="str">
        <f>IF(SalesData[[#This Row],[Profit]]&gt;0,"Profit","Loss")</f>
        <v>Profit</v>
      </c>
      <c r="L2591" s="8">
        <f>SalesData[[#This Row],[Profit]]/SalesData[[#This Row],[Sales]]</f>
        <v>0.281359939608882</v>
      </c>
      <c r="M2591" t="str">
        <f>TEXT(SalesData[[#This Row],[Order_Date]],"mmm")</f>
        <v>Nov</v>
      </c>
      <c r="N2591">
        <f>YEAR(SalesData[[#This Row],[Order_Date]])</f>
        <v>2022</v>
      </c>
    </row>
    <row r="2592" spans="1:14" x14ac:dyDescent="0.3">
      <c r="A2592" t="s">
        <v>3883</v>
      </c>
      <c r="B2592" s="1">
        <v>44994</v>
      </c>
      <c r="C2592" t="s">
        <v>1798</v>
      </c>
      <c r="D2592" t="s">
        <v>28</v>
      </c>
      <c r="E2592" t="s">
        <v>13</v>
      </c>
      <c r="F2592" t="s">
        <v>14</v>
      </c>
      <c r="G2592" t="s">
        <v>2173</v>
      </c>
      <c r="H2592" s="8">
        <v>2027.63</v>
      </c>
      <c r="I2592" s="8">
        <v>-150.52000000000001</v>
      </c>
      <c r="J2592" s="8">
        <v>0.08</v>
      </c>
      <c r="K2592" t="str">
        <f>IF(SalesData[[#This Row],[Profit]]&gt;0,"Profit","Loss")</f>
        <v>Loss</v>
      </c>
      <c r="L2592" s="8">
        <f>SalesData[[#This Row],[Profit]]/SalesData[[#This Row],[Sales]]</f>
        <v>-7.4234451058625098E-2</v>
      </c>
      <c r="M2592" t="str">
        <f>TEXT(SalesData[[#This Row],[Order_Date]],"mmm")</f>
        <v>Mar</v>
      </c>
      <c r="N2592">
        <f>YEAR(SalesData[[#This Row],[Order_Date]])</f>
        <v>2023</v>
      </c>
    </row>
    <row r="2593" spans="1:14" x14ac:dyDescent="0.3">
      <c r="A2593" t="s">
        <v>3884</v>
      </c>
      <c r="B2593" s="1">
        <v>44691</v>
      </c>
      <c r="C2593" t="s">
        <v>1757</v>
      </c>
      <c r="D2593" t="s">
        <v>40</v>
      </c>
      <c r="E2593" t="s">
        <v>19</v>
      </c>
      <c r="F2593" t="s">
        <v>20</v>
      </c>
      <c r="G2593" t="s">
        <v>1094</v>
      </c>
      <c r="H2593" s="8">
        <v>1574.33</v>
      </c>
      <c r="I2593" s="8">
        <v>-196.7</v>
      </c>
      <c r="J2593" s="8">
        <v>0.01</v>
      </c>
      <c r="K2593" t="str">
        <f>IF(SalesData[[#This Row],[Profit]]&gt;0,"Profit","Loss")</f>
        <v>Loss</v>
      </c>
      <c r="L2593" s="8">
        <f>SalesData[[#This Row],[Profit]]/SalesData[[#This Row],[Sales]]</f>
        <v>-0.12494203883556815</v>
      </c>
      <c r="M2593" t="str">
        <f>TEXT(SalesData[[#This Row],[Order_Date]],"mmm")</f>
        <v>May</v>
      </c>
      <c r="N2593">
        <f>YEAR(SalesData[[#This Row],[Order_Date]])</f>
        <v>2022</v>
      </c>
    </row>
    <row r="2594" spans="1:14" x14ac:dyDescent="0.3">
      <c r="A2594" t="s">
        <v>3885</v>
      </c>
      <c r="B2594" s="1">
        <v>44997</v>
      </c>
      <c r="C2594" t="s">
        <v>2852</v>
      </c>
      <c r="D2594" t="s">
        <v>18</v>
      </c>
      <c r="E2594" t="s">
        <v>19</v>
      </c>
      <c r="F2594" t="s">
        <v>141</v>
      </c>
      <c r="G2594" t="s">
        <v>714</v>
      </c>
      <c r="H2594" s="8">
        <v>3027.05</v>
      </c>
      <c r="I2594" s="8">
        <v>-1143.75</v>
      </c>
      <c r="J2594" s="8">
        <v>0.26</v>
      </c>
      <c r="K2594" t="str">
        <f>IF(SalesData[[#This Row],[Profit]]&gt;0,"Profit","Loss")</f>
        <v>Loss</v>
      </c>
      <c r="L2594" s="8">
        <f>SalesData[[#This Row],[Profit]]/SalesData[[#This Row],[Sales]]</f>
        <v>-0.37784311458350539</v>
      </c>
      <c r="M2594" t="str">
        <f>TEXT(SalesData[[#This Row],[Order_Date]],"mmm")</f>
        <v>Mar</v>
      </c>
      <c r="N2594">
        <f>YEAR(SalesData[[#This Row],[Order_Date]])</f>
        <v>2023</v>
      </c>
    </row>
    <row r="2595" spans="1:14" x14ac:dyDescent="0.3">
      <c r="A2595" t="s">
        <v>3886</v>
      </c>
      <c r="B2595" s="1">
        <v>45212</v>
      </c>
      <c r="C2595" t="s">
        <v>408</v>
      </c>
      <c r="D2595" t="s">
        <v>40</v>
      </c>
      <c r="E2595" t="s">
        <v>56</v>
      </c>
      <c r="F2595" t="s">
        <v>57</v>
      </c>
      <c r="G2595" t="s">
        <v>504</v>
      </c>
      <c r="H2595" s="8">
        <v>3084.04</v>
      </c>
      <c r="I2595" s="8">
        <v>-526.53</v>
      </c>
      <c r="J2595" s="8">
        <v>0.1</v>
      </c>
      <c r="K2595" t="str">
        <f>IF(SalesData[[#This Row],[Profit]]&gt;0,"Profit","Loss")</f>
        <v>Loss</v>
      </c>
      <c r="L2595" s="8">
        <f>SalesData[[#This Row],[Profit]]/SalesData[[#This Row],[Sales]]</f>
        <v>-0.17072735762182073</v>
      </c>
      <c r="M2595" t="str">
        <f>TEXT(SalesData[[#This Row],[Order_Date]],"mmm")</f>
        <v>Oct</v>
      </c>
      <c r="N2595">
        <f>YEAR(SalesData[[#This Row],[Order_Date]])</f>
        <v>2023</v>
      </c>
    </row>
    <row r="2596" spans="1:14" x14ac:dyDescent="0.3">
      <c r="A2596" t="s">
        <v>3887</v>
      </c>
      <c r="B2596" s="1">
        <v>45116</v>
      </c>
      <c r="C2596" t="s">
        <v>296</v>
      </c>
      <c r="D2596" t="s">
        <v>40</v>
      </c>
      <c r="E2596" t="s">
        <v>56</v>
      </c>
      <c r="F2596" t="s">
        <v>95</v>
      </c>
      <c r="G2596" t="s">
        <v>1143</v>
      </c>
      <c r="H2596" s="8">
        <v>2544.63</v>
      </c>
      <c r="I2596" s="8">
        <v>-271.57</v>
      </c>
      <c r="J2596" s="8">
        <v>0.14000000000000001</v>
      </c>
      <c r="K2596" t="str">
        <f>IF(SalesData[[#This Row],[Profit]]&gt;0,"Profit","Loss")</f>
        <v>Loss</v>
      </c>
      <c r="L2596" s="8">
        <f>SalesData[[#This Row],[Profit]]/SalesData[[#This Row],[Sales]]</f>
        <v>-0.10672278484494799</v>
      </c>
      <c r="M2596" t="str">
        <f>TEXT(SalesData[[#This Row],[Order_Date]],"mmm")</f>
        <v>Jul</v>
      </c>
      <c r="N2596">
        <f>YEAR(SalesData[[#This Row],[Order_Date]])</f>
        <v>2023</v>
      </c>
    </row>
    <row r="2597" spans="1:14" x14ac:dyDescent="0.3">
      <c r="A2597" t="s">
        <v>3888</v>
      </c>
      <c r="B2597" s="1">
        <v>44799</v>
      </c>
      <c r="C2597" t="s">
        <v>2324</v>
      </c>
      <c r="D2597" t="s">
        <v>18</v>
      </c>
      <c r="E2597" t="s">
        <v>13</v>
      </c>
      <c r="F2597" t="s">
        <v>14</v>
      </c>
      <c r="G2597" t="s">
        <v>447</v>
      </c>
      <c r="H2597" s="8">
        <v>3043.83</v>
      </c>
      <c r="I2597" s="8">
        <v>-737.11</v>
      </c>
      <c r="J2597" s="8">
        <v>0.1</v>
      </c>
      <c r="K2597" t="str">
        <f>IF(SalesData[[#This Row],[Profit]]&gt;0,"Profit","Loss")</f>
        <v>Loss</v>
      </c>
      <c r="L2597" s="8">
        <f>SalesData[[#This Row],[Profit]]/SalesData[[#This Row],[Sales]]</f>
        <v>-0.2421652983248079</v>
      </c>
      <c r="M2597" t="str">
        <f>TEXT(SalesData[[#This Row],[Order_Date]],"mmm")</f>
        <v>Aug</v>
      </c>
      <c r="N2597">
        <f>YEAR(SalesData[[#This Row],[Order_Date]])</f>
        <v>2022</v>
      </c>
    </row>
    <row r="2598" spans="1:14" x14ac:dyDescent="0.3">
      <c r="A2598" t="s">
        <v>3889</v>
      </c>
      <c r="B2598" s="1">
        <v>44918</v>
      </c>
      <c r="C2598" t="s">
        <v>2318</v>
      </c>
      <c r="D2598" t="s">
        <v>12</v>
      </c>
      <c r="E2598" t="s">
        <v>56</v>
      </c>
      <c r="F2598" t="s">
        <v>95</v>
      </c>
      <c r="G2598" t="s">
        <v>1317</v>
      </c>
      <c r="H2598" s="8">
        <v>4169.1400000000003</v>
      </c>
      <c r="I2598" s="8">
        <v>-1323.78</v>
      </c>
      <c r="J2598" s="8">
        <v>0.28999999999999998</v>
      </c>
      <c r="K2598" t="str">
        <f>IF(SalesData[[#This Row],[Profit]]&gt;0,"Profit","Loss")</f>
        <v>Loss</v>
      </c>
      <c r="L2598" s="8">
        <f>SalesData[[#This Row],[Profit]]/SalesData[[#This Row],[Sales]]</f>
        <v>-0.31751872088728128</v>
      </c>
      <c r="M2598" t="str">
        <f>TEXT(SalesData[[#This Row],[Order_Date]],"mmm")</f>
        <v>Dec</v>
      </c>
      <c r="N2598">
        <f>YEAR(SalesData[[#This Row],[Order_Date]])</f>
        <v>2022</v>
      </c>
    </row>
    <row r="2599" spans="1:14" x14ac:dyDescent="0.3">
      <c r="A2599" t="s">
        <v>3890</v>
      </c>
      <c r="B2599" s="1">
        <v>45236</v>
      </c>
      <c r="C2599" t="s">
        <v>1559</v>
      </c>
      <c r="D2599" t="s">
        <v>12</v>
      </c>
      <c r="E2599" t="s">
        <v>13</v>
      </c>
      <c r="F2599" t="s">
        <v>24</v>
      </c>
      <c r="G2599" t="s">
        <v>882</v>
      </c>
      <c r="H2599" s="8">
        <v>376.15</v>
      </c>
      <c r="I2599" s="8">
        <v>-68.97</v>
      </c>
      <c r="J2599" s="8">
        <v>0.22</v>
      </c>
      <c r="K2599" t="str">
        <f>IF(SalesData[[#This Row],[Profit]]&gt;0,"Profit","Loss")</f>
        <v>Loss</v>
      </c>
      <c r="L2599" s="8">
        <f>SalesData[[#This Row],[Profit]]/SalesData[[#This Row],[Sales]]</f>
        <v>-0.18335770304399843</v>
      </c>
      <c r="M2599" t="str">
        <f>TEXT(SalesData[[#This Row],[Order_Date]],"mmm")</f>
        <v>Nov</v>
      </c>
      <c r="N2599">
        <f>YEAR(SalesData[[#This Row],[Order_Date]])</f>
        <v>2023</v>
      </c>
    </row>
    <row r="2600" spans="1:14" x14ac:dyDescent="0.3">
      <c r="A2600" t="s">
        <v>3891</v>
      </c>
      <c r="B2600" s="1">
        <v>44708</v>
      </c>
      <c r="C2600" t="s">
        <v>922</v>
      </c>
      <c r="D2600" t="s">
        <v>28</v>
      </c>
      <c r="E2600" t="s">
        <v>56</v>
      </c>
      <c r="F2600" t="s">
        <v>73</v>
      </c>
      <c r="G2600" t="s">
        <v>351</v>
      </c>
      <c r="H2600" s="8">
        <v>3917.75</v>
      </c>
      <c r="I2600" s="8">
        <v>772.9</v>
      </c>
      <c r="J2600" s="8">
        <v>7.0000000000000007E-2</v>
      </c>
      <c r="K2600" t="str">
        <f>IF(SalesData[[#This Row],[Profit]]&gt;0,"Profit","Loss")</f>
        <v>Profit</v>
      </c>
      <c r="L2600" s="8">
        <f>SalesData[[#This Row],[Profit]]/SalesData[[#This Row],[Sales]]</f>
        <v>0.19728160296088315</v>
      </c>
      <c r="M2600" t="str">
        <f>TEXT(SalesData[[#This Row],[Order_Date]],"mmm")</f>
        <v>May</v>
      </c>
      <c r="N2600">
        <f>YEAR(SalesData[[#This Row],[Order_Date]])</f>
        <v>2022</v>
      </c>
    </row>
    <row r="2601" spans="1:14" x14ac:dyDescent="0.3">
      <c r="A2601" t="s">
        <v>3892</v>
      </c>
      <c r="B2601" s="1">
        <v>44814</v>
      </c>
      <c r="C2601" t="s">
        <v>890</v>
      </c>
      <c r="D2601" t="s">
        <v>40</v>
      </c>
      <c r="E2601" t="s">
        <v>56</v>
      </c>
      <c r="F2601" t="s">
        <v>95</v>
      </c>
      <c r="G2601" t="s">
        <v>262</v>
      </c>
      <c r="H2601" s="8">
        <v>3884.76</v>
      </c>
      <c r="I2601" s="8">
        <v>-126.85</v>
      </c>
      <c r="J2601" s="8">
        <v>0.16</v>
      </c>
      <c r="K2601" t="str">
        <f>IF(SalesData[[#This Row],[Profit]]&gt;0,"Profit","Loss")</f>
        <v>Loss</v>
      </c>
      <c r="L2601" s="8">
        <f>SalesData[[#This Row],[Profit]]/SalesData[[#This Row],[Sales]]</f>
        <v>-3.265323983978418E-2</v>
      </c>
      <c r="M2601" t="str">
        <f>TEXT(SalesData[[#This Row],[Order_Date]],"mmm")</f>
        <v>Sep</v>
      </c>
      <c r="N2601">
        <f>YEAR(SalesData[[#This Row],[Order_Date]])</f>
        <v>2022</v>
      </c>
    </row>
    <row r="2602" spans="1:14" x14ac:dyDescent="0.3">
      <c r="A2602" t="s">
        <v>3893</v>
      </c>
      <c r="B2602" s="1">
        <v>45160</v>
      </c>
      <c r="C2602" t="s">
        <v>2673</v>
      </c>
      <c r="D2602" t="s">
        <v>40</v>
      </c>
      <c r="E2602" t="s">
        <v>19</v>
      </c>
      <c r="F2602" t="s">
        <v>141</v>
      </c>
      <c r="G2602" t="s">
        <v>3274</v>
      </c>
      <c r="H2602" s="8">
        <v>3408.02</v>
      </c>
      <c r="I2602" s="8">
        <v>-911.37</v>
      </c>
      <c r="J2602" s="8">
        <v>0.17</v>
      </c>
      <c r="K2602" t="str">
        <f>IF(SalesData[[#This Row],[Profit]]&gt;0,"Profit","Loss")</f>
        <v>Loss</v>
      </c>
      <c r="L2602" s="8">
        <f>SalesData[[#This Row],[Profit]]/SalesData[[#This Row],[Sales]]</f>
        <v>-0.26741920528635393</v>
      </c>
      <c r="M2602" t="str">
        <f>TEXT(SalesData[[#This Row],[Order_Date]],"mmm")</f>
        <v>Aug</v>
      </c>
      <c r="N2602">
        <f>YEAR(SalesData[[#This Row],[Order_Date]])</f>
        <v>2023</v>
      </c>
    </row>
    <row r="2603" spans="1:14" x14ac:dyDescent="0.3">
      <c r="A2603" t="s">
        <v>3894</v>
      </c>
      <c r="B2603" s="1">
        <v>44680</v>
      </c>
      <c r="C2603" t="s">
        <v>547</v>
      </c>
      <c r="D2603" t="s">
        <v>40</v>
      </c>
      <c r="E2603" t="s">
        <v>13</v>
      </c>
      <c r="F2603" t="s">
        <v>36</v>
      </c>
      <c r="G2603" t="s">
        <v>897</v>
      </c>
      <c r="H2603" s="8">
        <v>785.72</v>
      </c>
      <c r="I2603" s="8">
        <v>-313.63</v>
      </c>
      <c r="J2603" s="8">
        <v>0.26</v>
      </c>
      <c r="K2603" t="str">
        <f>IF(SalesData[[#This Row],[Profit]]&gt;0,"Profit","Loss")</f>
        <v>Loss</v>
      </c>
      <c r="L2603" s="8">
        <f>SalesData[[#This Row],[Profit]]/SalesData[[#This Row],[Sales]]</f>
        <v>-0.39916255154507968</v>
      </c>
      <c r="M2603" t="str">
        <f>TEXT(SalesData[[#This Row],[Order_Date]],"mmm")</f>
        <v>Apr</v>
      </c>
      <c r="N2603">
        <f>YEAR(SalesData[[#This Row],[Order_Date]])</f>
        <v>2022</v>
      </c>
    </row>
    <row r="2604" spans="1:14" x14ac:dyDescent="0.3">
      <c r="A2604" t="s">
        <v>3895</v>
      </c>
      <c r="B2604" s="1">
        <v>44615</v>
      </c>
      <c r="C2604" t="s">
        <v>63</v>
      </c>
      <c r="D2604" t="s">
        <v>12</v>
      </c>
      <c r="E2604" t="s">
        <v>19</v>
      </c>
      <c r="F2604" t="s">
        <v>141</v>
      </c>
      <c r="G2604" t="s">
        <v>58</v>
      </c>
      <c r="H2604" s="8">
        <v>511.76</v>
      </c>
      <c r="I2604" s="8">
        <v>-9.42</v>
      </c>
      <c r="J2604" s="8">
        <v>0.02</v>
      </c>
      <c r="K2604" t="str">
        <f>IF(SalesData[[#This Row],[Profit]]&gt;0,"Profit","Loss")</f>
        <v>Loss</v>
      </c>
      <c r="L2604" s="8">
        <f>SalesData[[#This Row],[Profit]]/SalesData[[#This Row],[Sales]]</f>
        <v>-1.8407065812099423E-2</v>
      </c>
      <c r="M2604" t="str">
        <f>TEXT(SalesData[[#This Row],[Order_Date]],"mmm")</f>
        <v>Feb</v>
      </c>
      <c r="N2604">
        <f>YEAR(SalesData[[#This Row],[Order_Date]])</f>
        <v>2022</v>
      </c>
    </row>
    <row r="2605" spans="1:14" x14ac:dyDescent="0.3">
      <c r="A2605" t="s">
        <v>3896</v>
      </c>
      <c r="B2605" s="1">
        <v>45044</v>
      </c>
      <c r="C2605" t="s">
        <v>1719</v>
      </c>
      <c r="D2605" t="s">
        <v>40</v>
      </c>
      <c r="E2605" t="s">
        <v>19</v>
      </c>
      <c r="F2605" t="s">
        <v>141</v>
      </c>
      <c r="G2605" t="s">
        <v>145</v>
      </c>
      <c r="H2605" s="8">
        <v>554.46</v>
      </c>
      <c r="I2605" s="8">
        <v>-80.75</v>
      </c>
      <c r="J2605" s="8">
        <v>0.13</v>
      </c>
      <c r="K2605" t="str">
        <f>IF(SalesData[[#This Row],[Profit]]&gt;0,"Profit","Loss")</f>
        <v>Loss</v>
      </c>
      <c r="L2605" s="8">
        <f>SalesData[[#This Row],[Profit]]/SalesData[[#This Row],[Sales]]</f>
        <v>-0.14563719655159973</v>
      </c>
      <c r="M2605" t="str">
        <f>TEXT(SalesData[[#This Row],[Order_Date]],"mmm")</f>
        <v>Apr</v>
      </c>
      <c r="N2605">
        <f>YEAR(SalesData[[#This Row],[Order_Date]])</f>
        <v>2023</v>
      </c>
    </row>
    <row r="2606" spans="1:14" x14ac:dyDescent="0.3">
      <c r="A2606" t="s">
        <v>3897</v>
      </c>
      <c r="B2606" s="1">
        <v>44864</v>
      </c>
      <c r="C2606" t="s">
        <v>147</v>
      </c>
      <c r="D2606" t="s">
        <v>28</v>
      </c>
      <c r="E2606" t="s">
        <v>56</v>
      </c>
      <c r="F2606" t="s">
        <v>95</v>
      </c>
      <c r="G2606" t="s">
        <v>747</v>
      </c>
      <c r="H2606" s="8">
        <v>3884.65</v>
      </c>
      <c r="I2606" s="8">
        <v>910.2</v>
      </c>
      <c r="J2606" s="8">
        <v>0.09</v>
      </c>
      <c r="K2606" t="str">
        <f>IF(SalesData[[#This Row],[Profit]]&gt;0,"Profit","Loss")</f>
        <v>Profit</v>
      </c>
      <c r="L2606" s="8">
        <f>SalesData[[#This Row],[Profit]]/SalesData[[#This Row],[Sales]]</f>
        <v>0.23430682300850786</v>
      </c>
      <c r="M2606" t="str">
        <f>TEXT(SalesData[[#This Row],[Order_Date]],"mmm")</f>
        <v>Oct</v>
      </c>
      <c r="N2606">
        <f>YEAR(SalesData[[#This Row],[Order_Date]])</f>
        <v>2022</v>
      </c>
    </row>
    <row r="2607" spans="1:14" x14ac:dyDescent="0.3">
      <c r="A2607" t="s">
        <v>3898</v>
      </c>
      <c r="B2607" s="1">
        <v>44766</v>
      </c>
      <c r="C2607" t="s">
        <v>1291</v>
      </c>
      <c r="D2607" t="s">
        <v>40</v>
      </c>
      <c r="E2607" t="s">
        <v>19</v>
      </c>
      <c r="F2607" t="s">
        <v>141</v>
      </c>
      <c r="G2607" t="s">
        <v>649</v>
      </c>
      <c r="H2607" s="8">
        <v>1571.37</v>
      </c>
      <c r="I2607" s="8">
        <v>-152.97999999999999</v>
      </c>
      <c r="J2607" s="8">
        <v>0.24</v>
      </c>
      <c r="K2607" t="str">
        <f>IF(SalesData[[#This Row],[Profit]]&gt;0,"Profit","Loss")</f>
        <v>Loss</v>
      </c>
      <c r="L2607" s="8">
        <f>SalesData[[#This Row],[Profit]]/SalesData[[#This Row],[Sales]]</f>
        <v>-9.7354537760043783E-2</v>
      </c>
      <c r="M2607" t="str">
        <f>TEXT(SalesData[[#This Row],[Order_Date]],"mmm")</f>
        <v>Jul</v>
      </c>
      <c r="N2607">
        <f>YEAR(SalesData[[#This Row],[Order_Date]])</f>
        <v>2022</v>
      </c>
    </row>
    <row r="2608" spans="1:14" x14ac:dyDescent="0.3">
      <c r="A2608" t="s">
        <v>3899</v>
      </c>
      <c r="B2608" s="1">
        <v>44593</v>
      </c>
      <c r="C2608" t="s">
        <v>3430</v>
      </c>
      <c r="D2608" t="s">
        <v>18</v>
      </c>
      <c r="E2608" t="s">
        <v>13</v>
      </c>
      <c r="F2608" t="s">
        <v>14</v>
      </c>
      <c r="G2608" t="s">
        <v>933</v>
      </c>
      <c r="H2608" s="8">
        <v>279.57</v>
      </c>
      <c r="I2608" s="8">
        <v>10.16</v>
      </c>
      <c r="J2608" s="8">
        <v>7.0000000000000007E-2</v>
      </c>
      <c r="K2608" t="str">
        <f>IF(SalesData[[#This Row],[Profit]]&gt;0,"Profit","Loss")</f>
        <v>Profit</v>
      </c>
      <c r="L2608" s="8">
        <f>SalesData[[#This Row],[Profit]]/SalesData[[#This Row],[Sales]]</f>
        <v>3.6341524484029046E-2</v>
      </c>
      <c r="M2608" t="str">
        <f>TEXT(SalesData[[#This Row],[Order_Date]],"mmm")</f>
        <v>Feb</v>
      </c>
      <c r="N2608">
        <f>YEAR(SalesData[[#This Row],[Order_Date]])</f>
        <v>2022</v>
      </c>
    </row>
    <row r="2609" spans="1:14" x14ac:dyDescent="0.3">
      <c r="A2609" t="s">
        <v>3900</v>
      </c>
      <c r="B2609" s="1">
        <v>44767</v>
      </c>
      <c r="C2609" t="s">
        <v>3711</v>
      </c>
      <c r="D2609" t="s">
        <v>18</v>
      </c>
      <c r="E2609" t="s">
        <v>13</v>
      </c>
      <c r="F2609" t="s">
        <v>14</v>
      </c>
      <c r="G2609" t="s">
        <v>1570</v>
      </c>
      <c r="H2609" s="8">
        <v>2164.3000000000002</v>
      </c>
      <c r="I2609" s="8">
        <v>-906.43</v>
      </c>
      <c r="J2609" s="8">
        <v>0.26</v>
      </c>
      <c r="K2609" t="str">
        <f>IF(SalesData[[#This Row],[Profit]]&gt;0,"Profit","Loss")</f>
        <v>Loss</v>
      </c>
      <c r="L2609" s="8">
        <f>SalesData[[#This Row],[Profit]]/SalesData[[#This Row],[Sales]]</f>
        <v>-0.41880977683315618</v>
      </c>
      <c r="M2609" t="str">
        <f>TEXT(SalesData[[#This Row],[Order_Date]],"mmm")</f>
        <v>Jul</v>
      </c>
      <c r="N2609">
        <f>YEAR(SalesData[[#This Row],[Order_Date]])</f>
        <v>2022</v>
      </c>
    </row>
    <row r="2610" spans="1:14" x14ac:dyDescent="0.3">
      <c r="A2610" t="s">
        <v>3901</v>
      </c>
      <c r="B2610" s="1">
        <v>45132</v>
      </c>
      <c r="C2610" t="s">
        <v>1831</v>
      </c>
      <c r="D2610" t="s">
        <v>40</v>
      </c>
      <c r="E2610" t="s">
        <v>56</v>
      </c>
      <c r="F2610" t="s">
        <v>73</v>
      </c>
      <c r="G2610" t="s">
        <v>608</v>
      </c>
      <c r="H2610" s="8">
        <v>2424.73</v>
      </c>
      <c r="I2610" s="8">
        <v>-618.19000000000005</v>
      </c>
      <c r="J2610" s="8">
        <v>0.16</v>
      </c>
      <c r="K2610" t="str">
        <f>IF(SalesData[[#This Row],[Profit]]&gt;0,"Profit","Loss")</f>
        <v>Loss</v>
      </c>
      <c r="L2610" s="8">
        <f>SalesData[[#This Row],[Profit]]/SalesData[[#This Row],[Sales]]</f>
        <v>-0.25495209775933819</v>
      </c>
      <c r="M2610" t="str">
        <f>TEXT(SalesData[[#This Row],[Order_Date]],"mmm")</f>
        <v>Jul</v>
      </c>
      <c r="N2610">
        <f>YEAR(SalesData[[#This Row],[Order_Date]])</f>
        <v>2023</v>
      </c>
    </row>
    <row r="2611" spans="1:14" x14ac:dyDescent="0.3">
      <c r="A2611" t="s">
        <v>3902</v>
      </c>
      <c r="B2611" s="1">
        <v>45130</v>
      </c>
      <c r="C2611" t="s">
        <v>1346</v>
      </c>
      <c r="D2611" t="s">
        <v>18</v>
      </c>
      <c r="E2611" t="s">
        <v>56</v>
      </c>
      <c r="F2611" t="s">
        <v>95</v>
      </c>
      <c r="G2611" t="s">
        <v>128</v>
      </c>
      <c r="H2611" s="8">
        <v>2762.19</v>
      </c>
      <c r="I2611" s="8">
        <v>-245.44</v>
      </c>
      <c r="J2611" s="8">
        <v>0.06</v>
      </c>
      <c r="K2611" t="str">
        <f>IF(SalesData[[#This Row],[Profit]]&gt;0,"Profit","Loss")</f>
        <v>Loss</v>
      </c>
      <c r="L2611" s="8">
        <f>SalesData[[#This Row],[Profit]]/SalesData[[#This Row],[Sales]]</f>
        <v>-8.8857030110166213E-2</v>
      </c>
      <c r="M2611" t="str">
        <f>TEXT(SalesData[[#This Row],[Order_Date]],"mmm")</f>
        <v>Jul</v>
      </c>
      <c r="N2611">
        <f>YEAR(SalesData[[#This Row],[Order_Date]])</f>
        <v>2023</v>
      </c>
    </row>
    <row r="2612" spans="1:14" x14ac:dyDescent="0.3">
      <c r="A2612" t="s">
        <v>3903</v>
      </c>
      <c r="B2612" s="1">
        <v>44980</v>
      </c>
      <c r="C2612" t="s">
        <v>2140</v>
      </c>
      <c r="D2612" t="s">
        <v>18</v>
      </c>
      <c r="E2612" t="s">
        <v>13</v>
      </c>
      <c r="F2612" t="s">
        <v>14</v>
      </c>
      <c r="G2612" t="s">
        <v>1535</v>
      </c>
      <c r="H2612" s="8">
        <v>1635.96</v>
      </c>
      <c r="I2612" s="8">
        <v>286.14</v>
      </c>
      <c r="J2612" s="8">
        <v>0.04</v>
      </c>
      <c r="K2612" t="str">
        <f>IF(SalesData[[#This Row],[Profit]]&gt;0,"Profit","Loss")</f>
        <v>Profit</v>
      </c>
      <c r="L2612" s="8">
        <f>SalesData[[#This Row],[Profit]]/SalesData[[#This Row],[Sales]]</f>
        <v>0.1749064769309763</v>
      </c>
      <c r="M2612" t="str">
        <f>TEXT(SalesData[[#This Row],[Order_Date]],"mmm")</f>
        <v>Feb</v>
      </c>
      <c r="N2612">
        <f>YEAR(SalesData[[#This Row],[Order_Date]])</f>
        <v>2023</v>
      </c>
    </row>
    <row r="2613" spans="1:14" x14ac:dyDescent="0.3">
      <c r="A2613" t="s">
        <v>3904</v>
      </c>
      <c r="B2613" s="1">
        <v>44613</v>
      </c>
      <c r="C2613" t="s">
        <v>2283</v>
      </c>
      <c r="D2613" t="s">
        <v>12</v>
      </c>
      <c r="E2613" t="s">
        <v>19</v>
      </c>
      <c r="F2613" t="s">
        <v>141</v>
      </c>
      <c r="G2613" t="s">
        <v>1970</v>
      </c>
      <c r="H2613" s="8">
        <v>1209.49</v>
      </c>
      <c r="I2613" s="8">
        <v>36.950000000000003</v>
      </c>
      <c r="J2613" s="8">
        <v>0.24</v>
      </c>
      <c r="K2613" t="str">
        <f>IF(SalesData[[#This Row],[Profit]]&gt;0,"Profit","Loss")</f>
        <v>Profit</v>
      </c>
      <c r="L2613" s="8">
        <f>SalesData[[#This Row],[Profit]]/SalesData[[#This Row],[Sales]]</f>
        <v>3.0550066556978565E-2</v>
      </c>
      <c r="M2613" t="str">
        <f>TEXT(SalesData[[#This Row],[Order_Date]],"mmm")</f>
        <v>Feb</v>
      </c>
      <c r="N2613">
        <f>YEAR(SalesData[[#This Row],[Order_Date]])</f>
        <v>2022</v>
      </c>
    </row>
    <row r="2614" spans="1:14" x14ac:dyDescent="0.3">
      <c r="A2614" t="s">
        <v>3905</v>
      </c>
      <c r="B2614" s="1">
        <v>45070</v>
      </c>
      <c r="C2614" t="s">
        <v>3088</v>
      </c>
      <c r="D2614" t="s">
        <v>28</v>
      </c>
      <c r="E2614" t="s">
        <v>19</v>
      </c>
      <c r="F2614" t="s">
        <v>141</v>
      </c>
      <c r="G2614" t="s">
        <v>377</v>
      </c>
      <c r="H2614" s="8">
        <v>2443.9899999999998</v>
      </c>
      <c r="I2614" s="8">
        <v>566.05999999999995</v>
      </c>
      <c r="J2614" s="8">
        <v>0.09</v>
      </c>
      <c r="K2614" t="str">
        <f>IF(SalesData[[#This Row],[Profit]]&gt;0,"Profit","Loss")</f>
        <v>Profit</v>
      </c>
      <c r="L2614" s="8">
        <f>SalesData[[#This Row],[Profit]]/SalesData[[#This Row],[Sales]]</f>
        <v>0.23161305897323639</v>
      </c>
      <c r="M2614" t="str">
        <f>TEXT(SalesData[[#This Row],[Order_Date]],"mmm")</f>
        <v>May</v>
      </c>
      <c r="N2614">
        <f>YEAR(SalesData[[#This Row],[Order_Date]])</f>
        <v>2023</v>
      </c>
    </row>
    <row r="2615" spans="1:14" x14ac:dyDescent="0.3">
      <c r="A2615" t="s">
        <v>3906</v>
      </c>
      <c r="B2615" s="1">
        <v>44628</v>
      </c>
      <c r="C2615" t="s">
        <v>1591</v>
      </c>
      <c r="D2615" t="s">
        <v>18</v>
      </c>
      <c r="E2615" t="s">
        <v>13</v>
      </c>
      <c r="F2615" t="s">
        <v>36</v>
      </c>
      <c r="G2615" t="s">
        <v>1857</v>
      </c>
      <c r="H2615" s="8">
        <v>4674.2299999999996</v>
      </c>
      <c r="I2615" s="8">
        <v>-661.43</v>
      </c>
      <c r="J2615" s="8">
        <v>0.18</v>
      </c>
      <c r="K2615" t="str">
        <f>IF(SalesData[[#This Row],[Profit]]&gt;0,"Profit","Loss")</f>
        <v>Loss</v>
      </c>
      <c r="L2615" s="8">
        <f>SalesData[[#This Row],[Profit]]/SalesData[[#This Row],[Sales]]</f>
        <v>-0.14150565975572446</v>
      </c>
      <c r="M2615" t="str">
        <f>TEXT(SalesData[[#This Row],[Order_Date]],"mmm")</f>
        <v>Mar</v>
      </c>
      <c r="N2615">
        <f>YEAR(SalesData[[#This Row],[Order_Date]])</f>
        <v>2022</v>
      </c>
    </row>
    <row r="2616" spans="1:14" x14ac:dyDescent="0.3">
      <c r="A2616" t="s">
        <v>3907</v>
      </c>
      <c r="B2616" s="1">
        <v>45206</v>
      </c>
      <c r="C2616" t="s">
        <v>150</v>
      </c>
      <c r="D2616" t="s">
        <v>40</v>
      </c>
      <c r="E2616" t="s">
        <v>19</v>
      </c>
      <c r="F2616" t="s">
        <v>20</v>
      </c>
      <c r="G2616" t="s">
        <v>64</v>
      </c>
      <c r="H2616" s="8">
        <v>2979.54</v>
      </c>
      <c r="I2616" s="8">
        <v>486.25</v>
      </c>
      <c r="J2616" s="8">
        <v>0.17</v>
      </c>
      <c r="K2616" t="str">
        <f>IF(SalesData[[#This Row],[Profit]]&gt;0,"Profit","Loss")</f>
        <v>Profit</v>
      </c>
      <c r="L2616" s="8">
        <f>SalesData[[#This Row],[Profit]]/SalesData[[#This Row],[Sales]]</f>
        <v>0.16319633231975406</v>
      </c>
      <c r="M2616" t="str">
        <f>TEXT(SalesData[[#This Row],[Order_Date]],"mmm")</f>
        <v>Oct</v>
      </c>
      <c r="N2616">
        <f>YEAR(SalesData[[#This Row],[Order_Date]])</f>
        <v>2023</v>
      </c>
    </row>
    <row r="2617" spans="1:14" x14ac:dyDescent="0.3">
      <c r="A2617" t="s">
        <v>3908</v>
      </c>
      <c r="B2617" s="1">
        <v>45268</v>
      </c>
      <c r="C2617" t="s">
        <v>3147</v>
      </c>
      <c r="D2617" t="s">
        <v>12</v>
      </c>
      <c r="E2617" t="s">
        <v>19</v>
      </c>
      <c r="F2617" t="s">
        <v>20</v>
      </c>
      <c r="G2617" t="s">
        <v>646</v>
      </c>
      <c r="H2617" s="8">
        <v>3087</v>
      </c>
      <c r="I2617" s="8">
        <v>321.60000000000002</v>
      </c>
      <c r="J2617" s="8">
        <v>0.17</v>
      </c>
      <c r="K2617" t="str">
        <f>IF(SalesData[[#This Row],[Profit]]&gt;0,"Profit","Loss")</f>
        <v>Profit</v>
      </c>
      <c r="L2617" s="8">
        <f>SalesData[[#This Row],[Profit]]/SalesData[[#This Row],[Sales]]</f>
        <v>0.10417881438289603</v>
      </c>
      <c r="M2617" t="str">
        <f>TEXT(SalesData[[#This Row],[Order_Date]],"mmm")</f>
        <v>Dec</v>
      </c>
      <c r="N2617">
        <f>YEAR(SalesData[[#This Row],[Order_Date]])</f>
        <v>2023</v>
      </c>
    </row>
    <row r="2618" spans="1:14" x14ac:dyDescent="0.3">
      <c r="A2618" t="s">
        <v>3909</v>
      </c>
      <c r="B2618" s="1">
        <v>45106</v>
      </c>
      <c r="C2618" t="s">
        <v>1299</v>
      </c>
      <c r="D2618" t="s">
        <v>40</v>
      </c>
      <c r="E2618" t="s">
        <v>13</v>
      </c>
      <c r="F2618" t="s">
        <v>24</v>
      </c>
      <c r="G2618" t="s">
        <v>971</v>
      </c>
      <c r="H2618" s="8">
        <v>2815.11</v>
      </c>
      <c r="I2618" s="8">
        <v>18.2</v>
      </c>
      <c r="J2618" s="8">
        <v>0.14000000000000001</v>
      </c>
      <c r="K2618" t="str">
        <f>IF(SalesData[[#This Row],[Profit]]&gt;0,"Profit","Loss")</f>
        <v>Profit</v>
      </c>
      <c r="L2618" s="8">
        <f>SalesData[[#This Row],[Profit]]/SalesData[[#This Row],[Sales]]</f>
        <v>6.4651114876505709E-3</v>
      </c>
      <c r="M2618" t="str">
        <f>TEXT(SalesData[[#This Row],[Order_Date]],"mmm")</f>
        <v>Jun</v>
      </c>
      <c r="N2618">
        <f>YEAR(SalesData[[#This Row],[Order_Date]])</f>
        <v>2023</v>
      </c>
    </row>
    <row r="2619" spans="1:14" x14ac:dyDescent="0.3">
      <c r="A2619" t="s">
        <v>3910</v>
      </c>
      <c r="B2619" s="1">
        <v>44859</v>
      </c>
      <c r="C2619" t="s">
        <v>327</v>
      </c>
      <c r="D2619" t="s">
        <v>18</v>
      </c>
      <c r="E2619" t="s">
        <v>56</v>
      </c>
      <c r="F2619" t="s">
        <v>73</v>
      </c>
      <c r="G2619" t="s">
        <v>629</v>
      </c>
      <c r="H2619" s="8">
        <v>516.41999999999996</v>
      </c>
      <c r="I2619" s="8">
        <v>9.3699999999999992</v>
      </c>
      <c r="J2619" s="8">
        <v>0.18</v>
      </c>
      <c r="K2619" t="str">
        <f>IF(SalesData[[#This Row],[Profit]]&gt;0,"Profit","Loss")</f>
        <v>Profit</v>
      </c>
      <c r="L2619" s="8">
        <f>SalesData[[#This Row],[Profit]]/SalesData[[#This Row],[Sales]]</f>
        <v>1.8144146237558577E-2</v>
      </c>
      <c r="M2619" t="str">
        <f>TEXT(SalesData[[#This Row],[Order_Date]],"mmm")</f>
        <v>Oct</v>
      </c>
      <c r="N2619">
        <f>YEAR(SalesData[[#This Row],[Order_Date]])</f>
        <v>2022</v>
      </c>
    </row>
    <row r="2620" spans="1:14" x14ac:dyDescent="0.3">
      <c r="A2620" t="s">
        <v>3911</v>
      </c>
      <c r="B2620" s="1">
        <v>44866</v>
      </c>
      <c r="C2620" t="s">
        <v>2388</v>
      </c>
      <c r="D2620" t="s">
        <v>28</v>
      </c>
      <c r="E2620" t="s">
        <v>19</v>
      </c>
      <c r="F2620" t="s">
        <v>29</v>
      </c>
      <c r="G2620" t="s">
        <v>669</v>
      </c>
      <c r="H2620" s="8">
        <v>1456.98</v>
      </c>
      <c r="I2620" s="8">
        <v>-20.56</v>
      </c>
      <c r="J2620" s="8">
        <v>0.28000000000000003</v>
      </c>
      <c r="K2620" t="str">
        <f>IF(SalesData[[#This Row],[Profit]]&gt;0,"Profit","Loss")</f>
        <v>Loss</v>
      </c>
      <c r="L2620" s="8">
        <f>SalesData[[#This Row],[Profit]]/SalesData[[#This Row],[Sales]]</f>
        <v>-1.4111381075924171E-2</v>
      </c>
      <c r="M2620" t="str">
        <f>TEXT(SalesData[[#This Row],[Order_Date]],"mmm")</f>
        <v>Nov</v>
      </c>
      <c r="N2620">
        <f>YEAR(SalesData[[#This Row],[Order_Date]])</f>
        <v>2022</v>
      </c>
    </row>
    <row r="2621" spans="1:14" x14ac:dyDescent="0.3">
      <c r="A2621" t="s">
        <v>3912</v>
      </c>
      <c r="B2621" s="1">
        <v>45064</v>
      </c>
      <c r="C2621" t="s">
        <v>2281</v>
      </c>
      <c r="D2621" t="s">
        <v>40</v>
      </c>
      <c r="E2621" t="s">
        <v>19</v>
      </c>
      <c r="F2621" t="s">
        <v>29</v>
      </c>
      <c r="G2621" t="s">
        <v>236</v>
      </c>
      <c r="H2621" s="8">
        <v>936.41</v>
      </c>
      <c r="I2621" s="8">
        <v>-231.7</v>
      </c>
      <c r="J2621" s="8">
        <v>0.27</v>
      </c>
      <c r="K2621" t="str">
        <f>IF(SalesData[[#This Row],[Profit]]&gt;0,"Profit","Loss")</f>
        <v>Loss</v>
      </c>
      <c r="L2621" s="8">
        <f>SalesData[[#This Row],[Profit]]/SalesData[[#This Row],[Sales]]</f>
        <v>-0.24743435033799296</v>
      </c>
      <c r="M2621" t="str">
        <f>TEXT(SalesData[[#This Row],[Order_Date]],"mmm")</f>
        <v>May</v>
      </c>
      <c r="N2621">
        <f>YEAR(SalesData[[#This Row],[Order_Date]])</f>
        <v>2023</v>
      </c>
    </row>
    <row r="2622" spans="1:14" x14ac:dyDescent="0.3">
      <c r="A2622" t="s">
        <v>3913</v>
      </c>
      <c r="B2622" s="1">
        <v>44614</v>
      </c>
      <c r="C2622" t="s">
        <v>159</v>
      </c>
      <c r="D2622" t="s">
        <v>18</v>
      </c>
      <c r="E2622" t="s">
        <v>13</v>
      </c>
      <c r="F2622" t="s">
        <v>14</v>
      </c>
      <c r="G2622" t="s">
        <v>2176</v>
      </c>
      <c r="H2622" s="8">
        <v>4732.6899999999996</v>
      </c>
      <c r="I2622" s="8">
        <v>404.89</v>
      </c>
      <c r="J2622" s="8">
        <v>0.22</v>
      </c>
      <c r="K2622" t="str">
        <f>IF(SalesData[[#This Row],[Profit]]&gt;0,"Profit","Loss")</f>
        <v>Profit</v>
      </c>
      <c r="L2622" s="8">
        <f>SalesData[[#This Row],[Profit]]/SalesData[[#This Row],[Sales]]</f>
        <v>8.5551768655880697E-2</v>
      </c>
      <c r="M2622" t="str">
        <f>TEXT(SalesData[[#This Row],[Order_Date]],"mmm")</f>
        <v>Feb</v>
      </c>
      <c r="N2622">
        <f>YEAR(SalesData[[#This Row],[Order_Date]])</f>
        <v>2022</v>
      </c>
    </row>
    <row r="2623" spans="1:14" x14ac:dyDescent="0.3">
      <c r="A2623" t="s">
        <v>3914</v>
      </c>
      <c r="B2623" s="1">
        <v>45240</v>
      </c>
      <c r="C2623" t="s">
        <v>519</v>
      </c>
      <c r="D2623" t="s">
        <v>12</v>
      </c>
      <c r="E2623" t="s">
        <v>19</v>
      </c>
      <c r="F2623" t="s">
        <v>141</v>
      </c>
      <c r="G2623" t="s">
        <v>2173</v>
      </c>
      <c r="H2623" s="8">
        <v>2960.65</v>
      </c>
      <c r="I2623" s="8">
        <v>-161.29</v>
      </c>
      <c r="J2623" s="8">
        <v>0.22</v>
      </c>
      <c r="K2623" t="str">
        <f>IF(SalesData[[#This Row],[Profit]]&gt;0,"Profit","Loss")</f>
        <v>Loss</v>
      </c>
      <c r="L2623" s="8">
        <f>SalesData[[#This Row],[Profit]]/SalesData[[#This Row],[Sales]]</f>
        <v>-5.4477901812102068E-2</v>
      </c>
      <c r="M2623" t="str">
        <f>TEXT(SalesData[[#This Row],[Order_Date]],"mmm")</f>
        <v>Nov</v>
      </c>
      <c r="N2623">
        <f>YEAR(SalesData[[#This Row],[Order_Date]])</f>
        <v>2023</v>
      </c>
    </row>
    <row r="2624" spans="1:14" x14ac:dyDescent="0.3">
      <c r="A2624" t="s">
        <v>3915</v>
      </c>
      <c r="B2624" s="1">
        <v>45024</v>
      </c>
      <c r="C2624" t="s">
        <v>1923</v>
      </c>
      <c r="D2624" t="s">
        <v>28</v>
      </c>
      <c r="E2624" t="s">
        <v>56</v>
      </c>
      <c r="F2624" t="s">
        <v>95</v>
      </c>
      <c r="G2624" t="s">
        <v>354</v>
      </c>
      <c r="H2624" s="8">
        <v>2691.2</v>
      </c>
      <c r="I2624" s="8">
        <v>282.74</v>
      </c>
      <c r="J2624" s="8">
        <v>0.06</v>
      </c>
      <c r="K2624" t="str">
        <f>IF(SalesData[[#This Row],[Profit]]&gt;0,"Profit","Loss")</f>
        <v>Profit</v>
      </c>
      <c r="L2624" s="8">
        <f>SalesData[[#This Row],[Profit]]/SalesData[[#This Row],[Sales]]</f>
        <v>0.10506093935790727</v>
      </c>
      <c r="M2624" t="str">
        <f>TEXT(SalesData[[#This Row],[Order_Date]],"mmm")</f>
        <v>Apr</v>
      </c>
      <c r="N2624">
        <f>YEAR(SalesData[[#This Row],[Order_Date]])</f>
        <v>2023</v>
      </c>
    </row>
    <row r="2625" spans="1:14" x14ac:dyDescent="0.3">
      <c r="A2625" t="s">
        <v>3916</v>
      </c>
      <c r="B2625" s="1">
        <v>44898</v>
      </c>
      <c r="C2625" t="s">
        <v>3206</v>
      </c>
      <c r="D2625" t="s">
        <v>40</v>
      </c>
      <c r="E2625" t="s">
        <v>19</v>
      </c>
      <c r="F2625" t="s">
        <v>141</v>
      </c>
      <c r="G2625" t="s">
        <v>608</v>
      </c>
      <c r="H2625" s="8">
        <v>2692.69</v>
      </c>
      <c r="I2625" s="8">
        <v>-841.16</v>
      </c>
      <c r="J2625" s="8">
        <v>0.27</v>
      </c>
      <c r="K2625" t="str">
        <f>IF(SalesData[[#This Row],[Profit]]&gt;0,"Profit","Loss")</f>
        <v>Loss</v>
      </c>
      <c r="L2625" s="8">
        <f>SalesData[[#This Row],[Profit]]/SalesData[[#This Row],[Sales]]</f>
        <v>-0.31238649826010417</v>
      </c>
      <c r="M2625" t="str">
        <f>TEXT(SalesData[[#This Row],[Order_Date]],"mmm")</f>
        <v>Dec</v>
      </c>
      <c r="N2625">
        <f>YEAR(SalesData[[#This Row],[Order_Date]])</f>
        <v>2022</v>
      </c>
    </row>
    <row r="2626" spans="1:14" x14ac:dyDescent="0.3">
      <c r="A2626" t="s">
        <v>3917</v>
      </c>
      <c r="B2626" s="1">
        <v>44962</v>
      </c>
      <c r="C2626" t="s">
        <v>517</v>
      </c>
      <c r="D2626" t="s">
        <v>12</v>
      </c>
      <c r="E2626" t="s">
        <v>56</v>
      </c>
      <c r="F2626" t="s">
        <v>95</v>
      </c>
      <c r="G2626" t="s">
        <v>228</v>
      </c>
      <c r="H2626" s="8">
        <v>2532.06</v>
      </c>
      <c r="I2626" s="8">
        <v>-370.08</v>
      </c>
      <c r="J2626" s="8">
        <v>0.26</v>
      </c>
      <c r="K2626" t="str">
        <f>IF(SalesData[[#This Row],[Profit]]&gt;0,"Profit","Loss")</f>
        <v>Loss</v>
      </c>
      <c r="L2626" s="8">
        <f>SalesData[[#This Row],[Profit]]/SalesData[[#This Row],[Sales]]</f>
        <v>-0.14615767398876803</v>
      </c>
      <c r="M2626" t="str">
        <f>TEXT(SalesData[[#This Row],[Order_Date]],"mmm")</f>
        <v>Feb</v>
      </c>
      <c r="N2626">
        <f>YEAR(SalesData[[#This Row],[Order_Date]])</f>
        <v>2023</v>
      </c>
    </row>
    <row r="2627" spans="1:14" x14ac:dyDescent="0.3">
      <c r="A2627" t="s">
        <v>3918</v>
      </c>
      <c r="B2627" s="1">
        <v>44911</v>
      </c>
      <c r="C2627" t="s">
        <v>1248</v>
      </c>
      <c r="D2627" t="s">
        <v>28</v>
      </c>
      <c r="E2627" t="s">
        <v>56</v>
      </c>
      <c r="F2627" t="s">
        <v>73</v>
      </c>
      <c r="G2627" t="s">
        <v>592</v>
      </c>
      <c r="H2627" s="8">
        <v>1166.43</v>
      </c>
      <c r="I2627" s="8">
        <v>124.69</v>
      </c>
      <c r="J2627" s="8">
        <v>0.01</v>
      </c>
      <c r="K2627" t="str">
        <f>IF(SalesData[[#This Row],[Profit]]&gt;0,"Profit","Loss")</f>
        <v>Profit</v>
      </c>
      <c r="L2627" s="8">
        <f>SalesData[[#This Row],[Profit]]/SalesData[[#This Row],[Sales]]</f>
        <v>0.10689882804797544</v>
      </c>
      <c r="M2627" t="str">
        <f>TEXT(SalesData[[#This Row],[Order_Date]],"mmm")</f>
        <v>Dec</v>
      </c>
      <c r="N2627">
        <f>YEAR(SalesData[[#This Row],[Order_Date]])</f>
        <v>2022</v>
      </c>
    </row>
    <row r="2628" spans="1:14" x14ac:dyDescent="0.3">
      <c r="A2628" t="s">
        <v>3919</v>
      </c>
      <c r="B2628" s="1">
        <v>45065</v>
      </c>
      <c r="C2628" t="s">
        <v>221</v>
      </c>
      <c r="D2628" t="s">
        <v>12</v>
      </c>
      <c r="E2628" t="s">
        <v>13</v>
      </c>
      <c r="F2628" t="s">
        <v>14</v>
      </c>
      <c r="G2628" t="s">
        <v>211</v>
      </c>
      <c r="H2628" s="8">
        <v>3899.27</v>
      </c>
      <c r="I2628" s="8">
        <v>-16.170000000000002</v>
      </c>
      <c r="J2628" s="8">
        <v>0.17</v>
      </c>
      <c r="K2628" t="str">
        <f>IF(SalesData[[#This Row],[Profit]]&gt;0,"Profit","Loss")</f>
        <v>Loss</v>
      </c>
      <c r="L2628" s="8">
        <f>SalesData[[#This Row],[Profit]]/SalesData[[#This Row],[Sales]]</f>
        <v>-4.1469300663970442E-3</v>
      </c>
      <c r="M2628" t="str">
        <f>TEXT(SalesData[[#This Row],[Order_Date]],"mmm")</f>
        <v>May</v>
      </c>
      <c r="N2628">
        <f>YEAR(SalesData[[#This Row],[Order_Date]])</f>
        <v>2023</v>
      </c>
    </row>
    <row r="2629" spans="1:14" x14ac:dyDescent="0.3">
      <c r="A2629" t="s">
        <v>3920</v>
      </c>
      <c r="B2629" s="1">
        <v>45194</v>
      </c>
      <c r="C2629" t="s">
        <v>2533</v>
      </c>
      <c r="D2629" t="s">
        <v>18</v>
      </c>
      <c r="E2629" t="s">
        <v>19</v>
      </c>
      <c r="F2629" t="s">
        <v>141</v>
      </c>
      <c r="G2629" t="s">
        <v>386</v>
      </c>
      <c r="H2629" s="8">
        <v>155.65</v>
      </c>
      <c r="I2629" s="8">
        <v>-1.1299999999999999</v>
      </c>
      <c r="J2629" s="8">
        <v>0.25</v>
      </c>
      <c r="K2629" t="str">
        <f>IF(SalesData[[#This Row],[Profit]]&gt;0,"Profit","Loss")</f>
        <v>Loss</v>
      </c>
      <c r="L2629" s="8">
        <f>SalesData[[#This Row],[Profit]]/SalesData[[#This Row],[Sales]]</f>
        <v>-7.2598779312560225E-3</v>
      </c>
      <c r="M2629" t="str">
        <f>TEXT(SalesData[[#This Row],[Order_Date]],"mmm")</f>
        <v>Sep</v>
      </c>
      <c r="N2629">
        <f>YEAR(SalesData[[#This Row],[Order_Date]])</f>
        <v>2023</v>
      </c>
    </row>
    <row r="2630" spans="1:14" x14ac:dyDescent="0.3">
      <c r="A2630" t="s">
        <v>3921</v>
      </c>
      <c r="B2630" s="1">
        <v>45135</v>
      </c>
      <c r="C2630" t="s">
        <v>270</v>
      </c>
      <c r="D2630" t="s">
        <v>28</v>
      </c>
      <c r="E2630" t="s">
        <v>56</v>
      </c>
      <c r="F2630" t="s">
        <v>95</v>
      </c>
      <c r="G2630" t="s">
        <v>1128</v>
      </c>
      <c r="H2630" s="8">
        <v>2393.25</v>
      </c>
      <c r="I2630" s="8">
        <v>-49.36</v>
      </c>
      <c r="J2630" s="8">
        <v>0.01</v>
      </c>
      <c r="K2630" t="str">
        <f>IF(SalesData[[#This Row],[Profit]]&gt;0,"Profit","Loss")</f>
        <v>Loss</v>
      </c>
      <c r="L2630" s="8">
        <f>SalesData[[#This Row],[Profit]]/SalesData[[#This Row],[Sales]]</f>
        <v>-2.0624673561057141E-2</v>
      </c>
      <c r="M2630" t="str">
        <f>TEXT(SalesData[[#This Row],[Order_Date]],"mmm")</f>
        <v>Jul</v>
      </c>
      <c r="N2630">
        <f>YEAR(SalesData[[#This Row],[Order_Date]])</f>
        <v>2023</v>
      </c>
    </row>
    <row r="2631" spans="1:14" x14ac:dyDescent="0.3">
      <c r="A2631" t="s">
        <v>3922</v>
      </c>
      <c r="B2631" s="1">
        <v>45234</v>
      </c>
      <c r="C2631" t="s">
        <v>446</v>
      </c>
      <c r="D2631" t="s">
        <v>12</v>
      </c>
      <c r="E2631" t="s">
        <v>56</v>
      </c>
      <c r="F2631" t="s">
        <v>57</v>
      </c>
      <c r="G2631" t="s">
        <v>236</v>
      </c>
      <c r="H2631" s="8">
        <v>4133.25</v>
      </c>
      <c r="I2631" s="8">
        <v>276.11</v>
      </c>
      <c r="J2631" s="8">
        <v>0.11</v>
      </c>
      <c r="K2631" t="str">
        <f>IF(SalesData[[#This Row],[Profit]]&gt;0,"Profit","Loss")</f>
        <v>Profit</v>
      </c>
      <c r="L2631" s="8">
        <f>SalesData[[#This Row],[Profit]]/SalesData[[#This Row],[Sales]]</f>
        <v>6.6802153269219136E-2</v>
      </c>
      <c r="M2631" t="str">
        <f>TEXT(SalesData[[#This Row],[Order_Date]],"mmm")</f>
        <v>Nov</v>
      </c>
      <c r="N2631">
        <f>YEAR(SalesData[[#This Row],[Order_Date]])</f>
        <v>2023</v>
      </c>
    </row>
    <row r="2632" spans="1:14" x14ac:dyDescent="0.3">
      <c r="A2632" t="s">
        <v>3923</v>
      </c>
      <c r="B2632" s="1">
        <v>44888</v>
      </c>
      <c r="C2632" t="s">
        <v>1771</v>
      </c>
      <c r="D2632" t="s">
        <v>18</v>
      </c>
      <c r="E2632" t="s">
        <v>13</v>
      </c>
      <c r="F2632" t="s">
        <v>36</v>
      </c>
      <c r="G2632" t="s">
        <v>404</v>
      </c>
      <c r="H2632" s="8">
        <v>4809.8100000000004</v>
      </c>
      <c r="I2632" s="8">
        <v>1451.03</v>
      </c>
      <c r="J2632" s="8">
        <v>0</v>
      </c>
      <c r="K2632" t="str">
        <f>IF(SalesData[[#This Row],[Profit]]&gt;0,"Profit","Loss")</f>
        <v>Profit</v>
      </c>
      <c r="L2632" s="8">
        <f>SalesData[[#This Row],[Profit]]/SalesData[[#This Row],[Sales]]</f>
        <v>0.30168135539657487</v>
      </c>
      <c r="M2632" t="str">
        <f>TEXT(SalesData[[#This Row],[Order_Date]],"mmm")</f>
        <v>Nov</v>
      </c>
      <c r="N2632">
        <f>YEAR(SalesData[[#This Row],[Order_Date]])</f>
        <v>2022</v>
      </c>
    </row>
    <row r="2633" spans="1:14" x14ac:dyDescent="0.3">
      <c r="A2633" t="s">
        <v>3924</v>
      </c>
      <c r="B2633" s="1">
        <v>45160</v>
      </c>
      <c r="C2633" t="s">
        <v>1396</v>
      </c>
      <c r="D2633" t="s">
        <v>12</v>
      </c>
      <c r="E2633" t="s">
        <v>19</v>
      </c>
      <c r="F2633" t="s">
        <v>20</v>
      </c>
      <c r="G2633" t="s">
        <v>105</v>
      </c>
      <c r="H2633" s="8">
        <v>3756.03</v>
      </c>
      <c r="I2633" s="8">
        <v>395.9</v>
      </c>
      <c r="J2633" s="8">
        <v>0.04</v>
      </c>
      <c r="K2633" t="str">
        <f>IF(SalesData[[#This Row],[Profit]]&gt;0,"Profit","Loss")</f>
        <v>Profit</v>
      </c>
      <c r="L2633" s="8">
        <f>SalesData[[#This Row],[Profit]]/SalesData[[#This Row],[Sales]]</f>
        <v>0.10540384395225809</v>
      </c>
      <c r="M2633" t="str">
        <f>TEXT(SalesData[[#This Row],[Order_Date]],"mmm")</f>
        <v>Aug</v>
      </c>
      <c r="N2633">
        <f>YEAR(SalesData[[#This Row],[Order_Date]])</f>
        <v>2023</v>
      </c>
    </row>
    <row r="2634" spans="1:14" x14ac:dyDescent="0.3">
      <c r="A2634" t="s">
        <v>3925</v>
      </c>
      <c r="B2634" s="1">
        <v>45223</v>
      </c>
      <c r="C2634" t="s">
        <v>953</v>
      </c>
      <c r="D2634" t="s">
        <v>40</v>
      </c>
      <c r="E2634" t="s">
        <v>13</v>
      </c>
      <c r="F2634" t="s">
        <v>14</v>
      </c>
      <c r="G2634" t="s">
        <v>640</v>
      </c>
      <c r="H2634" s="8">
        <v>4278.87</v>
      </c>
      <c r="I2634" s="8">
        <v>-1350.31</v>
      </c>
      <c r="J2634" s="8">
        <v>0.3</v>
      </c>
      <c r="K2634" t="str">
        <f>IF(SalesData[[#This Row],[Profit]]&gt;0,"Profit","Loss")</f>
        <v>Loss</v>
      </c>
      <c r="L2634" s="8">
        <f>SalesData[[#This Row],[Profit]]/SalesData[[#This Row],[Sales]]</f>
        <v>-0.31557630869832454</v>
      </c>
      <c r="M2634" t="str">
        <f>TEXT(SalesData[[#This Row],[Order_Date]],"mmm")</f>
        <v>Oct</v>
      </c>
      <c r="N2634">
        <f>YEAR(SalesData[[#This Row],[Order_Date]])</f>
        <v>2023</v>
      </c>
    </row>
    <row r="2635" spans="1:14" x14ac:dyDescent="0.3">
      <c r="A2635" t="s">
        <v>3926</v>
      </c>
      <c r="B2635" s="1">
        <v>44897</v>
      </c>
      <c r="C2635" t="s">
        <v>2324</v>
      </c>
      <c r="D2635" t="s">
        <v>12</v>
      </c>
      <c r="E2635" t="s">
        <v>56</v>
      </c>
      <c r="F2635" t="s">
        <v>73</v>
      </c>
      <c r="G2635" t="s">
        <v>1121</v>
      </c>
      <c r="H2635" s="8">
        <v>2190.3000000000002</v>
      </c>
      <c r="I2635" s="8">
        <v>96.48</v>
      </c>
      <c r="J2635" s="8">
        <v>0.17</v>
      </c>
      <c r="K2635" t="str">
        <f>IF(SalesData[[#This Row],[Profit]]&gt;0,"Profit","Loss")</f>
        <v>Profit</v>
      </c>
      <c r="L2635" s="8">
        <f>SalesData[[#This Row],[Profit]]/SalesData[[#This Row],[Sales]]</f>
        <v>4.4048760443774822E-2</v>
      </c>
      <c r="M2635" t="str">
        <f>TEXT(SalesData[[#This Row],[Order_Date]],"mmm")</f>
        <v>Dec</v>
      </c>
      <c r="N2635">
        <f>YEAR(SalesData[[#This Row],[Order_Date]])</f>
        <v>2022</v>
      </c>
    </row>
    <row r="2636" spans="1:14" x14ac:dyDescent="0.3">
      <c r="A2636" t="s">
        <v>3927</v>
      </c>
      <c r="B2636" s="1">
        <v>44700</v>
      </c>
      <c r="C2636" t="s">
        <v>2277</v>
      </c>
      <c r="D2636" t="s">
        <v>18</v>
      </c>
      <c r="E2636" t="s">
        <v>13</v>
      </c>
      <c r="F2636" t="s">
        <v>24</v>
      </c>
      <c r="G2636" t="s">
        <v>1960</v>
      </c>
      <c r="H2636" s="8">
        <v>702.78</v>
      </c>
      <c r="I2636" s="8">
        <v>-178.09</v>
      </c>
      <c r="J2636" s="8">
        <v>0.09</v>
      </c>
      <c r="K2636" t="str">
        <f>IF(SalesData[[#This Row],[Profit]]&gt;0,"Profit","Loss")</f>
        <v>Loss</v>
      </c>
      <c r="L2636" s="8">
        <f>SalesData[[#This Row],[Profit]]/SalesData[[#This Row],[Sales]]</f>
        <v>-0.25340789436238936</v>
      </c>
      <c r="M2636" t="str">
        <f>TEXT(SalesData[[#This Row],[Order_Date]],"mmm")</f>
        <v>May</v>
      </c>
      <c r="N2636">
        <f>YEAR(SalesData[[#This Row],[Order_Date]])</f>
        <v>2022</v>
      </c>
    </row>
    <row r="2637" spans="1:14" x14ac:dyDescent="0.3">
      <c r="A2637" t="s">
        <v>3928</v>
      </c>
      <c r="B2637" s="1">
        <v>45105</v>
      </c>
      <c r="C2637" t="s">
        <v>1023</v>
      </c>
      <c r="D2637" t="s">
        <v>18</v>
      </c>
      <c r="E2637" t="s">
        <v>19</v>
      </c>
      <c r="F2637" t="s">
        <v>20</v>
      </c>
      <c r="G2637" t="s">
        <v>111</v>
      </c>
      <c r="H2637" s="8">
        <v>2062.2600000000002</v>
      </c>
      <c r="I2637" s="8">
        <v>184.78</v>
      </c>
      <c r="J2637" s="8">
        <v>0.27</v>
      </c>
      <c r="K2637" t="str">
        <f>IF(SalesData[[#This Row],[Profit]]&gt;0,"Profit","Loss")</f>
        <v>Profit</v>
      </c>
      <c r="L2637" s="8">
        <f>SalesData[[#This Row],[Profit]]/SalesData[[#This Row],[Sales]]</f>
        <v>8.9600729296984857E-2</v>
      </c>
      <c r="M2637" t="str">
        <f>TEXT(SalesData[[#This Row],[Order_Date]],"mmm")</f>
        <v>Jun</v>
      </c>
      <c r="N2637">
        <f>YEAR(SalesData[[#This Row],[Order_Date]])</f>
        <v>2023</v>
      </c>
    </row>
    <row r="2638" spans="1:14" x14ac:dyDescent="0.3">
      <c r="A2638" t="s">
        <v>3929</v>
      </c>
      <c r="B2638" s="1">
        <v>45083</v>
      </c>
      <c r="C2638" t="s">
        <v>626</v>
      </c>
      <c r="D2638" t="s">
        <v>28</v>
      </c>
      <c r="E2638" t="s">
        <v>19</v>
      </c>
      <c r="F2638" t="s">
        <v>20</v>
      </c>
      <c r="G2638" t="s">
        <v>1099</v>
      </c>
      <c r="H2638" s="8">
        <v>4583.5600000000004</v>
      </c>
      <c r="I2638" s="8">
        <v>889.78</v>
      </c>
      <c r="J2638" s="8">
        <v>0.02</v>
      </c>
      <c r="K2638" t="str">
        <f>IF(SalesData[[#This Row],[Profit]]&gt;0,"Profit","Loss")</f>
        <v>Profit</v>
      </c>
      <c r="L2638" s="8">
        <f>SalesData[[#This Row],[Profit]]/SalesData[[#This Row],[Sales]]</f>
        <v>0.19412421785686232</v>
      </c>
      <c r="M2638" t="str">
        <f>TEXT(SalesData[[#This Row],[Order_Date]],"mmm")</f>
        <v>Jun</v>
      </c>
      <c r="N2638">
        <f>YEAR(SalesData[[#This Row],[Order_Date]])</f>
        <v>2023</v>
      </c>
    </row>
    <row r="2639" spans="1:14" x14ac:dyDescent="0.3">
      <c r="A2639" t="s">
        <v>3930</v>
      </c>
      <c r="B2639" s="1">
        <v>44569</v>
      </c>
      <c r="C2639" t="s">
        <v>1898</v>
      </c>
      <c r="D2639" t="s">
        <v>40</v>
      </c>
      <c r="E2639" t="s">
        <v>56</v>
      </c>
      <c r="F2639" t="s">
        <v>57</v>
      </c>
      <c r="G2639" t="s">
        <v>1621</v>
      </c>
      <c r="H2639" s="8">
        <v>1830.83</v>
      </c>
      <c r="I2639" s="8">
        <v>-739.27</v>
      </c>
      <c r="J2639" s="8">
        <v>0.24</v>
      </c>
      <c r="K2639" t="str">
        <f>IF(SalesData[[#This Row],[Profit]]&gt;0,"Profit","Loss")</f>
        <v>Loss</v>
      </c>
      <c r="L2639" s="8">
        <f>SalesData[[#This Row],[Profit]]/SalesData[[#This Row],[Sales]]</f>
        <v>-0.40378953807835793</v>
      </c>
      <c r="M2639" t="str">
        <f>TEXT(SalesData[[#This Row],[Order_Date]],"mmm")</f>
        <v>Jan</v>
      </c>
      <c r="N2639">
        <f>YEAR(SalesData[[#This Row],[Order_Date]])</f>
        <v>2022</v>
      </c>
    </row>
    <row r="2640" spans="1:14" x14ac:dyDescent="0.3">
      <c r="A2640" t="s">
        <v>3931</v>
      </c>
      <c r="B2640" s="1">
        <v>45243</v>
      </c>
      <c r="C2640" t="s">
        <v>1284</v>
      </c>
      <c r="D2640" t="s">
        <v>12</v>
      </c>
      <c r="E2640" t="s">
        <v>19</v>
      </c>
      <c r="F2640" t="s">
        <v>29</v>
      </c>
      <c r="G2640" t="s">
        <v>629</v>
      </c>
      <c r="H2640" s="8">
        <v>542.70000000000005</v>
      </c>
      <c r="I2640" s="8">
        <v>-116.6</v>
      </c>
      <c r="J2640" s="8">
        <v>0.19</v>
      </c>
      <c r="K2640" t="str">
        <f>IF(SalesData[[#This Row],[Profit]]&gt;0,"Profit","Loss")</f>
        <v>Loss</v>
      </c>
      <c r="L2640" s="8">
        <f>SalesData[[#This Row],[Profit]]/SalesData[[#This Row],[Sales]]</f>
        <v>-0.21485166758798596</v>
      </c>
      <c r="M2640" t="str">
        <f>TEXT(SalesData[[#This Row],[Order_Date]],"mmm")</f>
        <v>Nov</v>
      </c>
      <c r="N2640">
        <f>YEAR(SalesData[[#This Row],[Order_Date]])</f>
        <v>2023</v>
      </c>
    </row>
    <row r="2641" spans="1:14" x14ac:dyDescent="0.3">
      <c r="A2641" t="s">
        <v>3932</v>
      </c>
      <c r="B2641" s="1">
        <v>44752</v>
      </c>
      <c r="C2641" t="s">
        <v>1767</v>
      </c>
      <c r="D2641" t="s">
        <v>40</v>
      </c>
      <c r="E2641" t="s">
        <v>19</v>
      </c>
      <c r="F2641" t="s">
        <v>29</v>
      </c>
      <c r="G2641" t="s">
        <v>864</v>
      </c>
      <c r="H2641" s="8">
        <v>4120.0200000000004</v>
      </c>
      <c r="I2641" s="8">
        <v>92.31</v>
      </c>
      <c r="J2641" s="8">
        <v>7.0000000000000007E-2</v>
      </c>
      <c r="K2641" t="str">
        <f>IF(SalesData[[#This Row],[Profit]]&gt;0,"Profit","Loss")</f>
        <v>Profit</v>
      </c>
      <c r="L2641" s="8">
        <f>SalesData[[#This Row],[Profit]]/SalesData[[#This Row],[Sales]]</f>
        <v>2.2405231042567753E-2</v>
      </c>
      <c r="M2641" t="str">
        <f>TEXT(SalesData[[#This Row],[Order_Date]],"mmm")</f>
        <v>Jul</v>
      </c>
      <c r="N2641">
        <f>YEAR(SalesData[[#This Row],[Order_Date]])</f>
        <v>2022</v>
      </c>
    </row>
    <row r="2642" spans="1:14" x14ac:dyDescent="0.3">
      <c r="A2642" t="s">
        <v>3933</v>
      </c>
      <c r="B2642" s="1">
        <v>45190</v>
      </c>
      <c r="C2642" t="s">
        <v>1779</v>
      </c>
      <c r="D2642" t="s">
        <v>18</v>
      </c>
      <c r="E2642" t="s">
        <v>56</v>
      </c>
      <c r="F2642" t="s">
        <v>57</v>
      </c>
      <c r="G2642" t="s">
        <v>797</v>
      </c>
      <c r="H2642" s="8">
        <v>1961.17</v>
      </c>
      <c r="I2642" s="8">
        <v>596.02</v>
      </c>
      <c r="J2642" s="8">
        <v>7.0000000000000007E-2</v>
      </c>
      <c r="K2642" t="str">
        <f>IF(SalesData[[#This Row],[Profit]]&gt;0,"Profit","Loss")</f>
        <v>Profit</v>
      </c>
      <c r="L2642" s="8">
        <f>SalesData[[#This Row],[Profit]]/SalesData[[#This Row],[Sales]]</f>
        <v>0.30391042082022462</v>
      </c>
      <c r="M2642" t="str">
        <f>TEXT(SalesData[[#This Row],[Order_Date]],"mmm")</f>
        <v>Sep</v>
      </c>
      <c r="N2642">
        <f>YEAR(SalesData[[#This Row],[Order_Date]])</f>
        <v>2023</v>
      </c>
    </row>
    <row r="2643" spans="1:14" x14ac:dyDescent="0.3">
      <c r="A2643" t="s">
        <v>3934</v>
      </c>
      <c r="B2643" s="1">
        <v>44724</v>
      </c>
      <c r="C2643" t="s">
        <v>2417</v>
      </c>
      <c r="D2643" t="s">
        <v>28</v>
      </c>
      <c r="E2643" t="s">
        <v>13</v>
      </c>
      <c r="F2643" t="s">
        <v>14</v>
      </c>
      <c r="G2643" t="s">
        <v>1459</v>
      </c>
      <c r="H2643" s="8">
        <v>2410.5300000000002</v>
      </c>
      <c r="I2643" s="8">
        <v>-561.89</v>
      </c>
      <c r="J2643" s="8">
        <v>0.05</v>
      </c>
      <c r="K2643" t="str">
        <f>IF(SalesData[[#This Row],[Profit]]&gt;0,"Profit","Loss")</f>
        <v>Loss</v>
      </c>
      <c r="L2643" s="8">
        <f>SalesData[[#This Row],[Profit]]/SalesData[[#This Row],[Sales]]</f>
        <v>-0.23309811535222541</v>
      </c>
      <c r="M2643" t="str">
        <f>TEXT(SalesData[[#This Row],[Order_Date]],"mmm")</f>
        <v>Jun</v>
      </c>
      <c r="N2643">
        <f>YEAR(SalesData[[#This Row],[Order_Date]])</f>
        <v>2022</v>
      </c>
    </row>
    <row r="2644" spans="1:14" x14ac:dyDescent="0.3">
      <c r="A2644" t="s">
        <v>3935</v>
      </c>
      <c r="B2644" s="1">
        <v>44743</v>
      </c>
      <c r="C2644" t="s">
        <v>1583</v>
      </c>
      <c r="D2644" t="s">
        <v>12</v>
      </c>
      <c r="E2644" t="s">
        <v>13</v>
      </c>
      <c r="F2644" t="s">
        <v>36</v>
      </c>
      <c r="G2644" t="s">
        <v>1553</v>
      </c>
      <c r="H2644" s="8">
        <v>2108.31</v>
      </c>
      <c r="I2644" s="8">
        <v>-317.04000000000002</v>
      </c>
      <c r="J2644" s="8">
        <v>0.1</v>
      </c>
      <c r="K2644" t="str">
        <f>IF(SalesData[[#This Row],[Profit]]&gt;0,"Profit","Loss")</f>
        <v>Loss</v>
      </c>
      <c r="L2644" s="8">
        <f>SalesData[[#This Row],[Profit]]/SalesData[[#This Row],[Sales]]</f>
        <v>-0.150376367801699</v>
      </c>
      <c r="M2644" t="str">
        <f>TEXT(SalesData[[#This Row],[Order_Date]],"mmm")</f>
        <v>Jul</v>
      </c>
      <c r="N2644">
        <f>YEAR(SalesData[[#This Row],[Order_Date]])</f>
        <v>2022</v>
      </c>
    </row>
    <row r="2645" spans="1:14" x14ac:dyDescent="0.3">
      <c r="A2645" t="s">
        <v>3936</v>
      </c>
      <c r="B2645" s="1">
        <v>44597</v>
      </c>
      <c r="C2645" t="s">
        <v>2659</v>
      </c>
      <c r="D2645" t="s">
        <v>28</v>
      </c>
      <c r="E2645" t="s">
        <v>19</v>
      </c>
      <c r="F2645" t="s">
        <v>29</v>
      </c>
      <c r="G2645" t="s">
        <v>2374</v>
      </c>
      <c r="H2645" s="8">
        <v>436.57</v>
      </c>
      <c r="I2645" s="8">
        <v>-71.02</v>
      </c>
      <c r="J2645" s="8">
        <v>0.21</v>
      </c>
      <c r="K2645" t="str">
        <f>IF(SalesData[[#This Row],[Profit]]&gt;0,"Profit","Loss")</f>
        <v>Loss</v>
      </c>
      <c r="L2645" s="8">
        <f>SalesData[[#This Row],[Profit]]/SalesData[[#This Row],[Sales]]</f>
        <v>-0.16267723389147215</v>
      </c>
      <c r="M2645" t="str">
        <f>TEXT(SalesData[[#This Row],[Order_Date]],"mmm")</f>
        <v>Feb</v>
      </c>
      <c r="N2645">
        <f>YEAR(SalesData[[#This Row],[Order_Date]])</f>
        <v>2022</v>
      </c>
    </row>
    <row r="2646" spans="1:14" x14ac:dyDescent="0.3">
      <c r="A2646" t="s">
        <v>3937</v>
      </c>
      <c r="B2646" s="1">
        <v>45212</v>
      </c>
      <c r="C2646" t="s">
        <v>2277</v>
      </c>
      <c r="D2646" t="s">
        <v>28</v>
      </c>
      <c r="E2646" t="s">
        <v>19</v>
      </c>
      <c r="F2646" t="s">
        <v>141</v>
      </c>
      <c r="G2646" t="s">
        <v>383</v>
      </c>
      <c r="H2646" s="8">
        <v>4469.05</v>
      </c>
      <c r="I2646" s="8">
        <v>998.01</v>
      </c>
      <c r="J2646" s="8">
        <v>0.1</v>
      </c>
      <c r="K2646" t="str">
        <f>IF(SalesData[[#This Row],[Profit]]&gt;0,"Profit","Loss")</f>
        <v>Profit</v>
      </c>
      <c r="L2646" s="8">
        <f>SalesData[[#This Row],[Profit]]/SalesData[[#This Row],[Sales]]</f>
        <v>0.22331591725310748</v>
      </c>
      <c r="M2646" t="str">
        <f>TEXT(SalesData[[#This Row],[Order_Date]],"mmm")</f>
        <v>Oct</v>
      </c>
      <c r="N2646">
        <f>YEAR(SalesData[[#This Row],[Order_Date]])</f>
        <v>2023</v>
      </c>
    </row>
    <row r="2647" spans="1:14" x14ac:dyDescent="0.3">
      <c r="A2647" t="s">
        <v>3938</v>
      </c>
      <c r="B2647" s="1">
        <v>45247</v>
      </c>
      <c r="C2647" t="s">
        <v>1206</v>
      </c>
      <c r="D2647" t="s">
        <v>12</v>
      </c>
      <c r="E2647" t="s">
        <v>19</v>
      </c>
      <c r="F2647" t="s">
        <v>20</v>
      </c>
      <c r="G2647" t="s">
        <v>900</v>
      </c>
      <c r="H2647" s="8">
        <v>4879.03</v>
      </c>
      <c r="I2647" s="8">
        <v>-2281.02</v>
      </c>
      <c r="J2647" s="8">
        <v>0.28999999999999998</v>
      </c>
      <c r="K2647" t="str">
        <f>IF(SalesData[[#This Row],[Profit]]&gt;0,"Profit","Loss")</f>
        <v>Loss</v>
      </c>
      <c r="L2647" s="8">
        <f>SalesData[[#This Row],[Profit]]/SalesData[[#This Row],[Sales]]</f>
        <v>-0.46751505934581261</v>
      </c>
      <c r="M2647" t="str">
        <f>TEXT(SalesData[[#This Row],[Order_Date]],"mmm")</f>
        <v>Nov</v>
      </c>
      <c r="N2647">
        <f>YEAR(SalesData[[#This Row],[Order_Date]])</f>
        <v>2023</v>
      </c>
    </row>
    <row r="2648" spans="1:14" x14ac:dyDescent="0.3">
      <c r="A2648" t="s">
        <v>3939</v>
      </c>
      <c r="B2648" s="1">
        <v>44994</v>
      </c>
      <c r="C2648" t="s">
        <v>893</v>
      </c>
      <c r="D2648" t="s">
        <v>12</v>
      </c>
      <c r="E2648" t="s">
        <v>19</v>
      </c>
      <c r="F2648" t="s">
        <v>20</v>
      </c>
      <c r="G2648" t="s">
        <v>911</v>
      </c>
      <c r="H2648" s="8">
        <v>140.54</v>
      </c>
      <c r="I2648" s="8">
        <v>1.66</v>
      </c>
      <c r="J2648" s="8">
        <v>0.04</v>
      </c>
      <c r="K2648" t="str">
        <f>IF(SalesData[[#This Row],[Profit]]&gt;0,"Profit","Loss")</f>
        <v>Profit</v>
      </c>
      <c r="L2648" s="8">
        <f>SalesData[[#This Row],[Profit]]/SalesData[[#This Row],[Sales]]</f>
        <v>1.1811583890707272E-2</v>
      </c>
      <c r="M2648" t="str">
        <f>TEXT(SalesData[[#This Row],[Order_Date]],"mmm")</f>
        <v>Mar</v>
      </c>
      <c r="N2648">
        <f>YEAR(SalesData[[#This Row],[Order_Date]])</f>
        <v>2023</v>
      </c>
    </row>
    <row r="2649" spans="1:14" x14ac:dyDescent="0.3">
      <c r="A2649" t="s">
        <v>3940</v>
      </c>
      <c r="B2649" s="1">
        <v>45154</v>
      </c>
      <c r="C2649" t="s">
        <v>1719</v>
      </c>
      <c r="D2649" t="s">
        <v>40</v>
      </c>
      <c r="E2649" t="s">
        <v>13</v>
      </c>
      <c r="F2649" t="s">
        <v>36</v>
      </c>
      <c r="G2649" t="s">
        <v>608</v>
      </c>
      <c r="H2649" s="8">
        <v>3414.52</v>
      </c>
      <c r="I2649" s="8">
        <v>-77.44</v>
      </c>
      <c r="J2649" s="8">
        <v>0.14000000000000001</v>
      </c>
      <c r="K2649" t="str">
        <f>IF(SalesData[[#This Row],[Profit]]&gt;0,"Profit","Loss")</f>
        <v>Loss</v>
      </c>
      <c r="L2649" s="8">
        <f>SalesData[[#This Row],[Profit]]/SalesData[[#This Row],[Sales]]</f>
        <v>-2.2679615289996836E-2</v>
      </c>
      <c r="M2649" t="str">
        <f>TEXT(SalesData[[#This Row],[Order_Date]],"mmm")</f>
        <v>Aug</v>
      </c>
      <c r="N2649">
        <f>YEAR(SalesData[[#This Row],[Order_Date]])</f>
        <v>2023</v>
      </c>
    </row>
    <row r="2650" spans="1:14" x14ac:dyDescent="0.3">
      <c r="A2650" t="s">
        <v>3941</v>
      </c>
      <c r="B2650" s="1">
        <v>45069</v>
      </c>
      <c r="C2650" t="s">
        <v>658</v>
      </c>
      <c r="D2650" t="s">
        <v>40</v>
      </c>
      <c r="E2650" t="s">
        <v>56</v>
      </c>
      <c r="F2650" t="s">
        <v>57</v>
      </c>
      <c r="G2650" t="s">
        <v>365</v>
      </c>
      <c r="H2650" s="8">
        <v>2919.19</v>
      </c>
      <c r="I2650" s="8">
        <v>-1001.45</v>
      </c>
      <c r="J2650" s="8">
        <v>0.17</v>
      </c>
      <c r="K2650" t="str">
        <f>IF(SalesData[[#This Row],[Profit]]&gt;0,"Profit","Loss")</f>
        <v>Loss</v>
      </c>
      <c r="L2650" s="8">
        <f>SalesData[[#This Row],[Profit]]/SalesData[[#This Row],[Sales]]</f>
        <v>-0.34305749197551377</v>
      </c>
      <c r="M2650" t="str">
        <f>TEXT(SalesData[[#This Row],[Order_Date]],"mmm")</f>
        <v>May</v>
      </c>
      <c r="N2650">
        <f>YEAR(SalesData[[#This Row],[Order_Date]])</f>
        <v>2023</v>
      </c>
    </row>
    <row r="2651" spans="1:14" x14ac:dyDescent="0.3">
      <c r="A2651" t="s">
        <v>3942</v>
      </c>
      <c r="B2651" s="1">
        <v>44739</v>
      </c>
      <c r="C2651" t="s">
        <v>499</v>
      </c>
      <c r="D2651" t="s">
        <v>40</v>
      </c>
      <c r="E2651" t="s">
        <v>13</v>
      </c>
      <c r="F2651" t="s">
        <v>24</v>
      </c>
      <c r="G2651" t="s">
        <v>417</v>
      </c>
      <c r="H2651" s="8">
        <v>3170.81</v>
      </c>
      <c r="I2651" s="8">
        <v>-1293.19</v>
      </c>
      <c r="J2651" s="8">
        <v>0.21</v>
      </c>
      <c r="K2651" t="str">
        <f>IF(SalesData[[#This Row],[Profit]]&gt;0,"Profit","Loss")</f>
        <v>Loss</v>
      </c>
      <c r="L2651" s="8">
        <f>SalesData[[#This Row],[Profit]]/SalesData[[#This Row],[Sales]]</f>
        <v>-0.4078421602051211</v>
      </c>
      <c r="M2651" t="str">
        <f>TEXT(SalesData[[#This Row],[Order_Date]],"mmm")</f>
        <v>Jun</v>
      </c>
      <c r="N2651">
        <f>YEAR(SalesData[[#This Row],[Order_Date]])</f>
        <v>2022</v>
      </c>
    </row>
    <row r="2652" spans="1:14" x14ac:dyDescent="0.3">
      <c r="A2652" t="s">
        <v>3943</v>
      </c>
      <c r="B2652" s="1">
        <v>44921</v>
      </c>
      <c r="C2652" t="s">
        <v>147</v>
      </c>
      <c r="D2652" t="s">
        <v>18</v>
      </c>
      <c r="E2652" t="s">
        <v>13</v>
      </c>
      <c r="F2652" t="s">
        <v>24</v>
      </c>
      <c r="G2652" t="s">
        <v>395</v>
      </c>
      <c r="H2652" s="8">
        <v>2326.29</v>
      </c>
      <c r="I2652" s="8">
        <v>-204.85</v>
      </c>
      <c r="J2652" s="8">
        <v>0.08</v>
      </c>
      <c r="K2652" t="str">
        <f>IF(SalesData[[#This Row],[Profit]]&gt;0,"Profit","Loss")</f>
        <v>Loss</v>
      </c>
      <c r="L2652" s="8">
        <f>SalesData[[#This Row],[Profit]]/SalesData[[#This Row],[Sales]]</f>
        <v>-8.8058668523700825E-2</v>
      </c>
      <c r="M2652" t="str">
        <f>TEXT(SalesData[[#This Row],[Order_Date]],"mmm")</f>
        <v>Dec</v>
      </c>
      <c r="N2652">
        <f>YEAR(SalesData[[#This Row],[Order_Date]])</f>
        <v>2022</v>
      </c>
    </row>
    <row r="2653" spans="1:14" x14ac:dyDescent="0.3">
      <c r="A2653" t="s">
        <v>3944</v>
      </c>
      <c r="B2653" s="1">
        <v>44688</v>
      </c>
      <c r="C2653" t="s">
        <v>1891</v>
      </c>
      <c r="D2653" t="s">
        <v>40</v>
      </c>
      <c r="E2653" t="s">
        <v>19</v>
      </c>
      <c r="F2653" t="s">
        <v>141</v>
      </c>
      <c r="G2653" t="s">
        <v>1067</v>
      </c>
      <c r="H2653" s="8">
        <v>3768.22</v>
      </c>
      <c r="I2653" s="8">
        <v>631.23</v>
      </c>
      <c r="J2653" s="8">
        <v>0.14000000000000001</v>
      </c>
      <c r="K2653" t="str">
        <f>IF(SalesData[[#This Row],[Profit]]&gt;0,"Profit","Loss")</f>
        <v>Profit</v>
      </c>
      <c r="L2653" s="8">
        <f>SalesData[[#This Row],[Profit]]/SalesData[[#This Row],[Sales]]</f>
        <v>0.16751410480279816</v>
      </c>
      <c r="M2653" t="str">
        <f>TEXT(SalesData[[#This Row],[Order_Date]],"mmm")</f>
        <v>May</v>
      </c>
      <c r="N2653">
        <f>YEAR(SalesData[[#This Row],[Order_Date]])</f>
        <v>2022</v>
      </c>
    </row>
    <row r="2654" spans="1:14" x14ac:dyDescent="0.3">
      <c r="A2654" t="s">
        <v>3945</v>
      </c>
      <c r="B2654" s="1">
        <v>45135</v>
      </c>
      <c r="C2654" t="s">
        <v>1785</v>
      </c>
      <c r="D2654" t="s">
        <v>12</v>
      </c>
      <c r="E2654" t="s">
        <v>56</v>
      </c>
      <c r="F2654" t="s">
        <v>57</v>
      </c>
      <c r="G2654" t="s">
        <v>1295</v>
      </c>
      <c r="H2654" s="8">
        <v>3244.84</v>
      </c>
      <c r="I2654" s="8">
        <v>5.44</v>
      </c>
      <c r="J2654" s="8">
        <v>0.13</v>
      </c>
      <c r="K2654" t="str">
        <f>IF(SalesData[[#This Row],[Profit]]&gt;0,"Profit","Loss")</f>
        <v>Profit</v>
      </c>
      <c r="L2654" s="8">
        <f>SalesData[[#This Row],[Profit]]/SalesData[[#This Row],[Sales]]</f>
        <v>1.6765079325945194E-3</v>
      </c>
      <c r="M2654" t="str">
        <f>TEXT(SalesData[[#This Row],[Order_Date]],"mmm")</f>
        <v>Jul</v>
      </c>
      <c r="N2654">
        <f>YEAR(SalesData[[#This Row],[Order_Date]])</f>
        <v>2023</v>
      </c>
    </row>
    <row r="2655" spans="1:14" x14ac:dyDescent="0.3">
      <c r="A2655" t="s">
        <v>3946</v>
      </c>
      <c r="B2655" s="1">
        <v>44874</v>
      </c>
      <c r="C2655" t="s">
        <v>2864</v>
      </c>
      <c r="D2655" t="s">
        <v>12</v>
      </c>
      <c r="E2655" t="s">
        <v>19</v>
      </c>
      <c r="F2655" t="s">
        <v>29</v>
      </c>
      <c r="G2655" t="s">
        <v>70</v>
      </c>
      <c r="H2655" s="8">
        <v>3900.73</v>
      </c>
      <c r="I2655" s="8">
        <v>-1595.13</v>
      </c>
      <c r="J2655" s="8">
        <v>0.23</v>
      </c>
      <c r="K2655" t="str">
        <f>IF(SalesData[[#This Row],[Profit]]&gt;0,"Profit","Loss")</f>
        <v>Loss</v>
      </c>
      <c r="L2655" s="8">
        <f>SalesData[[#This Row],[Profit]]/SalesData[[#This Row],[Sales]]</f>
        <v>-0.40893114878497105</v>
      </c>
      <c r="M2655" t="str">
        <f>TEXT(SalesData[[#This Row],[Order_Date]],"mmm")</f>
        <v>Nov</v>
      </c>
      <c r="N2655">
        <f>YEAR(SalesData[[#This Row],[Order_Date]])</f>
        <v>2022</v>
      </c>
    </row>
    <row r="2656" spans="1:14" x14ac:dyDescent="0.3">
      <c r="A2656" t="s">
        <v>3947</v>
      </c>
      <c r="B2656" s="1">
        <v>45086</v>
      </c>
      <c r="C2656" t="s">
        <v>3430</v>
      </c>
      <c r="D2656" t="s">
        <v>18</v>
      </c>
      <c r="E2656" t="s">
        <v>19</v>
      </c>
      <c r="F2656" t="s">
        <v>20</v>
      </c>
      <c r="G2656" t="s">
        <v>2850</v>
      </c>
      <c r="H2656" s="8">
        <v>2787.05</v>
      </c>
      <c r="I2656" s="8">
        <v>330.12</v>
      </c>
      <c r="J2656" s="8">
        <v>0.13</v>
      </c>
      <c r="K2656" t="str">
        <f>IF(SalesData[[#This Row],[Profit]]&gt;0,"Profit","Loss")</f>
        <v>Profit</v>
      </c>
      <c r="L2656" s="8">
        <f>SalesData[[#This Row],[Profit]]/SalesData[[#This Row],[Sales]]</f>
        <v>0.11844782117292477</v>
      </c>
      <c r="M2656" t="str">
        <f>TEXT(SalesData[[#This Row],[Order_Date]],"mmm")</f>
        <v>Jun</v>
      </c>
      <c r="N2656">
        <f>YEAR(SalesData[[#This Row],[Order_Date]])</f>
        <v>2023</v>
      </c>
    </row>
    <row r="2657" spans="1:14" x14ac:dyDescent="0.3">
      <c r="A2657" t="s">
        <v>3948</v>
      </c>
      <c r="B2657" s="1">
        <v>44658</v>
      </c>
      <c r="C2657" t="s">
        <v>2016</v>
      </c>
      <c r="D2657" t="s">
        <v>12</v>
      </c>
      <c r="E2657" t="s">
        <v>19</v>
      </c>
      <c r="F2657" t="s">
        <v>29</v>
      </c>
      <c r="G2657" t="s">
        <v>309</v>
      </c>
      <c r="H2657" s="8">
        <v>3828.81</v>
      </c>
      <c r="I2657" s="8">
        <v>641.86</v>
      </c>
      <c r="J2657" s="8">
        <v>0.13</v>
      </c>
      <c r="K2657" t="str">
        <f>IF(SalesData[[#This Row],[Profit]]&gt;0,"Profit","Loss")</f>
        <v>Profit</v>
      </c>
      <c r="L2657" s="8">
        <f>SalesData[[#This Row],[Profit]]/SalesData[[#This Row],[Sales]]</f>
        <v>0.16763955380392342</v>
      </c>
      <c r="M2657" t="str">
        <f>TEXT(SalesData[[#This Row],[Order_Date]],"mmm")</f>
        <v>Apr</v>
      </c>
      <c r="N2657">
        <f>YEAR(SalesData[[#This Row],[Order_Date]])</f>
        <v>2022</v>
      </c>
    </row>
    <row r="2658" spans="1:14" x14ac:dyDescent="0.3">
      <c r="A2658" t="s">
        <v>3949</v>
      </c>
      <c r="B2658" s="1">
        <v>45086</v>
      </c>
      <c r="C2658" t="s">
        <v>1664</v>
      </c>
      <c r="D2658" t="s">
        <v>28</v>
      </c>
      <c r="E2658" t="s">
        <v>56</v>
      </c>
      <c r="F2658" t="s">
        <v>73</v>
      </c>
      <c r="G2658" t="s">
        <v>108</v>
      </c>
      <c r="H2658" s="8">
        <v>4574.41</v>
      </c>
      <c r="I2658" s="8">
        <v>-1237.54</v>
      </c>
      <c r="J2658" s="8">
        <v>0.28000000000000003</v>
      </c>
      <c r="K2658" t="str">
        <f>IF(SalesData[[#This Row],[Profit]]&gt;0,"Profit","Loss")</f>
        <v>Loss</v>
      </c>
      <c r="L2658" s="8">
        <f>SalesData[[#This Row],[Profit]]/SalesData[[#This Row],[Sales]]</f>
        <v>-0.27053543517087447</v>
      </c>
      <c r="M2658" t="str">
        <f>TEXT(SalesData[[#This Row],[Order_Date]],"mmm")</f>
        <v>Jun</v>
      </c>
      <c r="N2658">
        <f>YEAR(SalesData[[#This Row],[Order_Date]])</f>
        <v>2023</v>
      </c>
    </row>
    <row r="2659" spans="1:14" x14ac:dyDescent="0.3">
      <c r="A2659" t="s">
        <v>3950</v>
      </c>
      <c r="B2659" s="1">
        <v>44732</v>
      </c>
      <c r="C2659" t="s">
        <v>2245</v>
      </c>
      <c r="D2659" t="s">
        <v>40</v>
      </c>
      <c r="E2659" t="s">
        <v>56</v>
      </c>
      <c r="F2659" t="s">
        <v>57</v>
      </c>
      <c r="G2659" t="s">
        <v>564</v>
      </c>
      <c r="H2659" s="8">
        <v>2770.26</v>
      </c>
      <c r="I2659" s="8">
        <v>-306.92</v>
      </c>
      <c r="J2659" s="8">
        <v>0.12</v>
      </c>
      <c r="K2659" t="str">
        <f>IF(SalesData[[#This Row],[Profit]]&gt;0,"Profit","Loss")</f>
        <v>Loss</v>
      </c>
      <c r="L2659" s="8">
        <f>SalesData[[#This Row],[Profit]]/SalesData[[#This Row],[Sales]]</f>
        <v>-0.11079104488387372</v>
      </c>
      <c r="M2659" t="str">
        <f>TEXT(SalesData[[#This Row],[Order_Date]],"mmm")</f>
        <v>Jun</v>
      </c>
      <c r="N2659">
        <f>YEAR(SalesData[[#This Row],[Order_Date]])</f>
        <v>2022</v>
      </c>
    </row>
    <row r="2660" spans="1:14" x14ac:dyDescent="0.3">
      <c r="A2660" t="s">
        <v>3951</v>
      </c>
      <c r="B2660" s="1">
        <v>44597</v>
      </c>
      <c r="C2660" t="s">
        <v>400</v>
      </c>
      <c r="D2660" t="s">
        <v>40</v>
      </c>
      <c r="E2660" t="s">
        <v>13</v>
      </c>
      <c r="F2660" t="s">
        <v>14</v>
      </c>
      <c r="G2660" t="s">
        <v>288</v>
      </c>
      <c r="H2660" s="8">
        <v>4325.55</v>
      </c>
      <c r="I2660" s="8">
        <v>-947.31</v>
      </c>
      <c r="J2660" s="8">
        <v>7.0000000000000007E-2</v>
      </c>
      <c r="K2660" t="str">
        <f>IF(SalesData[[#This Row],[Profit]]&gt;0,"Profit","Loss")</f>
        <v>Loss</v>
      </c>
      <c r="L2660" s="8">
        <f>SalesData[[#This Row],[Profit]]/SalesData[[#This Row],[Sales]]</f>
        <v>-0.2190033637340916</v>
      </c>
      <c r="M2660" t="str">
        <f>TEXT(SalesData[[#This Row],[Order_Date]],"mmm")</f>
        <v>Feb</v>
      </c>
      <c r="N2660">
        <f>YEAR(SalesData[[#This Row],[Order_Date]])</f>
        <v>2022</v>
      </c>
    </row>
    <row r="2661" spans="1:14" x14ac:dyDescent="0.3">
      <c r="A2661" t="s">
        <v>3952</v>
      </c>
      <c r="B2661" s="1">
        <v>44619</v>
      </c>
      <c r="C2661" t="s">
        <v>3953</v>
      </c>
      <c r="D2661" t="s">
        <v>28</v>
      </c>
      <c r="E2661" t="s">
        <v>19</v>
      </c>
      <c r="F2661" t="s">
        <v>20</v>
      </c>
      <c r="G2661" t="s">
        <v>265</v>
      </c>
      <c r="H2661" s="8">
        <v>135.88</v>
      </c>
      <c r="I2661" s="8">
        <v>-53.02</v>
      </c>
      <c r="J2661" s="8">
        <v>0.23</v>
      </c>
      <c r="K2661" t="str">
        <f>IF(SalesData[[#This Row],[Profit]]&gt;0,"Profit","Loss")</f>
        <v>Loss</v>
      </c>
      <c r="L2661" s="8">
        <f>SalesData[[#This Row],[Profit]]/SalesData[[#This Row],[Sales]]</f>
        <v>-0.39019723285251695</v>
      </c>
      <c r="M2661" t="str">
        <f>TEXT(SalesData[[#This Row],[Order_Date]],"mmm")</f>
        <v>Feb</v>
      </c>
      <c r="N2661">
        <f>YEAR(SalesData[[#This Row],[Order_Date]])</f>
        <v>2022</v>
      </c>
    </row>
    <row r="2662" spans="1:14" x14ac:dyDescent="0.3">
      <c r="A2662" t="s">
        <v>3954</v>
      </c>
      <c r="B2662" s="1">
        <v>44942</v>
      </c>
      <c r="C2662" t="s">
        <v>577</v>
      </c>
      <c r="D2662" t="s">
        <v>18</v>
      </c>
      <c r="E2662" t="s">
        <v>13</v>
      </c>
      <c r="F2662" t="s">
        <v>24</v>
      </c>
      <c r="G2662" t="s">
        <v>225</v>
      </c>
      <c r="H2662" s="8">
        <v>1433.35</v>
      </c>
      <c r="I2662" s="8">
        <v>-393.12</v>
      </c>
      <c r="J2662" s="8">
        <v>0.17</v>
      </c>
      <c r="K2662" t="str">
        <f>IF(SalesData[[#This Row],[Profit]]&gt;0,"Profit","Loss")</f>
        <v>Loss</v>
      </c>
      <c r="L2662" s="8">
        <f>SalesData[[#This Row],[Profit]]/SalesData[[#This Row],[Sales]]</f>
        <v>-0.27426657829560125</v>
      </c>
      <c r="M2662" t="str">
        <f>TEXT(SalesData[[#This Row],[Order_Date]],"mmm")</f>
        <v>Jan</v>
      </c>
      <c r="N2662">
        <f>YEAR(SalesData[[#This Row],[Order_Date]])</f>
        <v>2023</v>
      </c>
    </row>
    <row r="2663" spans="1:14" x14ac:dyDescent="0.3">
      <c r="A2663" t="s">
        <v>3955</v>
      </c>
      <c r="B2663" s="1">
        <v>44878</v>
      </c>
      <c r="C2663" t="s">
        <v>3206</v>
      </c>
      <c r="D2663" t="s">
        <v>18</v>
      </c>
      <c r="E2663" t="s">
        <v>13</v>
      </c>
      <c r="F2663" t="s">
        <v>24</v>
      </c>
      <c r="G2663" t="s">
        <v>1592</v>
      </c>
      <c r="H2663" s="8">
        <v>468.89</v>
      </c>
      <c r="I2663" s="8">
        <v>18.170000000000002</v>
      </c>
      <c r="J2663" s="8">
        <v>0.19</v>
      </c>
      <c r="K2663" t="str">
        <f>IF(SalesData[[#This Row],[Profit]]&gt;0,"Profit","Loss")</f>
        <v>Profit</v>
      </c>
      <c r="L2663" s="8">
        <f>SalesData[[#This Row],[Profit]]/SalesData[[#This Row],[Sales]]</f>
        <v>3.8751093006888615E-2</v>
      </c>
      <c r="M2663" t="str">
        <f>TEXT(SalesData[[#This Row],[Order_Date]],"mmm")</f>
        <v>Nov</v>
      </c>
      <c r="N2663">
        <f>YEAR(SalesData[[#This Row],[Order_Date]])</f>
        <v>2022</v>
      </c>
    </row>
    <row r="2664" spans="1:14" x14ac:dyDescent="0.3">
      <c r="A2664" t="s">
        <v>3956</v>
      </c>
      <c r="B2664" s="1">
        <v>45133</v>
      </c>
      <c r="C2664" t="s">
        <v>1776</v>
      </c>
      <c r="D2664" t="s">
        <v>18</v>
      </c>
      <c r="E2664" t="s">
        <v>19</v>
      </c>
      <c r="F2664" t="s">
        <v>141</v>
      </c>
      <c r="G2664" t="s">
        <v>2110</v>
      </c>
      <c r="H2664" s="8">
        <v>4765.38</v>
      </c>
      <c r="I2664" s="8">
        <v>1087.05</v>
      </c>
      <c r="J2664" s="8">
        <v>0.01</v>
      </c>
      <c r="K2664" t="str">
        <f>IF(SalesData[[#This Row],[Profit]]&gt;0,"Profit","Loss")</f>
        <v>Profit</v>
      </c>
      <c r="L2664" s="8">
        <f>SalesData[[#This Row],[Profit]]/SalesData[[#This Row],[Sales]]</f>
        <v>0.22811402238646233</v>
      </c>
      <c r="M2664" t="str">
        <f>TEXT(SalesData[[#This Row],[Order_Date]],"mmm")</f>
        <v>Jul</v>
      </c>
      <c r="N2664">
        <f>YEAR(SalesData[[#This Row],[Order_Date]])</f>
        <v>2023</v>
      </c>
    </row>
    <row r="2665" spans="1:14" x14ac:dyDescent="0.3">
      <c r="A2665" t="s">
        <v>3957</v>
      </c>
      <c r="B2665" s="1">
        <v>44743</v>
      </c>
      <c r="C2665" t="s">
        <v>72</v>
      </c>
      <c r="D2665" t="s">
        <v>12</v>
      </c>
      <c r="E2665" t="s">
        <v>19</v>
      </c>
      <c r="F2665" t="s">
        <v>29</v>
      </c>
      <c r="G2665" t="s">
        <v>351</v>
      </c>
      <c r="H2665" s="8">
        <v>4341.2</v>
      </c>
      <c r="I2665" s="8">
        <v>-1073.0899999999999</v>
      </c>
      <c r="J2665" s="8">
        <v>0.17</v>
      </c>
      <c r="K2665" t="str">
        <f>IF(SalesData[[#This Row],[Profit]]&gt;0,"Profit","Loss")</f>
        <v>Loss</v>
      </c>
      <c r="L2665" s="8">
        <f>SalesData[[#This Row],[Profit]]/SalesData[[#This Row],[Sales]]</f>
        <v>-0.24718741361835436</v>
      </c>
      <c r="M2665" t="str">
        <f>TEXT(SalesData[[#This Row],[Order_Date]],"mmm")</f>
        <v>Jul</v>
      </c>
      <c r="N2665">
        <f>YEAR(SalesData[[#This Row],[Order_Date]])</f>
        <v>2022</v>
      </c>
    </row>
    <row r="2666" spans="1:14" x14ac:dyDescent="0.3">
      <c r="A2666" t="s">
        <v>3958</v>
      </c>
      <c r="B2666" s="1">
        <v>45272</v>
      </c>
      <c r="C2666" t="s">
        <v>1108</v>
      </c>
      <c r="D2666" t="s">
        <v>18</v>
      </c>
      <c r="E2666" t="s">
        <v>19</v>
      </c>
      <c r="F2666" t="s">
        <v>20</v>
      </c>
      <c r="G2666" t="s">
        <v>1113</v>
      </c>
      <c r="H2666" s="8">
        <v>1009.06</v>
      </c>
      <c r="I2666" s="8">
        <v>302.14</v>
      </c>
      <c r="J2666" s="8">
        <v>0</v>
      </c>
      <c r="K2666" t="str">
        <f>IF(SalesData[[#This Row],[Profit]]&gt;0,"Profit","Loss")</f>
        <v>Profit</v>
      </c>
      <c r="L2666" s="8">
        <f>SalesData[[#This Row],[Profit]]/SalesData[[#This Row],[Sales]]</f>
        <v>0.29942718966166532</v>
      </c>
      <c r="M2666" t="str">
        <f>TEXT(SalesData[[#This Row],[Order_Date]],"mmm")</f>
        <v>Dec</v>
      </c>
      <c r="N2666">
        <f>YEAR(SalesData[[#This Row],[Order_Date]])</f>
        <v>2023</v>
      </c>
    </row>
    <row r="2667" spans="1:14" x14ac:dyDescent="0.3">
      <c r="A2667" t="s">
        <v>3959</v>
      </c>
      <c r="B2667" s="1">
        <v>44759</v>
      </c>
      <c r="C2667" t="s">
        <v>1125</v>
      </c>
      <c r="D2667" t="s">
        <v>28</v>
      </c>
      <c r="E2667" t="s">
        <v>19</v>
      </c>
      <c r="F2667" t="s">
        <v>20</v>
      </c>
      <c r="G2667" t="s">
        <v>2573</v>
      </c>
      <c r="H2667" s="8">
        <v>628.62</v>
      </c>
      <c r="I2667" s="8">
        <v>-263.41000000000003</v>
      </c>
      <c r="J2667" s="8">
        <v>0.25</v>
      </c>
      <c r="K2667" t="str">
        <f>IF(SalesData[[#This Row],[Profit]]&gt;0,"Profit","Loss")</f>
        <v>Loss</v>
      </c>
      <c r="L2667" s="8">
        <f>SalesData[[#This Row],[Profit]]/SalesData[[#This Row],[Sales]]</f>
        <v>-0.41902898412395412</v>
      </c>
      <c r="M2667" t="str">
        <f>TEXT(SalesData[[#This Row],[Order_Date]],"mmm")</f>
        <v>Jul</v>
      </c>
      <c r="N2667">
        <f>YEAR(SalesData[[#This Row],[Order_Date]])</f>
        <v>2022</v>
      </c>
    </row>
    <row r="2668" spans="1:14" x14ac:dyDescent="0.3">
      <c r="A2668" t="s">
        <v>3960</v>
      </c>
      <c r="B2668" s="1">
        <v>44714</v>
      </c>
      <c r="C2668" t="s">
        <v>3961</v>
      </c>
      <c r="D2668" t="s">
        <v>28</v>
      </c>
      <c r="E2668" t="s">
        <v>19</v>
      </c>
      <c r="F2668" t="s">
        <v>20</v>
      </c>
      <c r="G2668" t="s">
        <v>744</v>
      </c>
      <c r="H2668" s="8">
        <v>3468.96</v>
      </c>
      <c r="I2668" s="8">
        <v>86.5</v>
      </c>
      <c r="J2668" s="8">
        <v>0.06</v>
      </c>
      <c r="K2668" t="str">
        <f>IF(SalesData[[#This Row],[Profit]]&gt;0,"Profit","Loss")</f>
        <v>Profit</v>
      </c>
      <c r="L2668" s="8">
        <f>SalesData[[#This Row],[Profit]]/SalesData[[#This Row],[Sales]]</f>
        <v>2.4935427332687606E-2</v>
      </c>
      <c r="M2668" t="str">
        <f>TEXT(SalesData[[#This Row],[Order_Date]],"mmm")</f>
        <v>Jun</v>
      </c>
      <c r="N2668">
        <f>YEAR(SalesData[[#This Row],[Order_Date]])</f>
        <v>2022</v>
      </c>
    </row>
    <row r="2669" spans="1:14" x14ac:dyDescent="0.3">
      <c r="A2669" t="s">
        <v>3962</v>
      </c>
      <c r="B2669" s="1">
        <v>44597</v>
      </c>
      <c r="C2669" t="s">
        <v>741</v>
      </c>
      <c r="D2669" t="s">
        <v>40</v>
      </c>
      <c r="E2669" t="s">
        <v>13</v>
      </c>
      <c r="F2669" t="s">
        <v>24</v>
      </c>
      <c r="G2669" t="s">
        <v>1352</v>
      </c>
      <c r="H2669" s="8">
        <v>932.19</v>
      </c>
      <c r="I2669" s="8">
        <v>-362.75</v>
      </c>
      <c r="J2669" s="8">
        <v>0.28000000000000003</v>
      </c>
      <c r="K2669" t="str">
        <f>IF(SalesData[[#This Row],[Profit]]&gt;0,"Profit","Loss")</f>
        <v>Loss</v>
      </c>
      <c r="L2669" s="8">
        <f>SalesData[[#This Row],[Profit]]/SalesData[[#This Row],[Sales]]</f>
        <v>-0.38913740761003657</v>
      </c>
      <c r="M2669" t="str">
        <f>TEXT(SalesData[[#This Row],[Order_Date]],"mmm")</f>
        <v>Feb</v>
      </c>
      <c r="N2669">
        <f>YEAR(SalesData[[#This Row],[Order_Date]])</f>
        <v>2022</v>
      </c>
    </row>
    <row r="2670" spans="1:14" x14ac:dyDescent="0.3">
      <c r="A2670" t="s">
        <v>3963</v>
      </c>
      <c r="B2670" s="1">
        <v>45146</v>
      </c>
      <c r="C2670" t="s">
        <v>1949</v>
      </c>
      <c r="D2670" t="s">
        <v>18</v>
      </c>
      <c r="E2670" t="s">
        <v>56</v>
      </c>
      <c r="F2670" t="s">
        <v>95</v>
      </c>
      <c r="G2670" t="s">
        <v>317</v>
      </c>
      <c r="H2670" s="8">
        <v>4476.99</v>
      </c>
      <c r="I2670" s="8">
        <v>-1068.54</v>
      </c>
      <c r="J2670" s="8">
        <v>0.12</v>
      </c>
      <c r="K2670" t="str">
        <f>IF(SalesData[[#This Row],[Profit]]&gt;0,"Profit","Loss")</f>
        <v>Loss</v>
      </c>
      <c r="L2670" s="8">
        <f>SalesData[[#This Row],[Profit]]/SalesData[[#This Row],[Sales]]</f>
        <v>-0.23867375178412281</v>
      </c>
      <c r="M2670" t="str">
        <f>TEXT(SalesData[[#This Row],[Order_Date]],"mmm")</f>
        <v>Aug</v>
      </c>
      <c r="N2670">
        <f>YEAR(SalesData[[#This Row],[Order_Date]])</f>
        <v>2023</v>
      </c>
    </row>
    <row r="2671" spans="1:14" x14ac:dyDescent="0.3">
      <c r="A2671" t="s">
        <v>3964</v>
      </c>
      <c r="B2671" s="1">
        <v>44882</v>
      </c>
      <c r="C2671" t="s">
        <v>3965</v>
      </c>
      <c r="D2671" t="s">
        <v>12</v>
      </c>
      <c r="E2671" t="s">
        <v>13</v>
      </c>
      <c r="F2671" t="s">
        <v>24</v>
      </c>
      <c r="G2671" t="s">
        <v>30</v>
      </c>
      <c r="H2671" s="8">
        <v>252.77</v>
      </c>
      <c r="I2671" s="8">
        <v>-3.67</v>
      </c>
      <c r="J2671" s="8">
        <v>0.1</v>
      </c>
      <c r="K2671" t="str">
        <f>IF(SalesData[[#This Row],[Profit]]&gt;0,"Profit","Loss")</f>
        <v>Loss</v>
      </c>
      <c r="L2671" s="8">
        <f>SalesData[[#This Row],[Profit]]/SalesData[[#This Row],[Sales]]</f>
        <v>-1.4519128061083197E-2</v>
      </c>
      <c r="M2671" t="str">
        <f>TEXT(SalesData[[#This Row],[Order_Date]],"mmm")</f>
        <v>Nov</v>
      </c>
      <c r="N2671">
        <f>YEAR(SalesData[[#This Row],[Order_Date]])</f>
        <v>2022</v>
      </c>
    </row>
    <row r="2672" spans="1:14" x14ac:dyDescent="0.3">
      <c r="A2672" t="s">
        <v>3966</v>
      </c>
      <c r="B2672" s="1">
        <v>44574</v>
      </c>
      <c r="C2672" t="s">
        <v>597</v>
      </c>
      <c r="D2672" t="s">
        <v>28</v>
      </c>
      <c r="E2672" t="s">
        <v>19</v>
      </c>
      <c r="F2672" t="s">
        <v>20</v>
      </c>
      <c r="G2672" t="s">
        <v>1009</v>
      </c>
      <c r="H2672" s="8">
        <v>769.15</v>
      </c>
      <c r="I2672" s="8">
        <v>-117.03</v>
      </c>
      <c r="J2672" s="8">
        <v>0.28999999999999998</v>
      </c>
      <c r="K2672" t="str">
        <f>IF(SalesData[[#This Row],[Profit]]&gt;0,"Profit","Loss")</f>
        <v>Loss</v>
      </c>
      <c r="L2672" s="8">
        <f>SalesData[[#This Row],[Profit]]/SalesData[[#This Row],[Sales]]</f>
        <v>-0.15215497627250862</v>
      </c>
      <c r="M2672" t="str">
        <f>TEXT(SalesData[[#This Row],[Order_Date]],"mmm")</f>
        <v>Jan</v>
      </c>
      <c r="N2672">
        <f>YEAR(SalesData[[#This Row],[Order_Date]])</f>
        <v>2022</v>
      </c>
    </row>
    <row r="2673" spans="1:14" x14ac:dyDescent="0.3">
      <c r="A2673" t="s">
        <v>3967</v>
      </c>
      <c r="B2673" s="1">
        <v>45024</v>
      </c>
      <c r="C2673" t="s">
        <v>814</v>
      </c>
      <c r="D2673" t="s">
        <v>18</v>
      </c>
      <c r="E2673" t="s">
        <v>13</v>
      </c>
      <c r="F2673" t="s">
        <v>36</v>
      </c>
      <c r="G2673" t="s">
        <v>450</v>
      </c>
      <c r="H2673" s="8">
        <v>538.42999999999995</v>
      </c>
      <c r="I2673" s="8">
        <v>-220.34</v>
      </c>
      <c r="J2673" s="8">
        <v>0.23</v>
      </c>
      <c r="K2673" t="str">
        <f>IF(SalesData[[#This Row],[Profit]]&gt;0,"Profit","Loss")</f>
        <v>Loss</v>
      </c>
      <c r="L2673" s="8">
        <f>SalesData[[#This Row],[Profit]]/SalesData[[#This Row],[Sales]]</f>
        <v>-0.40922682614267414</v>
      </c>
      <c r="M2673" t="str">
        <f>TEXT(SalesData[[#This Row],[Order_Date]],"mmm")</f>
        <v>Apr</v>
      </c>
      <c r="N2673">
        <f>YEAR(SalesData[[#This Row],[Order_Date]])</f>
        <v>2023</v>
      </c>
    </row>
    <row r="2674" spans="1:14" x14ac:dyDescent="0.3">
      <c r="A2674" t="s">
        <v>3968</v>
      </c>
      <c r="B2674" s="1">
        <v>45083</v>
      </c>
      <c r="C2674" t="s">
        <v>2494</v>
      </c>
      <c r="D2674" t="s">
        <v>12</v>
      </c>
      <c r="E2674" t="s">
        <v>56</v>
      </c>
      <c r="F2674" t="s">
        <v>57</v>
      </c>
      <c r="G2674" t="s">
        <v>1132</v>
      </c>
      <c r="H2674" s="8">
        <v>2748.63</v>
      </c>
      <c r="I2674" s="8">
        <v>-784.04</v>
      </c>
      <c r="J2674" s="8">
        <v>0.11</v>
      </c>
      <c r="K2674" t="str">
        <f>IF(SalesData[[#This Row],[Profit]]&gt;0,"Profit","Loss")</f>
        <v>Loss</v>
      </c>
      <c r="L2674" s="8">
        <f>SalesData[[#This Row],[Profit]]/SalesData[[#This Row],[Sales]]</f>
        <v>-0.28524755969337451</v>
      </c>
      <c r="M2674" t="str">
        <f>TEXT(SalesData[[#This Row],[Order_Date]],"mmm")</f>
        <v>Jun</v>
      </c>
      <c r="N2674">
        <f>YEAR(SalesData[[#This Row],[Order_Date]])</f>
        <v>2023</v>
      </c>
    </row>
    <row r="2675" spans="1:14" x14ac:dyDescent="0.3">
      <c r="A2675" t="s">
        <v>3969</v>
      </c>
      <c r="B2675" s="1">
        <v>44821</v>
      </c>
      <c r="C2675" t="s">
        <v>124</v>
      </c>
      <c r="D2675" t="s">
        <v>40</v>
      </c>
      <c r="E2675" t="s">
        <v>19</v>
      </c>
      <c r="F2675" t="s">
        <v>29</v>
      </c>
      <c r="G2675" t="s">
        <v>208</v>
      </c>
      <c r="H2675" s="8">
        <v>798.42</v>
      </c>
      <c r="I2675" s="8">
        <v>193.66</v>
      </c>
      <c r="J2675" s="8">
        <v>0.04</v>
      </c>
      <c r="K2675" t="str">
        <f>IF(SalesData[[#This Row],[Profit]]&gt;0,"Profit","Loss")</f>
        <v>Profit</v>
      </c>
      <c r="L2675" s="8">
        <f>SalesData[[#This Row],[Profit]]/SalesData[[#This Row],[Sales]]</f>
        <v>0.24255404423736882</v>
      </c>
      <c r="M2675" t="str">
        <f>TEXT(SalesData[[#This Row],[Order_Date]],"mmm")</f>
        <v>Sep</v>
      </c>
      <c r="N2675">
        <f>YEAR(SalesData[[#This Row],[Order_Date]])</f>
        <v>2022</v>
      </c>
    </row>
    <row r="2676" spans="1:14" x14ac:dyDescent="0.3">
      <c r="A2676" t="s">
        <v>3970</v>
      </c>
      <c r="B2676" s="1">
        <v>44632</v>
      </c>
      <c r="C2676" t="s">
        <v>3198</v>
      </c>
      <c r="D2676" t="s">
        <v>12</v>
      </c>
      <c r="E2676" t="s">
        <v>19</v>
      </c>
      <c r="F2676" t="s">
        <v>20</v>
      </c>
      <c r="G2676" t="s">
        <v>41</v>
      </c>
      <c r="H2676" s="8">
        <v>4994.09</v>
      </c>
      <c r="I2676" s="8">
        <v>-647.67999999999995</v>
      </c>
      <c r="J2676" s="8">
        <v>0.03</v>
      </c>
      <c r="K2676" t="str">
        <f>IF(SalesData[[#This Row],[Profit]]&gt;0,"Profit","Loss")</f>
        <v>Loss</v>
      </c>
      <c r="L2676" s="8">
        <f>SalesData[[#This Row],[Profit]]/SalesData[[#This Row],[Sales]]</f>
        <v>-0.12968929274402341</v>
      </c>
      <c r="M2676" t="str">
        <f>TEXT(SalesData[[#This Row],[Order_Date]],"mmm")</f>
        <v>Mar</v>
      </c>
      <c r="N2676">
        <f>YEAR(SalesData[[#This Row],[Order_Date]])</f>
        <v>2022</v>
      </c>
    </row>
    <row r="2677" spans="1:14" x14ac:dyDescent="0.3">
      <c r="A2677" t="s">
        <v>3971</v>
      </c>
      <c r="B2677" s="1">
        <v>44792</v>
      </c>
      <c r="C2677" t="s">
        <v>23</v>
      </c>
      <c r="D2677" t="s">
        <v>40</v>
      </c>
      <c r="E2677" t="s">
        <v>19</v>
      </c>
      <c r="F2677" t="s">
        <v>29</v>
      </c>
      <c r="G2677" t="s">
        <v>2278</v>
      </c>
      <c r="H2677" s="8">
        <v>1299.9000000000001</v>
      </c>
      <c r="I2677" s="8">
        <v>477.09</v>
      </c>
      <c r="J2677" s="8">
        <v>0.02</v>
      </c>
      <c r="K2677" t="str">
        <f>IF(SalesData[[#This Row],[Profit]]&gt;0,"Profit","Loss")</f>
        <v>Profit</v>
      </c>
      <c r="L2677" s="8">
        <f>SalesData[[#This Row],[Profit]]/SalesData[[#This Row],[Sales]]</f>
        <v>0.36702054004154161</v>
      </c>
      <c r="M2677" t="str">
        <f>TEXT(SalesData[[#This Row],[Order_Date]],"mmm")</f>
        <v>Aug</v>
      </c>
      <c r="N2677">
        <f>YEAR(SalesData[[#This Row],[Order_Date]])</f>
        <v>2022</v>
      </c>
    </row>
    <row r="2678" spans="1:14" x14ac:dyDescent="0.3">
      <c r="A2678" t="s">
        <v>3972</v>
      </c>
      <c r="B2678" s="1">
        <v>44709</v>
      </c>
      <c r="C2678" t="s">
        <v>1066</v>
      </c>
      <c r="D2678" t="s">
        <v>18</v>
      </c>
      <c r="E2678" t="s">
        <v>56</v>
      </c>
      <c r="F2678" t="s">
        <v>57</v>
      </c>
      <c r="G2678" t="s">
        <v>2850</v>
      </c>
      <c r="H2678" s="8">
        <v>1866.67</v>
      </c>
      <c r="I2678" s="8">
        <v>15.66</v>
      </c>
      <c r="J2678" s="8">
        <v>0.03</v>
      </c>
      <c r="K2678" t="str">
        <f>IF(SalesData[[#This Row],[Profit]]&gt;0,"Profit","Loss")</f>
        <v>Profit</v>
      </c>
      <c r="L2678" s="8">
        <f>SalesData[[#This Row],[Profit]]/SalesData[[#This Row],[Sales]]</f>
        <v>8.3892707334451179E-3</v>
      </c>
      <c r="M2678" t="str">
        <f>TEXT(SalesData[[#This Row],[Order_Date]],"mmm")</f>
        <v>May</v>
      </c>
      <c r="N2678">
        <f>YEAR(SalesData[[#This Row],[Order_Date]])</f>
        <v>2022</v>
      </c>
    </row>
    <row r="2679" spans="1:14" x14ac:dyDescent="0.3">
      <c r="A2679" t="s">
        <v>3973</v>
      </c>
      <c r="B2679" s="1">
        <v>45242</v>
      </c>
      <c r="C2679" t="s">
        <v>2843</v>
      </c>
      <c r="D2679" t="s">
        <v>12</v>
      </c>
      <c r="E2679" t="s">
        <v>13</v>
      </c>
      <c r="F2679" t="s">
        <v>36</v>
      </c>
      <c r="G2679" t="s">
        <v>669</v>
      </c>
      <c r="H2679" s="8">
        <v>3801.11</v>
      </c>
      <c r="I2679" s="8">
        <v>758.48</v>
      </c>
      <c r="J2679" s="8">
        <v>0.04</v>
      </c>
      <c r="K2679" t="str">
        <f>IF(SalesData[[#This Row],[Profit]]&gt;0,"Profit","Loss")</f>
        <v>Profit</v>
      </c>
      <c r="L2679" s="8">
        <f>SalesData[[#This Row],[Profit]]/SalesData[[#This Row],[Sales]]</f>
        <v>0.19954171281546706</v>
      </c>
      <c r="M2679" t="str">
        <f>TEXT(SalesData[[#This Row],[Order_Date]],"mmm")</f>
        <v>Nov</v>
      </c>
      <c r="N2679">
        <f>YEAR(SalesData[[#This Row],[Order_Date]])</f>
        <v>2023</v>
      </c>
    </row>
    <row r="2680" spans="1:14" x14ac:dyDescent="0.3">
      <c r="A2680" t="s">
        <v>3974</v>
      </c>
      <c r="B2680" s="1">
        <v>44746</v>
      </c>
      <c r="C2680" t="s">
        <v>243</v>
      </c>
      <c r="D2680" t="s">
        <v>12</v>
      </c>
      <c r="E2680" t="s">
        <v>19</v>
      </c>
      <c r="F2680" t="s">
        <v>29</v>
      </c>
      <c r="G2680" t="s">
        <v>2700</v>
      </c>
      <c r="H2680" s="8">
        <v>3735.35</v>
      </c>
      <c r="I2680" s="8">
        <v>655.71</v>
      </c>
      <c r="J2680" s="8">
        <v>0.13</v>
      </c>
      <c r="K2680" t="str">
        <f>IF(SalesData[[#This Row],[Profit]]&gt;0,"Profit","Loss")</f>
        <v>Profit</v>
      </c>
      <c r="L2680" s="8">
        <f>SalesData[[#This Row],[Profit]]/SalesData[[#This Row],[Sales]]</f>
        <v>0.17554178323316424</v>
      </c>
      <c r="M2680" t="str">
        <f>TEXT(SalesData[[#This Row],[Order_Date]],"mmm")</f>
        <v>Jul</v>
      </c>
      <c r="N2680">
        <f>YEAR(SalesData[[#This Row],[Order_Date]])</f>
        <v>2022</v>
      </c>
    </row>
    <row r="2681" spans="1:14" x14ac:dyDescent="0.3">
      <c r="A2681" t="s">
        <v>3975</v>
      </c>
      <c r="B2681" s="1">
        <v>44792</v>
      </c>
      <c r="C2681" t="s">
        <v>1015</v>
      </c>
      <c r="D2681" t="s">
        <v>28</v>
      </c>
      <c r="E2681" t="s">
        <v>13</v>
      </c>
      <c r="F2681" t="s">
        <v>14</v>
      </c>
      <c r="G2681" t="s">
        <v>317</v>
      </c>
      <c r="H2681" s="8">
        <v>2161.2600000000002</v>
      </c>
      <c r="I2681" s="8">
        <v>-433.37</v>
      </c>
      <c r="J2681" s="8">
        <v>0.19</v>
      </c>
      <c r="K2681" t="str">
        <f>IF(SalesData[[#This Row],[Profit]]&gt;0,"Profit","Loss")</f>
        <v>Loss</v>
      </c>
      <c r="L2681" s="8">
        <f>SalesData[[#This Row],[Profit]]/SalesData[[#This Row],[Sales]]</f>
        <v>-0.20051729083960282</v>
      </c>
      <c r="M2681" t="str">
        <f>TEXT(SalesData[[#This Row],[Order_Date]],"mmm")</f>
        <v>Aug</v>
      </c>
      <c r="N2681">
        <f>YEAR(SalesData[[#This Row],[Order_Date]])</f>
        <v>2022</v>
      </c>
    </row>
    <row r="2682" spans="1:14" x14ac:dyDescent="0.3">
      <c r="A2682" t="s">
        <v>3976</v>
      </c>
      <c r="B2682" s="1">
        <v>44586</v>
      </c>
      <c r="C2682" t="s">
        <v>869</v>
      </c>
      <c r="D2682" t="s">
        <v>18</v>
      </c>
      <c r="E2682" t="s">
        <v>56</v>
      </c>
      <c r="F2682" t="s">
        <v>73</v>
      </c>
      <c r="G2682" t="s">
        <v>1599</v>
      </c>
      <c r="H2682" s="8">
        <v>2381.5300000000002</v>
      </c>
      <c r="I2682" s="8">
        <v>-42.58</v>
      </c>
      <c r="J2682" s="8">
        <v>0.25</v>
      </c>
      <c r="K2682" t="str">
        <f>IF(SalesData[[#This Row],[Profit]]&gt;0,"Profit","Loss")</f>
        <v>Loss</v>
      </c>
      <c r="L2682" s="8">
        <f>SalesData[[#This Row],[Profit]]/SalesData[[#This Row],[Sales]]</f>
        <v>-1.7879262490919701E-2</v>
      </c>
      <c r="M2682" t="str">
        <f>TEXT(SalesData[[#This Row],[Order_Date]],"mmm")</f>
        <v>Jan</v>
      </c>
      <c r="N2682">
        <f>YEAR(SalesData[[#This Row],[Order_Date]])</f>
        <v>2022</v>
      </c>
    </row>
    <row r="2683" spans="1:14" x14ac:dyDescent="0.3">
      <c r="A2683" t="s">
        <v>3977</v>
      </c>
      <c r="B2683" s="1">
        <v>44599</v>
      </c>
      <c r="C2683" t="s">
        <v>1528</v>
      </c>
      <c r="D2683" t="s">
        <v>12</v>
      </c>
      <c r="E2683" t="s">
        <v>19</v>
      </c>
      <c r="F2683" t="s">
        <v>141</v>
      </c>
      <c r="G2683" t="s">
        <v>833</v>
      </c>
      <c r="H2683" s="8">
        <v>1859.54</v>
      </c>
      <c r="I2683" s="8">
        <v>-544.53</v>
      </c>
      <c r="J2683" s="8">
        <v>0.16</v>
      </c>
      <c r="K2683" t="str">
        <f>IF(SalesData[[#This Row],[Profit]]&gt;0,"Profit","Loss")</f>
        <v>Loss</v>
      </c>
      <c r="L2683" s="8">
        <f>SalesData[[#This Row],[Profit]]/SalesData[[#This Row],[Sales]]</f>
        <v>-0.29283048495864566</v>
      </c>
      <c r="M2683" t="str">
        <f>TEXT(SalesData[[#This Row],[Order_Date]],"mmm")</f>
        <v>Feb</v>
      </c>
      <c r="N2683">
        <f>YEAR(SalesData[[#This Row],[Order_Date]])</f>
        <v>2022</v>
      </c>
    </row>
    <row r="2684" spans="1:14" x14ac:dyDescent="0.3">
      <c r="A2684" t="s">
        <v>3978</v>
      </c>
      <c r="B2684" s="1">
        <v>44655</v>
      </c>
      <c r="C2684" t="s">
        <v>2529</v>
      </c>
      <c r="D2684" t="s">
        <v>28</v>
      </c>
      <c r="E2684" t="s">
        <v>13</v>
      </c>
      <c r="F2684" t="s">
        <v>24</v>
      </c>
      <c r="G2684" t="s">
        <v>74</v>
      </c>
      <c r="H2684" s="8">
        <v>641.16</v>
      </c>
      <c r="I2684" s="8">
        <v>-107.58</v>
      </c>
      <c r="J2684" s="8">
        <v>0.28999999999999998</v>
      </c>
      <c r="K2684" t="str">
        <f>IF(SalesData[[#This Row],[Profit]]&gt;0,"Profit","Loss")</f>
        <v>Loss</v>
      </c>
      <c r="L2684" s="8">
        <f>SalesData[[#This Row],[Profit]]/SalesData[[#This Row],[Sales]]</f>
        <v>-0.16778963129328092</v>
      </c>
      <c r="M2684" t="str">
        <f>TEXT(SalesData[[#This Row],[Order_Date]],"mmm")</f>
        <v>Apr</v>
      </c>
      <c r="N2684">
        <f>YEAR(SalesData[[#This Row],[Order_Date]])</f>
        <v>2022</v>
      </c>
    </row>
    <row r="2685" spans="1:14" x14ac:dyDescent="0.3">
      <c r="A2685" t="s">
        <v>3979</v>
      </c>
      <c r="B2685" s="1">
        <v>44985</v>
      </c>
      <c r="C2685" t="s">
        <v>2181</v>
      </c>
      <c r="D2685" t="s">
        <v>28</v>
      </c>
      <c r="E2685" t="s">
        <v>19</v>
      </c>
      <c r="F2685" t="s">
        <v>141</v>
      </c>
      <c r="G2685" t="s">
        <v>262</v>
      </c>
      <c r="H2685" s="8">
        <v>1499.13</v>
      </c>
      <c r="I2685" s="8">
        <v>-87.67</v>
      </c>
      <c r="J2685" s="8">
        <v>0.18</v>
      </c>
      <c r="K2685" t="str">
        <f>IF(SalesData[[#This Row],[Profit]]&gt;0,"Profit","Loss")</f>
        <v>Loss</v>
      </c>
      <c r="L2685" s="8">
        <f>SalesData[[#This Row],[Profit]]/SalesData[[#This Row],[Sales]]</f>
        <v>-5.8480585406202261E-2</v>
      </c>
      <c r="M2685" t="str">
        <f>TEXT(SalesData[[#This Row],[Order_Date]],"mmm")</f>
        <v>Feb</v>
      </c>
      <c r="N2685">
        <f>YEAR(SalesData[[#This Row],[Order_Date]])</f>
        <v>2023</v>
      </c>
    </row>
    <row r="2686" spans="1:14" x14ac:dyDescent="0.3">
      <c r="A2686" t="s">
        <v>3980</v>
      </c>
      <c r="B2686" s="1">
        <v>44622</v>
      </c>
      <c r="C2686" t="s">
        <v>899</v>
      </c>
      <c r="D2686" t="s">
        <v>40</v>
      </c>
      <c r="E2686" t="s">
        <v>19</v>
      </c>
      <c r="F2686" t="s">
        <v>141</v>
      </c>
      <c r="G2686" t="s">
        <v>331</v>
      </c>
      <c r="H2686" s="8">
        <v>3404.88</v>
      </c>
      <c r="I2686" s="8">
        <v>129.94999999999999</v>
      </c>
      <c r="J2686" s="8">
        <v>0.04</v>
      </c>
      <c r="K2686" t="str">
        <f>IF(SalesData[[#This Row],[Profit]]&gt;0,"Profit","Loss")</f>
        <v>Profit</v>
      </c>
      <c r="L2686" s="8">
        <f>SalesData[[#This Row],[Profit]]/SalesData[[#This Row],[Sales]]</f>
        <v>3.8165809074034912E-2</v>
      </c>
      <c r="M2686" t="str">
        <f>TEXT(SalesData[[#This Row],[Order_Date]],"mmm")</f>
        <v>Mar</v>
      </c>
      <c r="N2686">
        <f>YEAR(SalesData[[#This Row],[Order_Date]])</f>
        <v>2022</v>
      </c>
    </row>
    <row r="2687" spans="1:14" x14ac:dyDescent="0.3">
      <c r="A2687" t="s">
        <v>3981</v>
      </c>
      <c r="B2687" s="1">
        <v>45235</v>
      </c>
      <c r="C2687" t="s">
        <v>3982</v>
      </c>
      <c r="D2687" t="s">
        <v>12</v>
      </c>
      <c r="E2687" t="s">
        <v>19</v>
      </c>
      <c r="F2687" t="s">
        <v>29</v>
      </c>
      <c r="G2687" t="s">
        <v>930</v>
      </c>
      <c r="H2687" s="8">
        <v>215.81</v>
      </c>
      <c r="I2687" s="8">
        <v>-33.880000000000003</v>
      </c>
      <c r="J2687" s="8">
        <v>0.22</v>
      </c>
      <c r="K2687" t="str">
        <f>IF(SalesData[[#This Row],[Profit]]&gt;0,"Profit","Loss")</f>
        <v>Loss</v>
      </c>
      <c r="L2687" s="8">
        <f>SalesData[[#This Row],[Profit]]/SalesData[[#This Row],[Sales]]</f>
        <v>-0.15698994485890366</v>
      </c>
      <c r="M2687" t="str">
        <f>TEXT(SalesData[[#This Row],[Order_Date]],"mmm")</f>
        <v>Nov</v>
      </c>
      <c r="N2687">
        <f>YEAR(SalesData[[#This Row],[Order_Date]])</f>
        <v>2023</v>
      </c>
    </row>
    <row r="2688" spans="1:14" x14ac:dyDescent="0.3">
      <c r="A2688" t="s">
        <v>3983</v>
      </c>
      <c r="B2688" s="1">
        <v>44695</v>
      </c>
      <c r="C2688" t="s">
        <v>1823</v>
      </c>
      <c r="D2688" t="s">
        <v>28</v>
      </c>
      <c r="E2688" t="s">
        <v>56</v>
      </c>
      <c r="F2688" t="s">
        <v>73</v>
      </c>
      <c r="G2688" t="s">
        <v>850</v>
      </c>
      <c r="H2688" s="8">
        <v>259.39</v>
      </c>
      <c r="I2688" s="8">
        <v>56.5</v>
      </c>
      <c r="J2688" s="8">
        <v>0.09</v>
      </c>
      <c r="K2688" t="str">
        <f>IF(SalesData[[#This Row],[Profit]]&gt;0,"Profit","Loss")</f>
        <v>Profit</v>
      </c>
      <c r="L2688" s="8">
        <f>SalesData[[#This Row],[Profit]]/SalesData[[#This Row],[Sales]]</f>
        <v>0.21781872855545706</v>
      </c>
      <c r="M2688" t="str">
        <f>TEXT(SalesData[[#This Row],[Order_Date]],"mmm")</f>
        <v>May</v>
      </c>
      <c r="N2688">
        <f>YEAR(SalesData[[#This Row],[Order_Date]])</f>
        <v>2022</v>
      </c>
    </row>
    <row r="2689" spans="1:14" x14ac:dyDescent="0.3">
      <c r="A2689" t="s">
        <v>3984</v>
      </c>
      <c r="B2689" s="1">
        <v>44768</v>
      </c>
      <c r="C2689" t="s">
        <v>1519</v>
      </c>
      <c r="D2689" t="s">
        <v>18</v>
      </c>
      <c r="E2689" t="s">
        <v>56</v>
      </c>
      <c r="F2689" t="s">
        <v>57</v>
      </c>
      <c r="G2689" t="s">
        <v>386</v>
      </c>
      <c r="H2689" s="8">
        <v>2077.9499999999998</v>
      </c>
      <c r="I2689" s="8">
        <v>79.91</v>
      </c>
      <c r="J2689" s="8">
        <v>0.22</v>
      </c>
      <c r="K2689" t="str">
        <f>IF(SalesData[[#This Row],[Profit]]&gt;0,"Profit","Loss")</f>
        <v>Profit</v>
      </c>
      <c r="L2689" s="8">
        <f>SalesData[[#This Row],[Profit]]/SalesData[[#This Row],[Sales]]</f>
        <v>3.845617074520561E-2</v>
      </c>
      <c r="M2689" t="str">
        <f>TEXT(SalesData[[#This Row],[Order_Date]],"mmm")</f>
        <v>Jul</v>
      </c>
      <c r="N2689">
        <f>YEAR(SalesData[[#This Row],[Order_Date]])</f>
        <v>2022</v>
      </c>
    </row>
    <row r="2690" spans="1:14" x14ac:dyDescent="0.3">
      <c r="A2690" t="s">
        <v>3985</v>
      </c>
      <c r="B2690" s="1">
        <v>45009</v>
      </c>
      <c r="C2690" t="s">
        <v>2470</v>
      </c>
      <c r="D2690" t="s">
        <v>28</v>
      </c>
      <c r="E2690" t="s">
        <v>56</v>
      </c>
      <c r="F2690" t="s">
        <v>95</v>
      </c>
      <c r="G2690" t="s">
        <v>148</v>
      </c>
      <c r="H2690" s="8">
        <v>4900.2700000000004</v>
      </c>
      <c r="I2690" s="8">
        <v>-581.13</v>
      </c>
      <c r="J2690" s="8">
        <v>0.08</v>
      </c>
      <c r="K2690" t="str">
        <f>IF(SalesData[[#This Row],[Profit]]&gt;0,"Profit","Loss")</f>
        <v>Loss</v>
      </c>
      <c r="L2690" s="8">
        <f>SalesData[[#This Row],[Profit]]/SalesData[[#This Row],[Sales]]</f>
        <v>-0.11859142455415721</v>
      </c>
      <c r="M2690" t="str">
        <f>TEXT(SalesData[[#This Row],[Order_Date]],"mmm")</f>
        <v>Mar</v>
      </c>
      <c r="N2690">
        <f>YEAR(SalesData[[#This Row],[Order_Date]])</f>
        <v>2023</v>
      </c>
    </row>
    <row r="2691" spans="1:14" x14ac:dyDescent="0.3">
      <c r="A2691" t="s">
        <v>3986</v>
      </c>
      <c r="B2691" s="1">
        <v>44982</v>
      </c>
      <c r="C2691" t="s">
        <v>852</v>
      </c>
      <c r="D2691" t="s">
        <v>40</v>
      </c>
      <c r="E2691" t="s">
        <v>56</v>
      </c>
      <c r="F2691" t="s">
        <v>73</v>
      </c>
      <c r="G2691" t="s">
        <v>1196</v>
      </c>
      <c r="H2691" s="8">
        <v>872.83</v>
      </c>
      <c r="I2691" s="8">
        <v>269.95</v>
      </c>
      <c r="J2691" s="8">
        <v>7.0000000000000007E-2</v>
      </c>
      <c r="K2691" t="str">
        <f>IF(SalesData[[#This Row],[Profit]]&gt;0,"Profit","Loss")</f>
        <v>Profit</v>
      </c>
      <c r="L2691" s="8">
        <f>SalesData[[#This Row],[Profit]]/SalesData[[#This Row],[Sales]]</f>
        <v>0.30928130334658521</v>
      </c>
      <c r="M2691" t="str">
        <f>TEXT(SalesData[[#This Row],[Order_Date]],"mmm")</f>
        <v>Feb</v>
      </c>
      <c r="N2691">
        <f>YEAR(SalesData[[#This Row],[Order_Date]])</f>
        <v>2023</v>
      </c>
    </row>
    <row r="2692" spans="1:14" x14ac:dyDescent="0.3">
      <c r="A2692" t="s">
        <v>3987</v>
      </c>
      <c r="B2692" s="1">
        <v>44732</v>
      </c>
      <c r="C2692" t="s">
        <v>2448</v>
      </c>
      <c r="D2692" t="s">
        <v>28</v>
      </c>
      <c r="E2692" t="s">
        <v>56</v>
      </c>
      <c r="F2692" t="s">
        <v>57</v>
      </c>
      <c r="G2692" t="s">
        <v>420</v>
      </c>
      <c r="H2692" s="8">
        <v>3600.64</v>
      </c>
      <c r="I2692" s="8">
        <v>-577.72</v>
      </c>
      <c r="J2692" s="8">
        <v>0</v>
      </c>
      <c r="K2692" t="str">
        <f>IF(SalesData[[#This Row],[Profit]]&gt;0,"Profit","Loss")</f>
        <v>Loss</v>
      </c>
      <c r="L2692" s="8">
        <f>SalesData[[#This Row],[Profit]]/SalesData[[#This Row],[Sales]]</f>
        <v>-0.16044925346605049</v>
      </c>
      <c r="M2692" t="str">
        <f>TEXT(SalesData[[#This Row],[Order_Date]],"mmm")</f>
        <v>Jun</v>
      </c>
      <c r="N2692">
        <f>YEAR(SalesData[[#This Row],[Order_Date]])</f>
        <v>2022</v>
      </c>
    </row>
    <row r="2693" spans="1:14" x14ac:dyDescent="0.3">
      <c r="A2693" t="s">
        <v>3988</v>
      </c>
      <c r="B2693" s="1">
        <v>44775</v>
      </c>
      <c r="C2693" t="s">
        <v>3406</v>
      </c>
      <c r="D2693" t="s">
        <v>18</v>
      </c>
      <c r="E2693" t="s">
        <v>13</v>
      </c>
      <c r="F2693" t="s">
        <v>14</v>
      </c>
      <c r="G2693" t="s">
        <v>1074</v>
      </c>
      <c r="H2693" s="8">
        <v>4344.4799999999996</v>
      </c>
      <c r="I2693" s="8">
        <v>-489.57</v>
      </c>
      <c r="J2693" s="8">
        <v>0.11</v>
      </c>
      <c r="K2693" t="str">
        <f>IF(SalesData[[#This Row],[Profit]]&gt;0,"Profit","Loss")</f>
        <v>Loss</v>
      </c>
      <c r="L2693" s="8">
        <f>SalesData[[#This Row],[Profit]]/SalesData[[#This Row],[Sales]]</f>
        <v>-0.11268782454977351</v>
      </c>
      <c r="M2693" t="str">
        <f>TEXT(SalesData[[#This Row],[Order_Date]],"mmm")</f>
        <v>Aug</v>
      </c>
      <c r="N2693">
        <f>YEAR(SalesData[[#This Row],[Order_Date]])</f>
        <v>2022</v>
      </c>
    </row>
    <row r="2694" spans="1:14" x14ac:dyDescent="0.3">
      <c r="A2694" t="s">
        <v>3989</v>
      </c>
      <c r="B2694" s="1">
        <v>44860</v>
      </c>
      <c r="C2694" t="s">
        <v>580</v>
      </c>
      <c r="D2694" t="s">
        <v>28</v>
      </c>
      <c r="E2694" t="s">
        <v>56</v>
      </c>
      <c r="F2694" t="s">
        <v>57</v>
      </c>
      <c r="G2694" t="s">
        <v>41</v>
      </c>
      <c r="H2694" s="8">
        <v>189.05</v>
      </c>
      <c r="I2694" s="8">
        <v>-39.85</v>
      </c>
      <c r="J2694" s="8">
        <v>0.16</v>
      </c>
      <c r="K2694" t="str">
        <f>IF(SalesData[[#This Row],[Profit]]&gt;0,"Profit","Loss")</f>
        <v>Loss</v>
      </c>
      <c r="L2694" s="8">
        <f>SalesData[[#This Row],[Profit]]/SalesData[[#This Row],[Sales]]</f>
        <v>-0.21079079608569162</v>
      </c>
      <c r="M2694" t="str">
        <f>TEXT(SalesData[[#This Row],[Order_Date]],"mmm")</f>
        <v>Oct</v>
      </c>
      <c r="N2694">
        <f>YEAR(SalesData[[#This Row],[Order_Date]])</f>
        <v>2022</v>
      </c>
    </row>
    <row r="2695" spans="1:14" x14ac:dyDescent="0.3">
      <c r="A2695" t="s">
        <v>3990</v>
      </c>
      <c r="B2695" s="1">
        <v>45147</v>
      </c>
      <c r="C2695" t="s">
        <v>2852</v>
      </c>
      <c r="D2695" t="s">
        <v>12</v>
      </c>
      <c r="E2695" t="s">
        <v>56</v>
      </c>
      <c r="F2695" t="s">
        <v>73</v>
      </c>
      <c r="G2695" t="s">
        <v>640</v>
      </c>
      <c r="H2695" s="8">
        <v>645.03</v>
      </c>
      <c r="I2695" s="8">
        <v>70.760000000000005</v>
      </c>
      <c r="J2695" s="8">
        <v>0</v>
      </c>
      <c r="K2695" t="str">
        <f>IF(SalesData[[#This Row],[Profit]]&gt;0,"Profit","Loss")</f>
        <v>Profit</v>
      </c>
      <c r="L2695" s="8">
        <f>SalesData[[#This Row],[Profit]]/SalesData[[#This Row],[Sales]]</f>
        <v>0.10970032401593725</v>
      </c>
      <c r="M2695" t="str">
        <f>TEXT(SalesData[[#This Row],[Order_Date]],"mmm")</f>
        <v>Aug</v>
      </c>
      <c r="N2695">
        <f>YEAR(SalesData[[#This Row],[Order_Date]])</f>
        <v>2023</v>
      </c>
    </row>
    <row r="2696" spans="1:14" x14ac:dyDescent="0.3">
      <c r="A2696" t="s">
        <v>3991</v>
      </c>
      <c r="B2696" s="1">
        <v>44656</v>
      </c>
      <c r="C2696" t="s">
        <v>1218</v>
      </c>
      <c r="D2696" t="s">
        <v>18</v>
      </c>
      <c r="E2696" t="s">
        <v>19</v>
      </c>
      <c r="F2696" t="s">
        <v>20</v>
      </c>
      <c r="G2696" t="s">
        <v>282</v>
      </c>
      <c r="H2696" s="8">
        <v>2090.35</v>
      </c>
      <c r="I2696" s="8">
        <v>308.93</v>
      </c>
      <c r="J2696" s="8">
        <v>0</v>
      </c>
      <c r="K2696" t="str">
        <f>IF(SalesData[[#This Row],[Profit]]&gt;0,"Profit","Loss")</f>
        <v>Profit</v>
      </c>
      <c r="L2696" s="8">
        <f>SalesData[[#This Row],[Profit]]/SalesData[[#This Row],[Sales]]</f>
        <v>0.14778864783409479</v>
      </c>
      <c r="M2696" t="str">
        <f>TEXT(SalesData[[#This Row],[Order_Date]],"mmm")</f>
        <v>Apr</v>
      </c>
      <c r="N2696">
        <f>YEAR(SalesData[[#This Row],[Order_Date]])</f>
        <v>2022</v>
      </c>
    </row>
    <row r="2697" spans="1:14" x14ac:dyDescent="0.3">
      <c r="A2697" t="s">
        <v>3992</v>
      </c>
      <c r="B2697" s="1">
        <v>45157</v>
      </c>
      <c r="C2697" t="s">
        <v>859</v>
      </c>
      <c r="D2697" t="s">
        <v>28</v>
      </c>
      <c r="E2697" t="s">
        <v>56</v>
      </c>
      <c r="F2697" t="s">
        <v>57</v>
      </c>
      <c r="G2697" t="s">
        <v>1184</v>
      </c>
      <c r="H2697" s="8">
        <v>3459</v>
      </c>
      <c r="I2697" s="8">
        <v>48.59</v>
      </c>
      <c r="J2697" s="8">
        <v>0.06</v>
      </c>
      <c r="K2697" t="str">
        <f>IF(SalesData[[#This Row],[Profit]]&gt;0,"Profit","Loss")</f>
        <v>Profit</v>
      </c>
      <c r="L2697" s="8">
        <f>SalesData[[#This Row],[Profit]]/SalesData[[#This Row],[Sales]]</f>
        <v>1.4047412546978897E-2</v>
      </c>
      <c r="M2697" t="str">
        <f>TEXT(SalesData[[#This Row],[Order_Date]],"mmm")</f>
        <v>Aug</v>
      </c>
      <c r="N2697">
        <f>YEAR(SalesData[[#This Row],[Order_Date]])</f>
        <v>2023</v>
      </c>
    </row>
    <row r="2698" spans="1:14" x14ac:dyDescent="0.3">
      <c r="A2698" t="s">
        <v>3993</v>
      </c>
      <c r="B2698" s="1">
        <v>44906</v>
      </c>
      <c r="C2698" t="s">
        <v>127</v>
      </c>
      <c r="D2698" t="s">
        <v>12</v>
      </c>
      <c r="E2698" t="s">
        <v>13</v>
      </c>
      <c r="F2698" t="s">
        <v>24</v>
      </c>
      <c r="G2698" t="s">
        <v>244</v>
      </c>
      <c r="H2698" s="8">
        <v>319.17</v>
      </c>
      <c r="I2698" s="8">
        <v>88.44</v>
      </c>
      <c r="J2698" s="8">
        <v>0</v>
      </c>
      <c r="K2698" t="str">
        <f>IF(SalesData[[#This Row],[Profit]]&gt;0,"Profit","Loss")</f>
        <v>Profit</v>
      </c>
      <c r="L2698" s="8">
        <f>SalesData[[#This Row],[Profit]]/SalesData[[#This Row],[Sales]]</f>
        <v>0.27709371181502018</v>
      </c>
      <c r="M2698" t="str">
        <f>TEXT(SalesData[[#This Row],[Order_Date]],"mmm")</f>
        <v>Dec</v>
      </c>
      <c r="N2698">
        <f>YEAR(SalesData[[#This Row],[Order_Date]])</f>
        <v>2022</v>
      </c>
    </row>
    <row r="2699" spans="1:14" x14ac:dyDescent="0.3">
      <c r="A2699" t="s">
        <v>3994</v>
      </c>
      <c r="B2699" s="1">
        <v>44613</v>
      </c>
      <c r="C2699" t="s">
        <v>1748</v>
      </c>
      <c r="D2699" t="s">
        <v>40</v>
      </c>
      <c r="E2699" t="s">
        <v>13</v>
      </c>
      <c r="F2699" t="s">
        <v>36</v>
      </c>
      <c r="G2699" t="s">
        <v>47</v>
      </c>
      <c r="H2699" s="8">
        <v>2452.14</v>
      </c>
      <c r="I2699" s="8">
        <v>-326.22000000000003</v>
      </c>
      <c r="J2699" s="8">
        <v>0.08</v>
      </c>
      <c r="K2699" t="str">
        <f>IF(SalesData[[#This Row],[Profit]]&gt;0,"Profit","Loss")</f>
        <v>Loss</v>
      </c>
      <c r="L2699" s="8">
        <f>SalesData[[#This Row],[Profit]]/SalesData[[#This Row],[Sales]]</f>
        <v>-0.13303481856663976</v>
      </c>
      <c r="M2699" t="str">
        <f>TEXT(SalesData[[#This Row],[Order_Date]],"mmm")</f>
        <v>Feb</v>
      </c>
      <c r="N2699">
        <f>YEAR(SalesData[[#This Row],[Order_Date]])</f>
        <v>2022</v>
      </c>
    </row>
    <row r="2700" spans="1:14" x14ac:dyDescent="0.3">
      <c r="A2700" t="s">
        <v>3995</v>
      </c>
      <c r="B2700" s="1">
        <v>44812</v>
      </c>
      <c r="C2700" t="s">
        <v>207</v>
      </c>
      <c r="D2700" t="s">
        <v>12</v>
      </c>
      <c r="E2700" t="s">
        <v>56</v>
      </c>
      <c r="F2700" t="s">
        <v>57</v>
      </c>
      <c r="G2700" t="s">
        <v>83</v>
      </c>
      <c r="H2700" s="8">
        <v>2229.35</v>
      </c>
      <c r="I2700" s="8">
        <v>-80.69</v>
      </c>
      <c r="J2700" s="8">
        <v>0.27</v>
      </c>
      <c r="K2700" t="str">
        <f>IF(SalesData[[#This Row],[Profit]]&gt;0,"Profit","Loss")</f>
        <v>Loss</v>
      </c>
      <c r="L2700" s="8">
        <f>SalesData[[#This Row],[Profit]]/SalesData[[#This Row],[Sales]]</f>
        <v>-3.6194406441339401E-2</v>
      </c>
      <c r="M2700" t="str">
        <f>TEXT(SalesData[[#This Row],[Order_Date]],"mmm")</f>
        <v>Sep</v>
      </c>
      <c r="N2700">
        <f>YEAR(SalesData[[#This Row],[Order_Date]])</f>
        <v>2022</v>
      </c>
    </row>
    <row r="2701" spans="1:14" x14ac:dyDescent="0.3">
      <c r="A2701" t="s">
        <v>3996</v>
      </c>
      <c r="B2701" s="1">
        <v>45130</v>
      </c>
      <c r="C2701" t="s">
        <v>1108</v>
      </c>
      <c r="D2701" t="s">
        <v>40</v>
      </c>
      <c r="E2701" t="s">
        <v>56</v>
      </c>
      <c r="F2701" t="s">
        <v>73</v>
      </c>
      <c r="G2701" t="s">
        <v>365</v>
      </c>
      <c r="H2701" s="8">
        <v>4423.66</v>
      </c>
      <c r="I2701" s="8">
        <v>430.39</v>
      </c>
      <c r="J2701" s="8">
        <v>0.1</v>
      </c>
      <c r="K2701" t="str">
        <f>IF(SalesData[[#This Row],[Profit]]&gt;0,"Profit","Loss")</f>
        <v>Profit</v>
      </c>
      <c r="L2701" s="8">
        <f>SalesData[[#This Row],[Profit]]/SalesData[[#This Row],[Sales]]</f>
        <v>9.7292739496254235E-2</v>
      </c>
      <c r="M2701" t="str">
        <f>TEXT(SalesData[[#This Row],[Order_Date]],"mmm")</f>
        <v>Jul</v>
      </c>
      <c r="N2701">
        <f>YEAR(SalesData[[#This Row],[Order_Date]])</f>
        <v>2023</v>
      </c>
    </row>
    <row r="2702" spans="1:14" x14ac:dyDescent="0.3">
      <c r="A2702" t="s">
        <v>3997</v>
      </c>
      <c r="B2702" s="1">
        <v>44878</v>
      </c>
      <c r="C2702" t="s">
        <v>1098</v>
      </c>
      <c r="D2702" t="s">
        <v>12</v>
      </c>
      <c r="E2702" t="s">
        <v>19</v>
      </c>
      <c r="F2702" t="s">
        <v>29</v>
      </c>
      <c r="G2702" t="s">
        <v>1109</v>
      </c>
      <c r="H2702" s="8">
        <v>2556.12</v>
      </c>
      <c r="I2702" s="8">
        <v>377.57</v>
      </c>
      <c r="J2702" s="8">
        <v>0.23</v>
      </c>
      <c r="K2702" t="str">
        <f>IF(SalesData[[#This Row],[Profit]]&gt;0,"Profit","Loss")</f>
        <v>Profit</v>
      </c>
      <c r="L2702" s="8">
        <f>SalesData[[#This Row],[Profit]]/SalesData[[#This Row],[Sales]]</f>
        <v>0.14771215748869382</v>
      </c>
      <c r="M2702" t="str">
        <f>TEXT(SalesData[[#This Row],[Order_Date]],"mmm")</f>
        <v>Nov</v>
      </c>
      <c r="N2702">
        <f>YEAR(SalesData[[#This Row],[Order_Date]])</f>
        <v>2022</v>
      </c>
    </row>
    <row r="2703" spans="1:14" x14ac:dyDescent="0.3">
      <c r="A2703" t="s">
        <v>3998</v>
      </c>
      <c r="B2703" s="1">
        <v>44770</v>
      </c>
      <c r="C2703" t="s">
        <v>1453</v>
      </c>
      <c r="D2703" t="s">
        <v>18</v>
      </c>
      <c r="E2703" t="s">
        <v>13</v>
      </c>
      <c r="F2703" t="s">
        <v>36</v>
      </c>
      <c r="G2703" t="s">
        <v>257</v>
      </c>
      <c r="H2703" s="8">
        <v>4044.11</v>
      </c>
      <c r="I2703" s="8">
        <v>-1451.64</v>
      </c>
      <c r="J2703" s="8">
        <v>0.2</v>
      </c>
      <c r="K2703" t="str">
        <f>IF(SalesData[[#This Row],[Profit]]&gt;0,"Profit","Loss")</f>
        <v>Loss</v>
      </c>
      <c r="L2703" s="8">
        <f>SalesData[[#This Row],[Profit]]/SalesData[[#This Row],[Sales]]</f>
        <v>-0.35895166056313998</v>
      </c>
      <c r="M2703" t="str">
        <f>TEXT(SalesData[[#This Row],[Order_Date]],"mmm")</f>
        <v>Jul</v>
      </c>
      <c r="N2703">
        <f>YEAR(SalesData[[#This Row],[Order_Date]])</f>
        <v>2022</v>
      </c>
    </row>
    <row r="2704" spans="1:14" x14ac:dyDescent="0.3">
      <c r="A2704" t="s">
        <v>3999</v>
      </c>
      <c r="B2704" s="1">
        <v>45183</v>
      </c>
      <c r="C2704" t="s">
        <v>2711</v>
      </c>
      <c r="D2704" t="s">
        <v>40</v>
      </c>
      <c r="E2704" t="s">
        <v>19</v>
      </c>
      <c r="F2704" t="s">
        <v>29</v>
      </c>
      <c r="G2704" t="s">
        <v>190</v>
      </c>
      <c r="H2704" s="8">
        <v>246.86</v>
      </c>
      <c r="I2704" s="8">
        <v>65.680000000000007</v>
      </c>
      <c r="J2704" s="8">
        <v>0.1</v>
      </c>
      <c r="K2704" t="str">
        <f>IF(SalesData[[#This Row],[Profit]]&gt;0,"Profit","Loss")</f>
        <v>Profit</v>
      </c>
      <c r="L2704" s="8">
        <f>SalesData[[#This Row],[Profit]]/SalesData[[#This Row],[Sales]]</f>
        <v>0.26606173539658107</v>
      </c>
      <c r="M2704" t="str">
        <f>TEXT(SalesData[[#This Row],[Order_Date]],"mmm")</f>
        <v>Sep</v>
      </c>
      <c r="N2704">
        <f>YEAR(SalesData[[#This Row],[Order_Date]])</f>
        <v>2023</v>
      </c>
    </row>
    <row r="2705" spans="1:14" x14ac:dyDescent="0.3">
      <c r="A2705" t="s">
        <v>4000</v>
      </c>
      <c r="B2705" s="1">
        <v>44616</v>
      </c>
      <c r="C2705" t="s">
        <v>2260</v>
      </c>
      <c r="D2705" t="s">
        <v>12</v>
      </c>
      <c r="E2705" t="s">
        <v>13</v>
      </c>
      <c r="F2705" t="s">
        <v>24</v>
      </c>
      <c r="G2705" t="s">
        <v>3038</v>
      </c>
      <c r="H2705" s="8">
        <v>1439.36</v>
      </c>
      <c r="I2705" s="8">
        <v>-79.209999999999994</v>
      </c>
      <c r="J2705" s="8">
        <v>0.12</v>
      </c>
      <c r="K2705" t="str">
        <f>IF(SalesData[[#This Row],[Profit]]&gt;0,"Profit","Loss")</f>
        <v>Loss</v>
      </c>
      <c r="L2705" s="8">
        <f>SalesData[[#This Row],[Profit]]/SalesData[[#This Row],[Sales]]</f>
        <v>-5.5031402845709204E-2</v>
      </c>
      <c r="M2705" t="str">
        <f>TEXT(SalesData[[#This Row],[Order_Date]],"mmm")</f>
        <v>Feb</v>
      </c>
      <c r="N2705">
        <f>YEAR(SalesData[[#This Row],[Order_Date]])</f>
        <v>2022</v>
      </c>
    </row>
    <row r="2706" spans="1:14" x14ac:dyDescent="0.3">
      <c r="A2706" t="s">
        <v>4001</v>
      </c>
      <c r="B2706" s="1">
        <v>45285</v>
      </c>
      <c r="C2706" t="s">
        <v>722</v>
      </c>
      <c r="D2706" t="s">
        <v>12</v>
      </c>
      <c r="E2706" t="s">
        <v>56</v>
      </c>
      <c r="F2706" t="s">
        <v>95</v>
      </c>
      <c r="G2706" t="s">
        <v>1442</v>
      </c>
      <c r="H2706" s="8">
        <v>4418.05</v>
      </c>
      <c r="I2706" s="8">
        <v>291.89</v>
      </c>
      <c r="J2706" s="8">
        <v>0.22</v>
      </c>
      <c r="K2706" t="str">
        <f>IF(SalesData[[#This Row],[Profit]]&gt;0,"Profit","Loss")</f>
        <v>Profit</v>
      </c>
      <c r="L2706" s="8">
        <f>SalesData[[#This Row],[Profit]]/SalesData[[#This Row],[Sales]]</f>
        <v>6.6067609013026107E-2</v>
      </c>
      <c r="M2706" t="str">
        <f>TEXT(SalesData[[#This Row],[Order_Date]],"mmm")</f>
        <v>Dec</v>
      </c>
      <c r="N2706">
        <f>YEAR(SalesData[[#This Row],[Order_Date]])</f>
        <v>2023</v>
      </c>
    </row>
    <row r="2707" spans="1:14" x14ac:dyDescent="0.3">
      <c r="A2707" t="s">
        <v>4002</v>
      </c>
      <c r="B2707" s="1">
        <v>45172</v>
      </c>
      <c r="C2707" t="s">
        <v>2148</v>
      </c>
      <c r="D2707" t="s">
        <v>40</v>
      </c>
      <c r="E2707" t="s">
        <v>13</v>
      </c>
      <c r="F2707" t="s">
        <v>14</v>
      </c>
      <c r="G2707" t="s">
        <v>401</v>
      </c>
      <c r="H2707" s="8">
        <v>4611.1899999999996</v>
      </c>
      <c r="I2707" s="8">
        <v>-424.21</v>
      </c>
      <c r="J2707" s="8">
        <v>0.2</v>
      </c>
      <c r="K2707" t="str">
        <f>IF(SalesData[[#This Row],[Profit]]&gt;0,"Profit","Loss")</f>
        <v>Loss</v>
      </c>
      <c r="L2707" s="8">
        <f>SalesData[[#This Row],[Profit]]/SalesData[[#This Row],[Sales]]</f>
        <v>-9.1995775493961429E-2</v>
      </c>
      <c r="M2707" t="str">
        <f>TEXT(SalesData[[#This Row],[Order_Date]],"mmm")</f>
        <v>Sep</v>
      </c>
      <c r="N2707">
        <f>YEAR(SalesData[[#This Row],[Order_Date]])</f>
        <v>2023</v>
      </c>
    </row>
    <row r="2708" spans="1:14" x14ac:dyDescent="0.3">
      <c r="A2708" t="s">
        <v>4003</v>
      </c>
      <c r="B2708" s="1">
        <v>44916</v>
      </c>
      <c r="C2708" t="s">
        <v>69</v>
      </c>
      <c r="D2708" t="s">
        <v>12</v>
      </c>
      <c r="E2708" t="s">
        <v>56</v>
      </c>
      <c r="F2708" t="s">
        <v>57</v>
      </c>
      <c r="G2708" t="s">
        <v>1875</v>
      </c>
      <c r="H2708" s="8">
        <v>4808.76</v>
      </c>
      <c r="I2708" s="8">
        <v>-1441.63</v>
      </c>
      <c r="J2708" s="8">
        <v>0.12</v>
      </c>
      <c r="K2708" t="str">
        <f>IF(SalesData[[#This Row],[Profit]]&gt;0,"Profit","Loss")</f>
        <v>Loss</v>
      </c>
      <c r="L2708" s="8">
        <f>SalesData[[#This Row],[Profit]]/SalesData[[#This Row],[Sales]]</f>
        <v>-0.29979246209001909</v>
      </c>
      <c r="M2708" t="str">
        <f>TEXT(SalesData[[#This Row],[Order_Date]],"mmm")</f>
        <v>Dec</v>
      </c>
      <c r="N2708">
        <f>YEAR(SalesData[[#This Row],[Order_Date]])</f>
        <v>2022</v>
      </c>
    </row>
    <row r="2709" spans="1:14" x14ac:dyDescent="0.3">
      <c r="A2709" t="s">
        <v>4004</v>
      </c>
      <c r="B2709" s="1">
        <v>44929</v>
      </c>
      <c r="C2709" t="s">
        <v>1664</v>
      </c>
      <c r="D2709" t="s">
        <v>18</v>
      </c>
      <c r="E2709" t="s">
        <v>19</v>
      </c>
      <c r="F2709" t="s">
        <v>141</v>
      </c>
      <c r="G2709" t="s">
        <v>674</v>
      </c>
      <c r="H2709" s="8">
        <v>1691.33</v>
      </c>
      <c r="I2709" s="8">
        <v>-175.15</v>
      </c>
      <c r="J2709" s="8">
        <v>0.04</v>
      </c>
      <c r="K2709" t="str">
        <f>IF(SalesData[[#This Row],[Profit]]&gt;0,"Profit","Loss")</f>
        <v>Loss</v>
      </c>
      <c r="L2709" s="8">
        <f>SalesData[[#This Row],[Profit]]/SalesData[[#This Row],[Sales]]</f>
        <v>-0.10355755529671916</v>
      </c>
      <c r="M2709" t="str">
        <f>TEXT(SalesData[[#This Row],[Order_Date]],"mmm")</f>
        <v>Jan</v>
      </c>
      <c r="N2709">
        <f>YEAR(SalesData[[#This Row],[Order_Date]])</f>
        <v>2023</v>
      </c>
    </row>
    <row r="2710" spans="1:14" x14ac:dyDescent="0.3">
      <c r="A2710" t="s">
        <v>4005</v>
      </c>
      <c r="B2710" s="1">
        <v>44579</v>
      </c>
      <c r="C2710" t="s">
        <v>134</v>
      </c>
      <c r="D2710" t="s">
        <v>40</v>
      </c>
      <c r="E2710" t="s">
        <v>19</v>
      </c>
      <c r="F2710" t="s">
        <v>20</v>
      </c>
      <c r="G2710" t="s">
        <v>1027</v>
      </c>
      <c r="H2710" s="8">
        <v>4760.07</v>
      </c>
      <c r="I2710" s="8">
        <v>1558.67</v>
      </c>
      <c r="J2710" s="8">
        <v>7.0000000000000007E-2</v>
      </c>
      <c r="K2710" t="str">
        <f>IF(SalesData[[#This Row],[Profit]]&gt;0,"Profit","Loss")</f>
        <v>Profit</v>
      </c>
      <c r="L2710" s="8">
        <f>SalesData[[#This Row],[Profit]]/SalesData[[#This Row],[Sales]]</f>
        <v>0.32744686527719136</v>
      </c>
      <c r="M2710" t="str">
        <f>TEXT(SalesData[[#This Row],[Order_Date]],"mmm")</f>
        <v>Jan</v>
      </c>
      <c r="N2710">
        <f>YEAR(SalesData[[#This Row],[Order_Date]])</f>
        <v>2022</v>
      </c>
    </row>
    <row r="2711" spans="1:14" x14ac:dyDescent="0.3">
      <c r="A2711" t="s">
        <v>4006</v>
      </c>
      <c r="B2711" s="1">
        <v>45126</v>
      </c>
      <c r="C2711" t="s">
        <v>970</v>
      </c>
      <c r="D2711" t="s">
        <v>40</v>
      </c>
      <c r="E2711" t="s">
        <v>56</v>
      </c>
      <c r="F2711" t="s">
        <v>73</v>
      </c>
      <c r="G2711" t="s">
        <v>833</v>
      </c>
      <c r="H2711" s="8">
        <v>564.04</v>
      </c>
      <c r="I2711" s="8">
        <v>79.11</v>
      </c>
      <c r="J2711" s="8">
        <v>0.23</v>
      </c>
      <c r="K2711" t="str">
        <f>IF(SalesData[[#This Row],[Profit]]&gt;0,"Profit","Loss")</f>
        <v>Profit</v>
      </c>
      <c r="L2711" s="8">
        <f>SalesData[[#This Row],[Profit]]/SalesData[[#This Row],[Sales]]</f>
        <v>0.1402560102120417</v>
      </c>
      <c r="M2711" t="str">
        <f>TEXT(SalesData[[#This Row],[Order_Date]],"mmm")</f>
        <v>Jul</v>
      </c>
      <c r="N2711">
        <f>YEAR(SalesData[[#This Row],[Order_Date]])</f>
        <v>2023</v>
      </c>
    </row>
    <row r="2712" spans="1:14" x14ac:dyDescent="0.3">
      <c r="A2712" t="s">
        <v>4007</v>
      </c>
      <c r="B2712" s="1">
        <v>45208</v>
      </c>
      <c r="C2712" t="s">
        <v>230</v>
      </c>
      <c r="D2712" t="s">
        <v>40</v>
      </c>
      <c r="E2712" t="s">
        <v>13</v>
      </c>
      <c r="F2712" t="s">
        <v>14</v>
      </c>
      <c r="G2712" t="s">
        <v>930</v>
      </c>
      <c r="H2712" s="8">
        <v>3464.43</v>
      </c>
      <c r="I2712" s="8">
        <v>-356.82</v>
      </c>
      <c r="J2712" s="8">
        <v>0.28000000000000003</v>
      </c>
      <c r="K2712" t="str">
        <f>IF(SalesData[[#This Row],[Profit]]&gt;0,"Profit","Loss")</f>
        <v>Loss</v>
      </c>
      <c r="L2712" s="8">
        <f>SalesData[[#This Row],[Profit]]/SalesData[[#This Row],[Sales]]</f>
        <v>-0.10299529792779764</v>
      </c>
      <c r="M2712" t="str">
        <f>TEXT(SalesData[[#This Row],[Order_Date]],"mmm")</f>
        <v>Oct</v>
      </c>
      <c r="N2712">
        <f>YEAR(SalesData[[#This Row],[Order_Date]])</f>
        <v>2023</v>
      </c>
    </row>
    <row r="2713" spans="1:14" x14ac:dyDescent="0.3">
      <c r="A2713" t="s">
        <v>4008</v>
      </c>
      <c r="B2713" s="1">
        <v>44594</v>
      </c>
      <c r="C2713" t="s">
        <v>1465</v>
      </c>
      <c r="D2713" t="s">
        <v>28</v>
      </c>
      <c r="E2713" t="s">
        <v>56</v>
      </c>
      <c r="F2713" t="s">
        <v>95</v>
      </c>
      <c r="G2713" t="s">
        <v>1053</v>
      </c>
      <c r="H2713" s="8">
        <v>3361.24</v>
      </c>
      <c r="I2713" s="8">
        <v>-1349.02</v>
      </c>
      <c r="J2713" s="8">
        <v>0.27</v>
      </c>
      <c r="K2713" t="str">
        <f>IF(SalesData[[#This Row],[Profit]]&gt;0,"Profit","Loss")</f>
        <v>Loss</v>
      </c>
      <c r="L2713" s="8">
        <f>SalesData[[#This Row],[Profit]]/SalesData[[#This Row],[Sales]]</f>
        <v>-0.40134593185848083</v>
      </c>
      <c r="M2713" t="str">
        <f>TEXT(SalesData[[#This Row],[Order_Date]],"mmm")</f>
        <v>Feb</v>
      </c>
      <c r="N2713">
        <f>YEAR(SalesData[[#This Row],[Order_Date]])</f>
        <v>2022</v>
      </c>
    </row>
    <row r="2714" spans="1:14" x14ac:dyDescent="0.3">
      <c r="A2714" t="s">
        <v>4009</v>
      </c>
      <c r="B2714" s="1">
        <v>44649</v>
      </c>
      <c r="C2714" t="s">
        <v>527</v>
      </c>
      <c r="D2714" t="s">
        <v>18</v>
      </c>
      <c r="E2714" t="s">
        <v>56</v>
      </c>
      <c r="F2714" t="s">
        <v>57</v>
      </c>
      <c r="G2714" t="s">
        <v>1326</v>
      </c>
      <c r="H2714" s="8">
        <v>371.37</v>
      </c>
      <c r="I2714" s="8">
        <v>-117.31</v>
      </c>
      <c r="J2714" s="8">
        <v>0.13</v>
      </c>
      <c r="K2714" t="str">
        <f>IF(SalesData[[#This Row],[Profit]]&gt;0,"Profit","Loss")</f>
        <v>Loss</v>
      </c>
      <c r="L2714" s="8">
        <f>SalesData[[#This Row],[Profit]]/SalesData[[#This Row],[Sales]]</f>
        <v>-0.31588442792901955</v>
      </c>
      <c r="M2714" t="str">
        <f>TEXT(SalesData[[#This Row],[Order_Date]],"mmm")</f>
        <v>Mar</v>
      </c>
      <c r="N2714">
        <f>YEAR(SalesData[[#This Row],[Order_Date]])</f>
        <v>2022</v>
      </c>
    </row>
    <row r="2715" spans="1:14" x14ac:dyDescent="0.3">
      <c r="A2715" t="s">
        <v>4010</v>
      </c>
      <c r="B2715" s="1">
        <v>44741</v>
      </c>
      <c r="C2715" t="s">
        <v>2818</v>
      </c>
      <c r="D2715" t="s">
        <v>18</v>
      </c>
      <c r="E2715" t="s">
        <v>56</v>
      </c>
      <c r="F2715" t="s">
        <v>95</v>
      </c>
      <c r="G2715" t="s">
        <v>1099</v>
      </c>
      <c r="H2715" s="8">
        <v>524.66</v>
      </c>
      <c r="I2715" s="8">
        <v>156.03</v>
      </c>
      <c r="J2715" s="8">
        <v>0.03</v>
      </c>
      <c r="K2715" t="str">
        <f>IF(SalesData[[#This Row],[Profit]]&gt;0,"Profit","Loss")</f>
        <v>Profit</v>
      </c>
      <c r="L2715" s="8">
        <f>SalesData[[#This Row],[Profit]]/SalesData[[#This Row],[Sales]]</f>
        <v>0.29739259711050969</v>
      </c>
      <c r="M2715" t="str">
        <f>TEXT(SalesData[[#This Row],[Order_Date]],"mmm")</f>
        <v>Jun</v>
      </c>
      <c r="N2715">
        <f>YEAR(SalesData[[#This Row],[Order_Date]])</f>
        <v>2022</v>
      </c>
    </row>
    <row r="2716" spans="1:14" x14ac:dyDescent="0.3">
      <c r="A2716" t="s">
        <v>4011</v>
      </c>
      <c r="B2716" s="1">
        <v>45232</v>
      </c>
      <c r="C2716" t="s">
        <v>1181</v>
      </c>
      <c r="D2716" t="s">
        <v>40</v>
      </c>
      <c r="E2716" t="s">
        <v>13</v>
      </c>
      <c r="F2716" t="s">
        <v>24</v>
      </c>
      <c r="G2716" t="s">
        <v>1198</v>
      </c>
      <c r="H2716" s="8">
        <v>2193.36</v>
      </c>
      <c r="I2716" s="8">
        <v>-515.32000000000005</v>
      </c>
      <c r="J2716" s="8">
        <v>0.11</v>
      </c>
      <c r="K2716" t="str">
        <f>IF(SalesData[[#This Row],[Profit]]&gt;0,"Profit","Loss")</f>
        <v>Loss</v>
      </c>
      <c r="L2716" s="8">
        <f>SalesData[[#This Row],[Profit]]/SalesData[[#This Row],[Sales]]</f>
        <v>-0.23494547178757705</v>
      </c>
      <c r="M2716" t="str">
        <f>TEXT(SalesData[[#This Row],[Order_Date]],"mmm")</f>
        <v>Nov</v>
      </c>
      <c r="N2716">
        <f>YEAR(SalesData[[#This Row],[Order_Date]])</f>
        <v>2023</v>
      </c>
    </row>
    <row r="2717" spans="1:14" x14ac:dyDescent="0.3">
      <c r="A2717" t="s">
        <v>4012</v>
      </c>
      <c r="B2717" s="1">
        <v>44826</v>
      </c>
      <c r="C2717" t="s">
        <v>1800</v>
      </c>
      <c r="D2717" t="s">
        <v>28</v>
      </c>
      <c r="E2717" t="s">
        <v>19</v>
      </c>
      <c r="F2717" t="s">
        <v>141</v>
      </c>
      <c r="G2717" t="s">
        <v>1279</v>
      </c>
      <c r="H2717" s="8">
        <v>2203.98</v>
      </c>
      <c r="I2717" s="8">
        <v>-650.98</v>
      </c>
      <c r="J2717" s="8">
        <v>0.23</v>
      </c>
      <c r="K2717" t="str">
        <f>IF(SalesData[[#This Row],[Profit]]&gt;0,"Profit","Loss")</f>
        <v>Loss</v>
      </c>
      <c r="L2717" s="8">
        <f>SalesData[[#This Row],[Profit]]/SalesData[[#This Row],[Sales]]</f>
        <v>-0.2953656566756504</v>
      </c>
      <c r="M2717" t="str">
        <f>TEXT(SalesData[[#This Row],[Order_Date]],"mmm")</f>
        <v>Sep</v>
      </c>
      <c r="N2717">
        <f>YEAR(SalesData[[#This Row],[Order_Date]])</f>
        <v>2022</v>
      </c>
    </row>
    <row r="2718" spans="1:14" x14ac:dyDescent="0.3">
      <c r="A2718" t="s">
        <v>4013</v>
      </c>
      <c r="B2718" s="1">
        <v>44991</v>
      </c>
      <c r="C2718" t="s">
        <v>1320</v>
      </c>
      <c r="D2718" t="s">
        <v>40</v>
      </c>
      <c r="E2718" t="s">
        <v>56</v>
      </c>
      <c r="F2718" t="s">
        <v>95</v>
      </c>
      <c r="G2718" t="s">
        <v>380</v>
      </c>
      <c r="H2718" s="8">
        <v>3309.95</v>
      </c>
      <c r="I2718" s="8">
        <v>387.53</v>
      </c>
      <c r="J2718" s="8">
        <v>0.27</v>
      </c>
      <c r="K2718" t="str">
        <f>IF(SalesData[[#This Row],[Profit]]&gt;0,"Profit","Loss")</f>
        <v>Profit</v>
      </c>
      <c r="L2718" s="8">
        <f>SalesData[[#This Row],[Profit]]/SalesData[[#This Row],[Sales]]</f>
        <v>0.1170803184338132</v>
      </c>
      <c r="M2718" t="str">
        <f>TEXT(SalesData[[#This Row],[Order_Date]],"mmm")</f>
        <v>Mar</v>
      </c>
      <c r="N2718">
        <f>YEAR(SalesData[[#This Row],[Order_Date]])</f>
        <v>2023</v>
      </c>
    </row>
    <row r="2719" spans="1:14" x14ac:dyDescent="0.3">
      <c r="A2719" t="s">
        <v>4014</v>
      </c>
      <c r="B2719" s="1">
        <v>45073</v>
      </c>
      <c r="C2719" t="s">
        <v>3396</v>
      </c>
      <c r="D2719" t="s">
        <v>18</v>
      </c>
      <c r="E2719" t="s">
        <v>56</v>
      </c>
      <c r="F2719" t="s">
        <v>57</v>
      </c>
      <c r="G2719" t="s">
        <v>1954</v>
      </c>
      <c r="H2719" s="8">
        <v>3147.99</v>
      </c>
      <c r="I2719" s="8">
        <v>-931.47</v>
      </c>
      <c r="J2719" s="8">
        <v>0.1</v>
      </c>
      <c r="K2719" t="str">
        <f>IF(SalesData[[#This Row],[Profit]]&gt;0,"Profit","Loss")</f>
        <v>Loss</v>
      </c>
      <c r="L2719" s="8">
        <f>SalesData[[#This Row],[Profit]]/SalesData[[#This Row],[Sales]]</f>
        <v>-0.29589357018287865</v>
      </c>
      <c r="M2719" t="str">
        <f>TEXT(SalesData[[#This Row],[Order_Date]],"mmm")</f>
        <v>May</v>
      </c>
      <c r="N2719">
        <f>YEAR(SalesData[[#This Row],[Order_Date]])</f>
        <v>2023</v>
      </c>
    </row>
    <row r="2720" spans="1:14" x14ac:dyDescent="0.3">
      <c r="A2720" t="s">
        <v>4015</v>
      </c>
      <c r="B2720" s="1">
        <v>45133</v>
      </c>
      <c r="C2720" t="s">
        <v>1189</v>
      </c>
      <c r="D2720" t="s">
        <v>12</v>
      </c>
      <c r="E2720" t="s">
        <v>13</v>
      </c>
      <c r="F2720" t="s">
        <v>36</v>
      </c>
      <c r="G2720" t="s">
        <v>1835</v>
      </c>
      <c r="H2720" s="8">
        <v>2509.91</v>
      </c>
      <c r="I2720" s="8">
        <v>-248.66</v>
      </c>
      <c r="J2720" s="8">
        <v>0.04</v>
      </c>
      <c r="K2720" t="str">
        <f>IF(SalesData[[#This Row],[Profit]]&gt;0,"Profit","Loss")</f>
        <v>Loss</v>
      </c>
      <c r="L2720" s="8">
        <f>SalesData[[#This Row],[Profit]]/SalesData[[#This Row],[Sales]]</f>
        <v>-9.9071281440370376E-2</v>
      </c>
      <c r="M2720" t="str">
        <f>TEXT(SalesData[[#This Row],[Order_Date]],"mmm")</f>
        <v>Jul</v>
      </c>
      <c r="N2720">
        <f>YEAR(SalesData[[#This Row],[Order_Date]])</f>
        <v>2023</v>
      </c>
    </row>
    <row r="2721" spans="1:14" x14ac:dyDescent="0.3">
      <c r="A2721" t="s">
        <v>4016</v>
      </c>
      <c r="B2721" s="1">
        <v>45257</v>
      </c>
      <c r="C2721" t="s">
        <v>276</v>
      </c>
      <c r="D2721" t="s">
        <v>28</v>
      </c>
      <c r="E2721" t="s">
        <v>19</v>
      </c>
      <c r="F2721" t="s">
        <v>141</v>
      </c>
      <c r="G2721" t="s">
        <v>1300</v>
      </c>
      <c r="H2721" s="8">
        <v>928.48</v>
      </c>
      <c r="I2721" s="8">
        <v>-24.03</v>
      </c>
      <c r="J2721" s="8">
        <v>0.28000000000000003</v>
      </c>
      <c r="K2721" t="str">
        <f>IF(SalesData[[#This Row],[Profit]]&gt;0,"Profit","Loss")</f>
        <v>Loss</v>
      </c>
      <c r="L2721" s="8">
        <f>SalesData[[#This Row],[Profit]]/SalesData[[#This Row],[Sales]]</f>
        <v>-2.5881009822505602E-2</v>
      </c>
      <c r="M2721" t="str">
        <f>TEXT(SalesData[[#This Row],[Order_Date]],"mmm")</f>
        <v>Nov</v>
      </c>
      <c r="N2721">
        <f>YEAR(SalesData[[#This Row],[Order_Date]])</f>
        <v>2023</v>
      </c>
    </row>
    <row r="2722" spans="1:14" x14ac:dyDescent="0.3">
      <c r="A2722" t="s">
        <v>4017</v>
      </c>
      <c r="B2722" s="1">
        <v>44990</v>
      </c>
      <c r="C2722" t="s">
        <v>940</v>
      </c>
      <c r="D2722" t="s">
        <v>28</v>
      </c>
      <c r="E2722" t="s">
        <v>56</v>
      </c>
      <c r="F2722" t="s">
        <v>95</v>
      </c>
      <c r="G2722" t="s">
        <v>700</v>
      </c>
      <c r="H2722" s="8">
        <v>2320.0100000000002</v>
      </c>
      <c r="I2722" s="8">
        <v>81.64</v>
      </c>
      <c r="J2722" s="8">
        <v>0</v>
      </c>
      <c r="K2722" t="str">
        <f>IF(SalesData[[#This Row],[Profit]]&gt;0,"Profit","Loss")</f>
        <v>Profit</v>
      </c>
      <c r="L2722" s="8">
        <f>SalesData[[#This Row],[Profit]]/SalesData[[#This Row],[Sales]]</f>
        <v>3.5189503493519424E-2</v>
      </c>
      <c r="M2722" t="str">
        <f>TEXT(SalesData[[#This Row],[Order_Date]],"mmm")</f>
        <v>Mar</v>
      </c>
      <c r="N2722">
        <f>YEAR(SalesData[[#This Row],[Order_Date]])</f>
        <v>2023</v>
      </c>
    </row>
    <row r="2723" spans="1:14" x14ac:dyDescent="0.3">
      <c r="A2723" t="s">
        <v>4018</v>
      </c>
      <c r="B2723" s="1">
        <v>44844</v>
      </c>
      <c r="C2723" t="s">
        <v>2492</v>
      </c>
      <c r="D2723" t="s">
        <v>28</v>
      </c>
      <c r="E2723" t="s">
        <v>19</v>
      </c>
      <c r="F2723" t="s">
        <v>141</v>
      </c>
      <c r="G2723" t="s">
        <v>2041</v>
      </c>
      <c r="H2723" s="8">
        <v>3937.54</v>
      </c>
      <c r="I2723" s="8">
        <v>92.75</v>
      </c>
      <c r="J2723" s="8">
        <v>0.28999999999999998</v>
      </c>
      <c r="K2723" t="str">
        <f>IF(SalesData[[#This Row],[Profit]]&gt;0,"Profit","Loss")</f>
        <v>Profit</v>
      </c>
      <c r="L2723" s="8">
        <f>SalesData[[#This Row],[Profit]]/SalesData[[#This Row],[Sales]]</f>
        <v>2.3555316263453831E-2</v>
      </c>
      <c r="M2723" t="str">
        <f>TEXT(SalesData[[#This Row],[Order_Date]],"mmm")</f>
        <v>Oct</v>
      </c>
      <c r="N2723">
        <f>YEAR(SalesData[[#This Row],[Order_Date]])</f>
        <v>2022</v>
      </c>
    </row>
    <row r="2724" spans="1:14" x14ac:dyDescent="0.3">
      <c r="A2724" t="s">
        <v>4019</v>
      </c>
      <c r="B2724" s="1">
        <v>45200</v>
      </c>
      <c r="C2724" t="s">
        <v>1834</v>
      </c>
      <c r="D2724" t="s">
        <v>28</v>
      </c>
      <c r="E2724" t="s">
        <v>19</v>
      </c>
      <c r="F2724" t="s">
        <v>141</v>
      </c>
      <c r="G2724" t="s">
        <v>3163</v>
      </c>
      <c r="H2724" s="8">
        <v>2265.79</v>
      </c>
      <c r="I2724" s="8">
        <v>-675.8</v>
      </c>
      <c r="J2724" s="8">
        <v>0.26</v>
      </c>
      <c r="K2724" t="str">
        <f>IF(SalesData[[#This Row],[Profit]]&gt;0,"Profit","Loss")</f>
        <v>Loss</v>
      </c>
      <c r="L2724" s="8">
        <f>SalesData[[#This Row],[Profit]]/SalesData[[#This Row],[Sales]]</f>
        <v>-0.29826241619920646</v>
      </c>
      <c r="M2724" t="str">
        <f>TEXT(SalesData[[#This Row],[Order_Date]],"mmm")</f>
        <v>Oct</v>
      </c>
      <c r="N2724">
        <f>YEAR(SalesData[[#This Row],[Order_Date]])</f>
        <v>2023</v>
      </c>
    </row>
    <row r="2725" spans="1:14" x14ac:dyDescent="0.3">
      <c r="A2725" t="s">
        <v>4020</v>
      </c>
      <c r="B2725" s="1">
        <v>44577</v>
      </c>
      <c r="C2725" t="s">
        <v>3147</v>
      </c>
      <c r="D2725" t="s">
        <v>28</v>
      </c>
      <c r="E2725" t="s">
        <v>56</v>
      </c>
      <c r="F2725" t="s">
        <v>73</v>
      </c>
      <c r="G2725" t="s">
        <v>1825</v>
      </c>
      <c r="H2725" s="8">
        <v>882.25</v>
      </c>
      <c r="I2725" s="8">
        <v>-84.15</v>
      </c>
      <c r="J2725" s="8">
        <v>0.02</v>
      </c>
      <c r="K2725" t="str">
        <f>IF(SalesData[[#This Row],[Profit]]&gt;0,"Profit","Loss")</f>
        <v>Loss</v>
      </c>
      <c r="L2725" s="8">
        <f>SalesData[[#This Row],[Profit]]/SalesData[[#This Row],[Sales]]</f>
        <v>-9.5381127798243134E-2</v>
      </c>
      <c r="M2725" t="str">
        <f>TEXT(SalesData[[#This Row],[Order_Date]],"mmm")</f>
        <v>Jan</v>
      </c>
      <c r="N2725">
        <f>YEAR(SalesData[[#This Row],[Order_Date]])</f>
        <v>2022</v>
      </c>
    </row>
    <row r="2726" spans="1:14" x14ac:dyDescent="0.3">
      <c r="A2726" t="s">
        <v>4021</v>
      </c>
      <c r="B2726" s="1">
        <v>44711</v>
      </c>
      <c r="C2726" t="s">
        <v>1446</v>
      </c>
      <c r="D2726" t="s">
        <v>18</v>
      </c>
      <c r="E2726" t="s">
        <v>56</v>
      </c>
      <c r="F2726" t="s">
        <v>73</v>
      </c>
      <c r="G2726" t="s">
        <v>447</v>
      </c>
      <c r="H2726" s="8">
        <v>1586.21</v>
      </c>
      <c r="I2726" s="8">
        <v>358.57</v>
      </c>
      <c r="J2726" s="8">
        <v>0.17</v>
      </c>
      <c r="K2726" t="str">
        <f>IF(SalesData[[#This Row],[Profit]]&gt;0,"Profit","Loss")</f>
        <v>Profit</v>
      </c>
      <c r="L2726" s="8">
        <f>SalesData[[#This Row],[Profit]]/SalesData[[#This Row],[Sales]]</f>
        <v>0.22605455771934357</v>
      </c>
      <c r="M2726" t="str">
        <f>TEXT(SalesData[[#This Row],[Order_Date]],"mmm")</f>
        <v>May</v>
      </c>
      <c r="N2726">
        <f>YEAR(SalesData[[#This Row],[Order_Date]])</f>
        <v>2022</v>
      </c>
    </row>
    <row r="2727" spans="1:14" x14ac:dyDescent="0.3">
      <c r="A2727" t="s">
        <v>4022</v>
      </c>
      <c r="B2727" s="1">
        <v>44949</v>
      </c>
      <c r="C2727" t="s">
        <v>1270</v>
      </c>
      <c r="D2727" t="s">
        <v>18</v>
      </c>
      <c r="E2727" t="s">
        <v>19</v>
      </c>
      <c r="F2727" t="s">
        <v>20</v>
      </c>
      <c r="G2727" t="s">
        <v>291</v>
      </c>
      <c r="H2727" s="8">
        <v>1607.24</v>
      </c>
      <c r="I2727" s="8">
        <v>-61.77</v>
      </c>
      <c r="J2727" s="8">
        <v>0.09</v>
      </c>
      <c r="K2727" t="str">
        <f>IF(SalesData[[#This Row],[Profit]]&gt;0,"Profit","Loss")</f>
        <v>Loss</v>
      </c>
      <c r="L2727" s="8">
        <f>SalesData[[#This Row],[Profit]]/SalesData[[#This Row],[Sales]]</f>
        <v>-3.8432343645006348E-2</v>
      </c>
      <c r="M2727" t="str">
        <f>TEXT(SalesData[[#This Row],[Order_Date]],"mmm")</f>
        <v>Jan</v>
      </c>
      <c r="N2727">
        <f>YEAR(SalesData[[#This Row],[Order_Date]])</f>
        <v>2023</v>
      </c>
    </row>
    <row r="2728" spans="1:14" x14ac:dyDescent="0.3">
      <c r="A2728" t="s">
        <v>4023</v>
      </c>
      <c r="B2728" s="1">
        <v>44820</v>
      </c>
      <c r="C2728" t="s">
        <v>2348</v>
      </c>
      <c r="D2728" t="s">
        <v>40</v>
      </c>
      <c r="E2728" t="s">
        <v>56</v>
      </c>
      <c r="F2728" t="s">
        <v>57</v>
      </c>
      <c r="G2728" t="s">
        <v>971</v>
      </c>
      <c r="H2728" s="8">
        <v>525.72</v>
      </c>
      <c r="I2728" s="8">
        <v>-94.79</v>
      </c>
      <c r="J2728" s="8">
        <v>0.24</v>
      </c>
      <c r="K2728" t="str">
        <f>IF(SalesData[[#This Row],[Profit]]&gt;0,"Profit","Loss")</f>
        <v>Loss</v>
      </c>
      <c r="L2728" s="8">
        <f>SalesData[[#This Row],[Profit]]/SalesData[[#This Row],[Sales]]</f>
        <v>-0.18030510537928937</v>
      </c>
      <c r="M2728" t="str">
        <f>TEXT(SalesData[[#This Row],[Order_Date]],"mmm")</f>
        <v>Sep</v>
      </c>
      <c r="N2728">
        <f>YEAR(SalesData[[#This Row],[Order_Date]])</f>
        <v>2022</v>
      </c>
    </row>
    <row r="2729" spans="1:14" x14ac:dyDescent="0.3">
      <c r="A2729" t="s">
        <v>4024</v>
      </c>
      <c r="B2729" s="1">
        <v>45237</v>
      </c>
      <c r="C2729" t="s">
        <v>1385</v>
      </c>
      <c r="D2729" t="s">
        <v>40</v>
      </c>
      <c r="E2729" t="s">
        <v>19</v>
      </c>
      <c r="F2729" t="s">
        <v>29</v>
      </c>
      <c r="G2729" t="s">
        <v>1191</v>
      </c>
      <c r="H2729" s="8">
        <v>2916.68</v>
      </c>
      <c r="I2729" s="8">
        <v>968.16</v>
      </c>
      <c r="J2729" s="8">
        <v>0.05</v>
      </c>
      <c r="K2729" t="str">
        <f>IF(SalesData[[#This Row],[Profit]]&gt;0,"Profit","Loss")</f>
        <v>Profit</v>
      </c>
      <c r="L2729" s="8">
        <f>SalesData[[#This Row],[Profit]]/SalesData[[#This Row],[Sales]]</f>
        <v>0.33193905399289603</v>
      </c>
      <c r="M2729" t="str">
        <f>TEXT(SalesData[[#This Row],[Order_Date]],"mmm")</f>
        <v>Nov</v>
      </c>
      <c r="N2729">
        <f>YEAR(SalesData[[#This Row],[Order_Date]])</f>
        <v>2023</v>
      </c>
    </row>
    <row r="2730" spans="1:14" x14ac:dyDescent="0.3">
      <c r="A2730" t="s">
        <v>4025</v>
      </c>
      <c r="B2730" s="1">
        <v>45289</v>
      </c>
      <c r="C2730" t="s">
        <v>1601</v>
      </c>
      <c r="D2730" t="s">
        <v>28</v>
      </c>
      <c r="E2730" t="s">
        <v>19</v>
      </c>
      <c r="F2730" t="s">
        <v>141</v>
      </c>
      <c r="G2730" t="s">
        <v>1342</v>
      </c>
      <c r="H2730" s="8">
        <v>4109.97</v>
      </c>
      <c r="I2730" s="8">
        <v>-1518.04</v>
      </c>
      <c r="J2730" s="8">
        <v>0.23</v>
      </c>
      <c r="K2730" t="str">
        <f>IF(SalesData[[#This Row],[Profit]]&gt;0,"Profit","Loss")</f>
        <v>Loss</v>
      </c>
      <c r="L2730" s="8">
        <f>SalesData[[#This Row],[Profit]]/SalesData[[#This Row],[Sales]]</f>
        <v>-0.36935549407903218</v>
      </c>
      <c r="M2730" t="str">
        <f>TEXT(SalesData[[#This Row],[Order_Date]],"mmm")</f>
        <v>Dec</v>
      </c>
      <c r="N2730">
        <f>YEAR(SalesData[[#This Row],[Order_Date]])</f>
        <v>2023</v>
      </c>
    </row>
    <row r="2731" spans="1:14" x14ac:dyDescent="0.3">
      <c r="A2731" t="s">
        <v>4026</v>
      </c>
      <c r="B2731" s="1">
        <v>44564</v>
      </c>
      <c r="C2731" t="s">
        <v>2673</v>
      </c>
      <c r="D2731" t="s">
        <v>28</v>
      </c>
      <c r="E2731" t="s">
        <v>56</v>
      </c>
      <c r="F2731" t="s">
        <v>73</v>
      </c>
      <c r="G2731" t="s">
        <v>348</v>
      </c>
      <c r="H2731" s="8">
        <v>2797.11</v>
      </c>
      <c r="I2731" s="8">
        <v>-228.92</v>
      </c>
      <c r="J2731" s="8">
        <v>0.16</v>
      </c>
      <c r="K2731" t="str">
        <f>IF(SalesData[[#This Row],[Profit]]&gt;0,"Profit","Loss")</f>
        <v>Loss</v>
      </c>
      <c r="L2731" s="8">
        <f>SalesData[[#This Row],[Profit]]/SalesData[[#This Row],[Sales]]</f>
        <v>-8.1841615095580786E-2</v>
      </c>
      <c r="M2731" t="str">
        <f>TEXT(SalesData[[#This Row],[Order_Date]],"mmm")</f>
        <v>Jan</v>
      </c>
      <c r="N2731">
        <f>YEAR(SalesData[[#This Row],[Order_Date]])</f>
        <v>2022</v>
      </c>
    </row>
    <row r="2732" spans="1:14" x14ac:dyDescent="0.3">
      <c r="A2732" t="s">
        <v>4027</v>
      </c>
      <c r="B2732" s="1">
        <v>45076</v>
      </c>
      <c r="C2732" t="s">
        <v>159</v>
      </c>
      <c r="D2732" t="s">
        <v>12</v>
      </c>
      <c r="E2732" t="s">
        <v>19</v>
      </c>
      <c r="F2732" t="s">
        <v>20</v>
      </c>
      <c r="G2732" t="s">
        <v>1811</v>
      </c>
      <c r="H2732" s="8">
        <v>1753.08</v>
      </c>
      <c r="I2732" s="8">
        <v>-363.76</v>
      </c>
      <c r="J2732" s="8">
        <v>0.18</v>
      </c>
      <c r="K2732" t="str">
        <f>IF(SalesData[[#This Row],[Profit]]&gt;0,"Profit","Loss")</f>
        <v>Loss</v>
      </c>
      <c r="L2732" s="8">
        <f>SalesData[[#This Row],[Profit]]/SalesData[[#This Row],[Sales]]</f>
        <v>-0.20749766125904123</v>
      </c>
      <c r="M2732" t="str">
        <f>TEXT(SalesData[[#This Row],[Order_Date]],"mmm")</f>
        <v>May</v>
      </c>
      <c r="N2732">
        <f>YEAR(SalesData[[#This Row],[Order_Date]])</f>
        <v>2023</v>
      </c>
    </row>
    <row r="2733" spans="1:14" x14ac:dyDescent="0.3">
      <c r="A2733" t="s">
        <v>4028</v>
      </c>
      <c r="B2733" s="1">
        <v>44976</v>
      </c>
      <c r="C2733" t="s">
        <v>224</v>
      </c>
      <c r="D2733" t="s">
        <v>40</v>
      </c>
      <c r="E2733" t="s">
        <v>13</v>
      </c>
      <c r="F2733" t="s">
        <v>36</v>
      </c>
      <c r="G2733" t="s">
        <v>578</v>
      </c>
      <c r="H2733" s="8">
        <v>2974.76</v>
      </c>
      <c r="I2733" s="8">
        <v>-940.26</v>
      </c>
      <c r="J2733" s="8">
        <v>0.13</v>
      </c>
      <c r="K2733" t="str">
        <f>IF(SalesData[[#This Row],[Profit]]&gt;0,"Profit","Loss")</f>
        <v>Loss</v>
      </c>
      <c r="L2733" s="8">
        <f>SalesData[[#This Row],[Profit]]/SalesData[[#This Row],[Sales]]</f>
        <v>-0.31607928034530514</v>
      </c>
      <c r="M2733" t="str">
        <f>TEXT(SalesData[[#This Row],[Order_Date]],"mmm")</f>
        <v>Feb</v>
      </c>
      <c r="N2733">
        <f>YEAR(SalesData[[#This Row],[Order_Date]])</f>
        <v>2023</v>
      </c>
    </row>
    <row r="2734" spans="1:14" x14ac:dyDescent="0.3">
      <c r="A2734" t="s">
        <v>4029</v>
      </c>
      <c r="B2734" s="1">
        <v>44748</v>
      </c>
      <c r="C2734" t="s">
        <v>449</v>
      </c>
      <c r="D2734" t="s">
        <v>18</v>
      </c>
      <c r="E2734" t="s">
        <v>56</v>
      </c>
      <c r="F2734" t="s">
        <v>95</v>
      </c>
      <c r="G2734" t="s">
        <v>575</v>
      </c>
      <c r="H2734" s="8">
        <v>4249.04</v>
      </c>
      <c r="I2734" s="8">
        <v>661.91</v>
      </c>
      <c r="J2734" s="8">
        <v>0.24</v>
      </c>
      <c r="K2734" t="str">
        <f>IF(SalesData[[#This Row],[Profit]]&gt;0,"Profit","Loss")</f>
        <v>Profit</v>
      </c>
      <c r="L2734" s="8">
        <f>SalesData[[#This Row],[Profit]]/SalesData[[#This Row],[Sales]]</f>
        <v>0.15577871707491575</v>
      </c>
      <c r="M2734" t="str">
        <f>TEXT(SalesData[[#This Row],[Order_Date]],"mmm")</f>
        <v>Jul</v>
      </c>
      <c r="N2734">
        <f>YEAR(SalesData[[#This Row],[Order_Date]])</f>
        <v>2022</v>
      </c>
    </row>
    <row r="2735" spans="1:14" x14ac:dyDescent="0.3">
      <c r="A2735" t="s">
        <v>4030</v>
      </c>
      <c r="B2735" s="1">
        <v>44752</v>
      </c>
      <c r="C2735" t="s">
        <v>751</v>
      </c>
      <c r="D2735" t="s">
        <v>12</v>
      </c>
      <c r="E2735" t="s">
        <v>19</v>
      </c>
      <c r="F2735" t="s">
        <v>29</v>
      </c>
      <c r="G2735" t="s">
        <v>747</v>
      </c>
      <c r="H2735" s="8">
        <v>1060.76</v>
      </c>
      <c r="I2735" s="8">
        <v>-393.16</v>
      </c>
      <c r="J2735" s="8">
        <v>0.22</v>
      </c>
      <c r="K2735" t="str">
        <f>IF(SalesData[[#This Row],[Profit]]&gt;0,"Profit","Loss")</f>
        <v>Loss</v>
      </c>
      <c r="L2735" s="8">
        <f>SalesData[[#This Row],[Profit]]/SalesData[[#This Row],[Sales]]</f>
        <v>-0.37063991854896494</v>
      </c>
      <c r="M2735" t="str">
        <f>TEXT(SalesData[[#This Row],[Order_Date]],"mmm")</f>
        <v>Jul</v>
      </c>
      <c r="N2735">
        <f>YEAR(SalesData[[#This Row],[Order_Date]])</f>
        <v>2022</v>
      </c>
    </row>
    <row r="2736" spans="1:14" x14ac:dyDescent="0.3">
      <c r="A2736" t="s">
        <v>4031</v>
      </c>
      <c r="B2736" s="1">
        <v>44996</v>
      </c>
      <c r="C2736" t="s">
        <v>1153</v>
      </c>
      <c r="D2736" t="s">
        <v>18</v>
      </c>
      <c r="E2736" t="s">
        <v>13</v>
      </c>
      <c r="F2736" t="s">
        <v>36</v>
      </c>
      <c r="G2736" t="s">
        <v>1875</v>
      </c>
      <c r="H2736" s="8">
        <v>349.69</v>
      </c>
      <c r="I2736" s="8">
        <v>66.66</v>
      </c>
      <c r="J2736" s="8">
        <v>0.18</v>
      </c>
      <c r="K2736" t="str">
        <f>IF(SalesData[[#This Row],[Profit]]&gt;0,"Profit","Loss")</f>
        <v>Profit</v>
      </c>
      <c r="L2736" s="8">
        <f>SalesData[[#This Row],[Profit]]/SalesData[[#This Row],[Sales]]</f>
        <v>0.19062598301352626</v>
      </c>
      <c r="M2736" t="str">
        <f>TEXT(SalesData[[#This Row],[Order_Date]],"mmm")</f>
        <v>Mar</v>
      </c>
      <c r="N2736">
        <f>YEAR(SalesData[[#This Row],[Order_Date]])</f>
        <v>2023</v>
      </c>
    </row>
    <row r="2737" spans="1:14" x14ac:dyDescent="0.3">
      <c r="A2737" t="s">
        <v>4032</v>
      </c>
      <c r="B2737" s="1">
        <v>44616</v>
      </c>
      <c r="C2737" t="s">
        <v>1032</v>
      </c>
      <c r="D2737" t="s">
        <v>18</v>
      </c>
      <c r="E2737" t="s">
        <v>56</v>
      </c>
      <c r="F2737" t="s">
        <v>57</v>
      </c>
      <c r="G2737" t="s">
        <v>971</v>
      </c>
      <c r="H2737" s="8">
        <v>3596.3</v>
      </c>
      <c r="I2737" s="8">
        <v>-312.37</v>
      </c>
      <c r="J2737" s="8">
        <v>0.19</v>
      </c>
      <c r="K2737" t="str">
        <f>IF(SalesData[[#This Row],[Profit]]&gt;0,"Profit","Loss")</f>
        <v>Loss</v>
      </c>
      <c r="L2737" s="8">
        <f>SalesData[[#This Row],[Profit]]/SalesData[[#This Row],[Sales]]</f>
        <v>-8.6858715902455294E-2</v>
      </c>
      <c r="M2737" t="str">
        <f>TEXT(SalesData[[#This Row],[Order_Date]],"mmm")</f>
        <v>Feb</v>
      </c>
      <c r="N2737">
        <f>YEAR(SalesData[[#This Row],[Order_Date]])</f>
        <v>2022</v>
      </c>
    </row>
    <row r="2738" spans="1:14" x14ac:dyDescent="0.3">
      <c r="A2738" t="s">
        <v>4033</v>
      </c>
      <c r="B2738" s="1">
        <v>45168</v>
      </c>
      <c r="C2738" t="s">
        <v>2487</v>
      </c>
      <c r="D2738" t="s">
        <v>12</v>
      </c>
      <c r="E2738" t="s">
        <v>56</v>
      </c>
      <c r="F2738" t="s">
        <v>73</v>
      </c>
      <c r="G2738" t="s">
        <v>3231</v>
      </c>
      <c r="H2738" s="8">
        <v>1088.06</v>
      </c>
      <c r="I2738" s="8">
        <v>-53.91</v>
      </c>
      <c r="J2738" s="8">
        <v>0.18</v>
      </c>
      <c r="K2738" t="str">
        <f>IF(SalesData[[#This Row],[Profit]]&gt;0,"Profit","Loss")</f>
        <v>Loss</v>
      </c>
      <c r="L2738" s="8">
        <f>SalesData[[#This Row],[Profit]]/SalesData[[#This Row],[Sales]]</f>
        <v>-4.9546899987133061E-2</v>
      </c>
      <c r="M2738" t="str">
        <f>TEXT(SalesData[[#This Row],[Order_Date]],"mmm")</f>
        <v>Aug</v>
      </c>
      <c r="N2738">
        <f>YEAR(SalesData[[#This Row],[Order_Date]])</f>
        <v>2023</v>
      </c>
    </row>
    <row r="2739" spans="1:14" x14ac:dyDescent="0.3">
      <c r="A2739" t="s">
        <v>4034</v>
      </c>
      <c r="B2739" s="1">
        <v>45048</v>
      </c>
      <c r="C2739" t="s">
        <v>1757</v>
      </c>
      <c r="D2739" t="s">
        <v>18</v>
      </c>
      <c r="E2739" t="s">
        <v>56</v>
      </c>
      <c r="F2739" t="s">
        <v>95</v>
      </c>
      <c r="G2739" t="s">
        <v>833</v>
      </c>
      <c r="H2739" s="8">
        <v>258.93</v>
      </c>
      <c r="I2739" s="8">
        <v>-5.52</v>
      </c>
      <c r="J2739" s="8">
        <v>0</v>
      </c>
      <c r="K2739" t="str">
        <f>IF(SalesData[[#This Row],[Profit]]&gt;0,"Profit","Loss")</f>
        <v>Loss</v>
      </c>
      <c r="L2739" s="8">
        <f>SalesData[[#This Row],[Profit]]/SalesData[[#This Row],[Sales]]</f>
        <v>-2.1318503070327885E-2</v>
      </c>
      <c r="M2739" t="str">
        <f>TEXT(SalesData[[#This Row],[Order_Date]],"mmm")</f>
        <v>May</v>
      </c>
      <c r="N2739">
        <f>YEAR(SalesData[[#This Row],[Order_Date]])</f>
        <v>2023</v>
      </c>
    </row>
    <row r="2740" spans="1:14" x14ac:dyDescent="0.3">
      <c r="A2740" t="s">
        <v>4035</v>
      </c>
      <c r="B2740" s="1">
        <v>45229</v>
      </c>
      <c r="C2740" t="s">
        <v>264</v>
      </c>
      <c r="D2740" t="s">
        <v>28</v>
      </c>
      <c r="E2740" t="s">
        <v>13</v>
      </c>
      <c r="F2740" t="s">
        <v>36</v>
      </c>
      <c r="G2740" t="s">
        <v>37</v>
      </c>
      <c r="H2740" s="8">
        <v>3762.94</v>
      </c>
      <c r="I2740" s="8">
        <v>-376.37</v>
      </c>
      <c r="J2740" s="8">
        <v>0.18</v>
      </c>
      <c r="K2740" t="str">
        <f>IF(SalesData[[#This Row],[Profit]]&gt;0,"Profit","Loss")</f>
        <v>Loss</v>
      </c>
      <c r="L2740" s="8">
        <f>SalesData[[#This Row],[Profit]]/SalesData[[#This Row],[Sales]]</f>
        <v>-0.10002019697364295</v>
      </c>
      <c r="M2740" t="str">
        <f>TEXT(SalesData[[#This Row],[Order_Date]],"mmm")</f>
        <v>Oct</v>
      </c>
      <c r="N2740">
        <f>YEAR(SalesData[[#This Row],[Order_Date]])</f>
        <v>2023</v>
      </c>
    </row>
    <row r="2741" spans="1:14" x14ac:dyDescent="0.3">
      <c r="A2741" t="s">
        <v>4036</v>
      </c>
      <c r="B2741" s="1">
        <v>44721</v>
      </c>
      <c r="C2741" t="s">
        <v>79</v>
      </c>
      <c r="D2741" t="s">
        <v>40</v>
      </c>
      <c r="E2741" t="s">
        <v>13</v>
      </c>
      <c r="F2741" t="s">
        <v>14</v>
      </c>
      <c r="G2741" t="s">
        <v>47</v>
      </c>
      <c r="H2741" s="8">
        <v>4434.67</v>
      </c>
      <c r="I2741" s="8">
        <v>445.52</v>
      </c>
      <c r="J2741" s="8">
        <v>0.23</v>
      </c>
      <c r="K2741" t="str">
        <f>IF(SalesData[[#This Row],[Profit]]&gt;0,"Profit","Loss")</f>
        <v>Profit</v>
      </c>
      <c r="L2741" s="8">
        <f>SalesData[[#This Row],[Profit]]/SalesData[[#This Row],[Sales]]</f>
        <v>0.10046294312767352</v>
      </c>
      <c r="M2741" t="str">
        <f>TEXT(SalesData[[#This Row],[Order_Date]],"mmm")</f>
        <v>Jun</v>
      </c>
      <c r="N2741">
        <f>YEAR(SalesData[[#This Row],[Order_Date]])</f>
        <v>2022</v>
      </c>
    </row>
    <row r="2742" spans="1:14" x14ac:dyDescent="0.3">
      <c r="A2742" t="s">
        <v>4037</v>
      </c>
      <c r="B2742" s="1">
        <v>44826</v>
      </c>
      <c r="C2742" t="s">
        <v>1278</v>
      </c>
      <c r="D2742" t="s">
        <v>40</v>
      </c>
      <c r="E2742" t="s">
        <v>13</v>
      </c>
      <c r="F2742" t="s">
        <v>24</v>
      </c>
      <c r="G2742" t="s">
        <v>2435</v>
      </c>
      <c r="H2742" s="8">
        <v>4891.07</v>
      </c>
      <c r="I2742" s="8">
        <v>-327.43</v>
      </c>
      <c r="J2742" s="8">
        <v>0.3</v>
      </c>
      <c r="K2742" t="str">
        <f>IF(SalesData[[#This Row],[Profit]]&gt;0,"Profit","Loss")</f>
        <v>Loss</v>
      </c>
      <c r="L2742" s="8">
        <f>SalesData[[#This Row],[Profit]]/SalesData[[#This Row],[Sales]]</f>
        <v>-6.6944451827514226E-2</v>
      </c>
      <c r="M2742" t="str">
        <f>TEXT(SalesData[[#This Row],[Order_Date]],"mmm")</f>
        <v>Sep</v>
      </c>
      <c r="N2742">
        <f>YEAR(SalesData[[#This Row],[Order_Date]])</f>
        <v>2022</v>
      </c>
    </row>
    <row r="2743" spans="1:14" x14ac:dyDescent="0.3">
      <c r="A2743" t="s">
        <v>4038</v>
      </c>
      <c r="B2743" s="1">
        <v>44571</v>
      </c>
      <c r="C2743" t="s">
        <v>2881</v>
      </c>
      <c r="D2743" t="s">
        <v>12</v>
      </c>
      <c r="E2743" t="s">
        <v>13</v>
      </c>
      <c r="F2743" t="s">
        <v>36</v>
      </c>
      <c r="G2743" t="s">
        <v>730</v>
      </c>
      <c r="H2743" s="8">
        <v>4125.2299999999996</v>
      </c>
      <c r="I2743" s="8">
        <v>-334.99</v>
      </c>
      <c r="J2743" s="8">
        <v>0.1</v>
      </c>
      <c r="K2743" t="str">
        <f>IF(SalesData[[#This Row],[Profit]]&gt;0,"Profit","Loss")</f>
        <v>Loss</v>
      </c>
      <c r="L2743" s="8">
        <f>SalesData[[#This Row],[Profit]]/SalesData[[#This Row],[Sales]]</f>
        <v>-8.1205169166325281E-2</v>
      </c>
      <c r="M2743" t="str">
        <f>TEXT(SalesData[[#This Row],[Order_Date]],"mmm")</f>
        <v>Jan</v>
      </c>
      <c r="N2743">
        <f>YEAR(SalesData[[#This Row],[Order_Date]])</f>
        <v>2022</v>
      </c>
    </row>
    <row r="2744" spans="1:14" x14ac:dyDescent="0.3">
      <c r="A2744" t="s">
        <v>4039</v>
      </c>
      <c r="B2744" s="1">
        <v>44684</v>
      </c>
      <c r="C2744" t="s">
        <v>1748</v>
      </c>
      <c r="D2744" t="s">
        <v>28</v>
      </c>
      <c r="E2744" t="s">
        <v>56</v>
      </c>
      <c r="F2744" t="s">
        <v>95</v>
      </c>
      <c r="G2744" t="s">
        <v>774</v>
      </c>
      <c r="H2744" s="8">
        <v>1769.56</v>
      </c>
      <c r="I2744" s="8">
        <v>-354.99</v>
      </c>
      <c r="J2744" s="8">
        <v>0.1</v>
      </c>
      <c r="K2744" t="str">
        <f>IF(SalesData[[#This Row],[Profit]]&gt;0,"Profit","Loss")</f>
        <v>Loss</v>
      </c>
      <c r="L2744" s="8">
        <f>SalesData[[#This Row],[Profit]]/SalesData[[#This Row],[Sales]]</f>
        <v>-0.2006091909853297</v>
      </c>
      <c r="M2744" t="str">
        <f>TEXT(SalesData[[#This Row],[Order_Date]],"mmm")</f>
        <v>May</v>
      </c>
      <c r="N2744">
        <f>YEAR(SalesData[[#This Row],[Order_Date]])</f>
        <v>2022</v>
      </c>
    </row>
    <row r="2745" spans="1:14" x14ac:dyDescent="0.3">
      <c r="A2745" t="s">
        <v>4040</v>
      </c>
      <c r="B2745" s="1">
        <v>44565</v>
      </c>
      <c r="C2745" t="s">
        <v>1378</v>
      </c>
      <c r="D2745" t="s">
        <v>18</v>
      </c>
      <c r="E2745" t="s">
        <v>56</v>
      </c>
      <c r="F2745" t="s">
        <v>73</v>
      </c>
      <c r="G2745" t="s">
        <v>1352</v>
      </c>
      <c r="H2745" s="8">
        <v>2689.57</v>
      </c>
      <c r="I2745" s="8">
        <v>-521.28</v>
      </c>
      <c r="J2745" s="8">
        <v>0.26</v>
      </c>
      <c r="K2745" t="str">
        <f>IF(SalesData[[#This Row],[Profit]]&gt;0,"Profit","Loss")</f>
        <v>Loss</v>
      </c>
      <c r="L2745" s="8">
        <f>SalesData[[#This Row],[Profit]]/SalesData[[#This Row],[Sales]]</f>
        <v>-0.19381536825589218</v>
      </c>
      <c r="M2745" t="str">
        <f>TEXT(SalesData[[#This Row],[Order_Date]],"mmm")</f>
        <v>Jan</v>
      </c>
      <c r="N2745">
        <f>YEAR(SalesData[[#This Row],[Order_Date]])</f>
        <v>2022</v>
      </c>
    </row>
    <row r="2746" spans="1:14" x14ac:dyDescent="0.3">
      <c r="A2746" t="s">
        <v>4041</v>
      </c>
      <c r="B2746" s="1">
        <v>44987</v>
      </c>
      <c r="C2746" t="s">
        <v>250</v>
      </c>
      <c r="D2746" t="s">
        <v>28</v>
      </c>
      <c r="E2746" t="s">
        <v>19</v>
      </c>
      <c r="F2746" t="s">
        <v>141</v>
      </c>
      <c r="G2746" t="s">
        <v>1806</v>
      </c>
      <c r="H2746" s="8">
        <v>3826.22</v>
      </c>
      <c r="I2746" s="8">
        <v>-494.47</v>
      </c>
      <c r="J2746" s="8">
        <v>0.21</v>
      </c>
      <c r="K2746" t="str">
        <f>IF(SalesData[[#This Row],[Profit]]&gt;0,"Profit","Loss")</f>
        <v>Loss</v>
      </c>
      <c r="L2746" s="8">
        <f>SalesData[[#This Row],[Profit]]/SalesData[[#This Row],[Sales]]</f>
        <v>-0.12923198352420928</v>
      </c>
      <c r="M2746" t="str">
        <f>TEXT(SalesData[[#This Row],[Order_Date]],"mmm")</f>
        <v>Mar</v>
      </c>
      <c r="N2746">
        <f>YEAR(SalesData[[#This Row],[Order_Date]])</f>
        <v>2023</v>
      </c>
    </row>
    <row r="2747" spans="1:14" x14ac:dyDescent="0.3">
      <c r="A2747" t="s">
        <v>4042</v>
      </c>
      <c r="B2747" s="1">
        <v>44720</v>
      </c>
      <c r="C2747" t="s">
        <v>1158</v>
      </c>
      <c r="D2747" t="s">
        <v>18</v>
      </c>
      <c r="E2747" t="s">
        <v>13</v>
      </c>
      <c r="F2747" t="s">
        <v>24</v>
      </c>
      <c r="G2747" t="s">
        <v>1156</v>
      </c>
      <c r="H2747" s="8">
        <v>2608.73</v>
      </c>
      <c r="I2747" s="8">
        <v>-386.12</v>
      </c>
      <c r="J2747" s="8">
        <v>0.23</v>
      </c>
      <c r="K2747" t="str">
        <f>IF(SalesData[[#This Row],[Profit]]&gt;0,"Profit","Loss")</f>
        <v>Loss</v>
      </c>
      <c r="L2747" s="8">
        <f>SalesData[[#This Row],[Profit]]/SalesData[[#This Row],[Sales]]</f>
        <v>-0.14801071785888154</v>
      </c>
      <c r="M2747" t="str">
        <f>TEXT(SalesData[[#This Row],[Order_Date]],"mmm")</f>
        <v>Jun</v>
      </c>
      <c r="N2747">
        <f>YEAR(SalesData[[#This Row],[Order_Date]])</f>
        <v>2022</v>
      </c>
    </row>
    <row r="2748" spans="1:14" x14ac:dyDescent="0.3">
      <c r="A2748" t="s">
        <v>4043</v>
      </c>
      <c r="B2748" s="1">
        <v>44685</v>
      </c>
      <c r="C2748" t="s">
        <v>1854</v>
      </c>
      <c r="D2748" t="s">
        <v>18</v>
      </c>
      <c r="E2748" t="s">
        <v>13</v>
      </c>
      <c r="F2748" t="s">
        <v>24</v>
      </c>
      <c r="G2748" t="s">
        <v>2141</v>
      </c>
      <c r="H2748" s="8">
        <v>3205.34</v>
      </c>
      <c r="I2748" s="8">
        <v>-100.41</v>
      </c>
      <c r="J2748" s="8">
        <v>0.12</v>
      </c>
      <c r="K2748" t="str">
        <f>IF(SalesData[[#This Row],[Profit]]&gt;0,"Profit","Loss")</f>
        <v>Loss</v>
      </c>
      <c r="L2748" s="8">
        <f>SalesData[[#This Row],[Profit]]/SalesData[[#This Row],[Sales]]</f>
        <v>-3.1325849987832804E-2</v>
      </c>
      <c r="M2748" t="str">
        <f>TEXT(SalesData[[#This Row],[Order_Date]],"mmm")</f>
        <v>May</v>
      </c>
      <c r="N2748">
        <f>YEAR(SalesData[[#This Row],[Order_Date]])</f>
        <v>2022</v>
      </c>
    </row>
    <row r="2749" spans="1:14" x14ac:dyDescent="0.3">
      <c r="A2749" t="s">
        <v>4044</v>
      </c>
      <c r="B2749" s="1">
        <v>44670</v>
      </c>
      <c r="C2749" t="s">
        <v>2052</v>
      </c>
      <c r="D2749" t="s">
        <v>18</v>
      </c>
      <c r="E2749" t="s">
        <v>19</v>
      </c>
      <c r="F2749" t="s">
        <v>20</v>
      </c>
      <c r="G2749" t="s">
        <v>428</v>
      </c>
      <c r="H2749" s="8">
        <v>297.56</v>
      </c>
      <c r="I2749" s="8">
        <v>-36.96</v>
      </c>
      <c r="J2749" s="8">
        <v>0.26</v>
      </c>
      <c r="K2749" t="str">
        <f>IF(SalesData[[#This Row],[Profit]]&gt;0,"Profit","Loss")</f>
        <v>Loss</v>
      </c>
      <c r="L2749" s="8">
        <f>SalesData[[#This Row],[Profit]]/SalesData[[#This Row],[Sales]]</f>
        <v>-0.12421024331227316</v>
      </c>
      <c r="M2749" t="str">
        <f>TEXT(SalesData[[#This Row],[Order_Date]],"mmm")</f>
        <v>Apr</v>
      </c>
      <c r="N2749">
        <f>YEAR(SalesData[[#This Row],[Order_Date]])</f>
        <v>2022</v>
      </c>
    </row>
    <row r="2750" spans="1:14" x14ac:dyDescent="0.3">
      <c r="A2750" t="s">
        <v>4045</v>
      </c>
      <c r="B2750" s="1">
        <v>44922</v>
      </c>
      <c r="C2750" t="s">
        <v>1646</v>
      </c>
      <c r="D2750" t="s">
        <v>12</v>
      </c>
      <c r="E2750" t="s">
        <v>19</v>
      </c>
      <c r="F2750" t="s">
        <v>141</v>
      </c>
      <c r="G2750" t="s">
        <v>354</v>
      </c>
      <c r="H2750" s="8">
        <v>173.13</v>
      </c>
      <c r="I2750" s="8">
        <v>-15.68</v>
      </c>
      <c r="J2750" s="8">
        <v>0.22</v>
      </c>
      <c r="K2750" t="str">
        <f>IF(SalesData[[#This Row],[Profit]]&gt;0,"Profit","Loss")</f>
        <v>Loss</v>
      </c>
      <c r="L2750" s="8">
        <f>SalesData[[#This Row],[Profit]]/SalesData[[#This Row],[Sales]]</f>
        <v>-9.0567781435915207E-2</v>
      </c>
      <c r="M2750" t="str">
        <f>TEXT(SalesData[[#This Row],[Order_Date]],"mmm")</f>
        <v>Dec</v>
      </c>
      <c r="N2750">
        <f>YEAR(SalesData[[#This Row],[Order_Date]])</f>
        <v>2022</v>
      </c>
    </row>
    <row r="2751" spans="1:14" x14ac:dyDescent="0.3">
      <c r="A2751" t="s">
        <v>4046</v>
      </c>
      <c r="B2751" s="1">
        <v>44700</v>
      </c>
      <c r="C2751" t="s">
        <v>1246</v>
      </c>
      <c r="D2751" t="s">
        <v>28</v>
      </c>
      <c r="E2751" t="s">
        <v>56</v>
      </c>
      <c r="F2751" t="s">
        <v>73</v>
      </c>
      <c r="G2751" t="s">
        <v>1954</v>
      </c>
      <c r="H2751" s="8">
        <v>1358.78</v>
      </c>
      <c r="I2751" s="8">
        <v>-466.75</v>
      </c>
      <c r="J2751" s="8">
        <v>0.26</v>
      </c>
      <c r="K2751" t="str">
        <f>IF(SalesData[[#This Row],[Profit]]&gt;0,"Profit","Loss")</f>
        <v>Loss</v>
      </c>
      <c r="L2751" s="8">
        <f>SalesData[[#This Row],[Profit]]/SalesData[[#This Row],[Sales]]</f>
        <v>-0.34350667510560945</v>
      </c>
      <c r="M2751" t="str">
        <f>TEXT(SalesData[[#This Row],[Order_Date]],"mmm")</f>
        <v>May</v>
      </c>
      <c r="N2751">
        <f>YEAR(SalesData[[#This Row],[Order_Date]])</f>
        <v>2022</v>
      </c>
    </row>
    <row r="2752" spans="1:14" x14ac:dyDescent="0.3">
      <c r="A2752" t="s">
        <v>4047</v>
      </c>
      <c r="B2752" s="1">
        <v>44955</v>
      </c>
      <c r="C2752" t="s">
        <v>1928</v>
      </c>
      <c r="D2752" t="s">
        <v>28</v>
      </c>
      <c r="E2752" t="s">
        <v>56</v>
      </c>
      <c r="F2752" t="s">
        <v>57</v>
      </c>
      <c r="G2752" t="s">
        <v>2321</v>
      </c>
      <c r="H2752" s="8">
        <v>4854.3599999999997</v>
      </c>
      <c r="I2752" s="8">
        <v>539.07000000000005</v>
      </c>
      <c r="J2752" s="8">
        <v>0.04</v>
      </c>
      <c r="K2752" t="str">
        <f>IF(SalesData[[#This Row],[Profit]]&gt;0,"Profit","Loss")</f>
        <v>Profit</v>
      </c>
      <c r="L2752" s="8">
        <f>SalesData[[#This Row],[Profit]]/SalesData[[#This Row],[Sales]]</f>
        <v>0.11104862432946878</v>
      </c>
      <c r="M2752" t="str">
        <f>TEXT(SalesData[[#This Row],[Order_Date]],"mmm")</f>
        <v>Jan</v>
      </c>
      <c r="N2752">
        <f>YEAR(SalesData[[#This Row],[Order_Date]])</f>
        <v>2023</v>
      </c>
    </row>
    <row r="2753" spans="1:14" x14ac:dyDescent="0.3">
      <c r="A2753" t="s">
        <v>4048</v>
      </c>
      <c r="B2753" s="1">
        <v>45015</v>
      </c>
      <c r="C2753" t="s">
        <v>3569</v>
      </c>
      <c r="D2753" t="s">
        <v>40</v>
      </c>
      <c r="E2753" t="s">
        <v>19</v>
      </c>
      <c r="F2753" t="s">
        <v>29</v>
      </c>
      <c r="G2753" t="s">
        <v>520</v>
      </c>
      <c r="H2753" s="8">
        <v>1371.95</v>
      </c>
      <c r="I2753" s="8">
        <v>-532.38</v>
      </c>
      <c r="J2753" s="8">
        <v>0.2</v>
      </c>
      <c r="K2753" t="str">
        <f>IF(SalesData[[#This Row],[Profit]]&gt;0,"Profit","Loss")</f>
        <v>Loss</v>
      </c>
      <c r="L2753" s="8">
        <f>SalesData[[#This Row],[Profit]]/SalesData[[#This Row],[Sales]]</f>
        <v>-0.3880462115966325</v>
      </c>
      <c r="M2753" t="str">
        <f>TEXT(SalesData[[#This Row],[Order_Date]],"mmm")</f>
        <v>Mar</v>
      </c>
      <c r="N2753">
        <f>YEAR(SalesData[[#This Row],[Order_Date]])</f>
        <v>2023</v>
      </c>
    </row>
    <row r="2754" spans="1:14" x14ac:dyDescent="0.3">
      <c r="A2754" t="s">
        <v>4049</v>
      </c>
      <c r="B2754" s="1">
        <v>44935</v>
      </c>
      <c r="C2754" t="s">
        <v>113</v>
      </c>
      <c r="D2754" t="s">
        <v>18</v>
      </c>
      <c r="E2754" t="s">
        <v>19</v>
      </c>
      <c r="F2754" t="s">
        <v>141</v>
      </c>
      <c r="G2754" t="s">
        <v>945</v>
      </c>
      <c r="H2754" s="8">
        <v>3481.46</v>
      </c>
      <c r="I2754" s="8">
        <v>834.93</v>
      </c>
      <c r="J2754" s="8">
        <v>7.0000000000000007E-2</v>
      </c>
      <c r="K2754" t="str">
        <f>IF(SalesData[[#This Row],[Profit]]&gt;0,"Profit","Loss")</f>
        <v>Profit</v>
      </c>
      <c r="L2754" s="8">
        <f>SalesData[[#This Row],[Profit]]/SalesData[[#This Row],[Sales]]</f>
        <v>0.23982179890046129</v>
      </c>
      <c r="M2754" t="str">
        <f>TEXT(SalesData[[#This Row],[Order_Date]],"mmm")</f>
        <v>Jan</v>
      </c>
      <c r="N2754">
        <f>YEAR(SalesData[[#This Row],[Order_Date]])</f>
        <v>2023</v>
      </c>
    </row>
    <row r="2755" spans="1:14" x14ac:dyDescent="0.3">
      <c r="A2755" t="s">
        <v>4050</v>
      </c>
      <c r="B2755" s="1">
        <v>44710</v>
      </c>
      <c r="C2755" t="s">
        <v>2392</v>
      </c>
      <c r="D2755" t="s">
        <v>12</v>
      </c>
      <c r="E2755" t="s">
        <v>19</v>
      </c>
      <c r="F2755" t="s">
        <v>20</v>
      </c>
      <c r="G2755" t="s">
        <v>1150</v>
      </c>
      <c r="H2755" s="8">
        <v>3705.42</v>
      </c>
      <c r="I2755" s="8">
        <v>321.58999999999997</v>
      </c>
      <c r="J2755" s="8">
        <v>0.25</v>
      </c>
      <c r="K2755" t="str">
        <f>IF(SalesData[[#This Row],[Profit]]&gt;0,"Profit","Loss")</f>
        <v>Profit</v>
      </c>
      <c r="L2755" s="8">
        <f>SalesData[[#This Row],[Profit]]/SalesData[[#This Row],[Sales]]</f>
        <v>8.6789081939429261E-2</v>
      </c>
      <c r="M2755" t="str">
        <f>TEXT(SalesData[[#This Row],[Order_Date]],"mmm")</f>
        <v>May</v>
      </c>
      <c r="N2755">
        <f>YEAR(SalesData[[#This Row],[Order_Date]])</f>
        <v>2022</v>
      </c>
    </row>
    <row r="2756" spans="1:14" x14ac:dyDescent="0.3">
      <c r="A2756" t="s">
        <v>4051</v>
      </c>
      <c r="B2756" s="1">
        <v>45226</v>
      </c>
      <c r="C2756" t="s">
        <v>517</v>
      </c>
      <c r="D2756" t="s">
        <v>40</v>
      </c>
      <c r="E2756" t="s">
        <v>19</v>
      </c>
      <c r="F2756" t="s">
        <v>20</v>
      </c>
      <c r="G2756" t="s">
        <v>199</v>
      </c>
      <c r="H2756" s="8">
        <v>1166.17</v>
      </c>
      <c r="I2756" s="8">
        <v>323.64999999999998</v>
      </c>
      <c r="J2756" s="8">
        <v>0.11</v>
      </c>
      <c r="K2756" t="str">
        <f>IF(SalesData[[#This Row],[Profit]]&gt;0,"Profit","Loss")</f>
        <v>Profit</v>
      </c>
      <c r="L2756" s="8">
        <f>SalesData[[#This Row],[Profit]]/SalesData[[#This Row],[Sales]]</f>
        <v>0.277532435236715</v>
      </c>
      <c r="M2756" t="str">
        <f>TEXT(SalesData[[#This Row],[Order_Date]],"mmm")</f>
        <v>Oct</v>
      </c>
      <c r="N2756">
        <f>YEAR(SalesData[[#This Row],[Order_Date]])</f>
        <v>2023</v>
      </c>
    </row>
    <row r="2757" spans="1:14" x14ac:dyDescent="0.3">
      <c r="A2757" t="s">
        <v>4052</v>
      </c>
      <c r="B2757" s="1">
        <v>45196</v>
      </c>
      <c r="C2757" t="s">
        <v>221</v>
      </c>
      <c r="D2757" t="s">
        <v>18</v>
      </c>
      <c r="E2757" t="s">
        <v>56</v>
      </c>
      <c r="F2757" t="s">
        <v>95</v>
      </c>
      <c r="G2757" t="s">
        <v>1389</v>
      </c>
      <c r="H2757" s="8">
        <v>4257.82</v>
      </c>
      <c r="I2757" s="8">
        <v>29.39</v>
      </c>
      <c r="J2757" s="8">
        <v>0.21</v>
      </c>
      <c r="K2757" t="str">
        <f>IF(SalesData[[#This Row],[Profit]]&gt;0,"Profit","Loss")</f>
        <v>Profit</v>
      </c>
      <c r="L2757" s="8">
        <f>SalesData[[#This Row],[Profit]]/SalesData[[#This Row],[Sales]]</f>
        <v>6.9025933458906211E-3</v>
      </c>
      <c r="M2757" t="str">
        <f>TEXT(SalesData[[#This Row],[Order_Date]],"mmm")</f>
        <v>Sep</v>
      </c>
      <c r="N2757">
        <f>YEAR(SalesData[[#This Row],[Order_Date]])</f>
        <v>2023</v>
      </c>
    </row>
    <row r="2758" spans="1:14" x14ac:dyDescent="0.3">
      <c r="A2758" t="s">
        <v>4053</v>
      </c>
      <c r="B2758" s="1">
        <v>44586</v>
      </c>
      <c r="C2758" t="s">
        <v>1349</v>
      </c>
      <c r="D2758" t="s">
        <v>40</v>
      </c>
      <c r="E2758" t="s">
        <v>56</v>
      </c>
      <c r="F2758" t="s">
        <v>95</v>
      </c>
      <c r="G2758" t="s">
        <v>50</v>
      </c>
      <c r="H2758" s="8">
        <v>2754.96</v>
      </c>
      <c r="I2758" s="8">
        <v>-689.91</v>
      </c>
      <c r="J2758" s="8">
        <v>0.09</v>
      </c>
      <c r="K2758" t="str">
        <f>IF(SalesData[[#This Row],[Profit]]&gt;0,"Profit","Loss")</f>
        <v>Loss</v>
      </c>
      <c r="L2758" s="8">
        <f>SalesData[[#This Row],[Profit]]/SalesData[[#This Row],[Sales]]</f>
        <v>-0.2504246885617214</v>
      </c>
      <c r="M2758" t="str">
        <f>TEXT(SalesData[[#This Row],[Order_Date]],"mmm")</f>
        <v>Jan</v>
      </c>
      <c r="N2758">
        <f>YEAR(SalesData[[#This Row],[Order_Date]])</f>
        <v>2022</v>
      </c>
    </row>
    <row r="2759" spans="1:14" x14ac:dyDescent="0.3">
      <c r="A2759" t="s">
        <v>4054</v>
      </c>
      <c r="B2759" s="1">
        <v>44577</v>
      </c>
      <c r="C2759" t="s">
        <v>124</v>
      </c>
      <c r="D2759" t="s">
        <v>18</v>
      </c>
      <c r="E2759" t="s">
        <v>56</v>
      </c>
      <c r="F2759" t="s">
        <v>73</v>
      </c>
      <c r="G2759" t="s">
        <v>37</v>
      </c>
      <c r="H2759" s="8">
        <v>2182.92</v>
      </c>
      <c r="I2759" s="8">
        <v>-862.78</v>
      </c>
      <c r="J2759" s="8">
        <v>0.24</v>
      </c>
      <c r="K2759" t="str">
        <f>IF(SalesData[[#This Row],[Profit]]&gt;0,"Profit","Loss")</f>
        <v>Loss</v>
      </c>
      <c r="L2759" s="8">
        <f>SalesData[[#This Row],[Profit]]/SalesData[[#This Row],[Sales]]</f>
        <v>-0.39524123650889631</v>
      </c>
      <c r="M2759" t="str">
        <f>TEXT(SalesData[[#This Row],[Order_Date]],"mmm")</f>
        <v>Jan</v>
      </c>
      <c r="N2759">
        <f>YEAR(SalesData[[#This Row],[Order_Date]])</f>
        <v>2022</v>
      </c>
    </row>
    <row r="2760" spans="1:14" x14ac:dyDescent="0.3">
      <c r="A2760" t="s">
        <v>4055</v>
      </c>
      <c r="B2760" s="1">
        <v>44935</v>
      </c>
      <c r="C2760" t="s">
        <v>1810</v>
      </c>
      <c r="D2760" t="s">
        <v>28</v>
      </c>
      <c r="E2760" t="s">
        <v>56</v>
      </c>
      <c r="F2760" t="s">
        <v>57</v>
      </c>
      <c r="G2760" t="s">
        <v>25</v>
      </c>
      <c r="H2760" s="8">
        <v>1904.67</v>
      </c>
      <c r="I2760" s="8">
        <v>125.26</v>
      </c>
      <c r="J2760" s="8">
        <v>0.02</v>
      </c>
      <c r="K2760" t="str">
        <f>IF(SalesData[[#This Row],[Profit]]&gt;0,"Profit","Loss")</f>
        <v>Profit</v>
      </c>
      <c r="L2760" s="8">
        <f>SalesData[[#This Row],[Profit]]/SalesData[[#This Row],[Sales]]</f>
        <v>6.5764673145479263E-2</v>
      </c>
      <c r="M2760" t="str">
        <f>TEXT(SalesData[[#This Row],[Order_Date]],"mmm")</f>
        <v>Jan</v>
      </c>
      <c r="N2760">
        <f>YEAR(SalesData[[#This Row],[Order_Date]])</f>
        <v>2023</v>
      </c>
    </row>
    <row r="2761" spans="1:14" x14ac:dyDescent="0.3">
      <c r="A2761" t="s">
        <v>4056</v>
      </c>
      <c r="B2761" s="1">
        <v>45191</v>
      </c>
      <c r="C2761" t="s">
        <v>2065</v>
      </c>
      <c r="D2761" t="s">
        <v>18</v>
      </c>
      <c r="E2761" t="s">
        <v>19</v>
      </c>
      <c r="F2761" t="s">
        <v>29</v>
      </c>
      <c r="G2761" t="s">
        <v>507</v>
      </c>
      <c r="H2761" s="8">
        <v>3593.28</v>
      </c>
      <c r="I2761" s="8">
        <v>469.45</v>
      </c>
      <c r="J2761" s="8">
        <v>7.0000000000000007E-2</v>
      </c>
      <c r="K2761" t="str">
        <f>IF(SalesData[[#This Row],[Profit]]&gt;0,"Profit","Loss")</f>
        <v>Profit</v>
      </c>
      <c r="L2761" s="8">
        <f>SalesData[[#This Row],[Profit]]/SalesData[[#This Row],[Sales]]</f>
        <v>0.13064665152729538</v>
      </c>
      <c r="M2761" t="str">
        <f>TEXT(SalesData[[#This Row],[Order_Date]],"mmm")</f>
        <v>Sep</v>
      </c>
      <c r="N2761">
        <f>YEAR(SalesData[[#This Row],[Order_Date]])</f>
        <v>2023</v>
      </c>
    </row>
    <row r="2762" spans="1:14" x14ac:dyDescent="0.3">
      <c r="A2762" t="s">
        <v>4057</v>
      </c>
      <c r="B2762" s="1">
        <v>44844</v>
      </c>
      <c r="C2762" t="s">
        <v>643</v>
      </c>
      <c r="D2762" t="s">
        <v>28</v>
      </c>
      <c r="E2762" t="s">
        <v>13</v>
      </c>
      <c r="F2762" t="s">
        <v>14</v>
      </c>
      <c r="G2762" t="s">
        <v>2265</v>
      </c>
      <c r="H2762" s="8">
        <v>558.01</v>
      </c>
      <c r="I2762" s="8">
        <v>107.2</v>
      </c>
      <c r="J2762" s="8">
        <v>0.1</v>
      </c>
      <c r="K2762" t="str">
        <f>IF(SalesData[[#This Row],[Profit]]&gt;0,"Profit","Loss")</f>
        <v>Profit</v>
      </c>
      <c r="L2762" s="8">
        <f>SalesData[[#This Row],[Profit]]/SalesData[[#This Row],[Sales]]</f>
        <v>0.19211125248651459</v>
      </c>
      <c r="M2762" t="str">
        <f>TEXT(SalesData[[#This Row],[Order_Date]],"mmm")</f>
        <v>Oct</v>
      </c>
      <c r="N2762">
        <f>YEAR(SalesData[[#This Row],[Order_Date]])</f>
        <v>2022</v>
      </c>
    </row>
    <row r="2763" spans="1:14" x14ac:dyDescent="0.3">
      <c r="A2763" t="s">
        <v>4058</v>
      </c>
      <c r="B2763" s="1">
        <v>44687</v>
      </c>
      <c r="C2763" t="s">
        <v>1788</v>
      </c>
      <c r="D2763" t="s">
        <v>28</v>
      </c>
      <c r="E2763" t="s">
        <v>56</v>
      </c>
      <c r="F2763" t="s">
        <v>95</v>
      </c>
      <c r="G2763" t="s">
        <v>954</v>
      </c>
      <c r="H2763" s="8">
        <v>2577.27</v>
      </c>
      <c r="I2763" s="8">
        <v>83.36</v>
      </c>
      <c r="J2763" s="8">
        <v>0.24</v>
      </c>
      <c r="K2763" t="str">
        <f>IF(SalesData[[#This Row],[Profit]]&gt;0,"Profit","Loss")</f>
        <v>Profit</v>
      </c>
      <c r="L2763" s="8">
        <f>SalesData[[#This Row],[Profit]]/SalesData[[#This Row],[Sales]]</f>
        <v>3.2344302304376335E-2</v>
      </c>
      <c r="M2763" t="str">
        <f>TEXT(SalesData[[#This Row],[Order_Date]],"mmm")</f>
        <v>May</v>
      </c>
      <c r="N2763">
        <f>YEAR(SalesData[[#This Row],[Order_Date]])</f>
        <v>2022</v>
      </c>
    </row>
    <row r="2764" spans="1:14" x14ac:dyDescent="0.3">
      <c r="A2764" t="s">
        <v>4059</v>
      </c>
      <c r="B2764" s="1">
        <v>44702</v>
      </c>
      <c r="C2764" t="s">
        <v>3961</v>
      </c>
      <c r="D2764" t="s">
        <v>12</v>
      </c>
      <c r="E2764" t="s">
        <v>13</v>
      </c>
      <c r="F2764" t="s">
        <v>36</v>
      </c>
      <c r="G2764" t="s">
        <v>2076</v>
      </c>
      <c r="H2764" s="8">
        <v>1672.66</v>
      </c>
      <c r="I2764" s="8">
        <v>148.09</v>
      </c>
      <c r="J2764" s="8">
        <v>0.23</v>
      </c>
      <c r="K2764" t="str">
        <f>IF(SalesData[[#This Row],[Profit]]&gt;0,"Profit","Loss")</f>
        <v>Profit</v>
      </c>
      <c r="L2764" s="8">
        <f>SalesData[[#This Row],[Profit]]/SalesData[[#This Row],[Sales]]</f>
        <v>8.8535625889302069E-2</v>
      </c>
      <c r="M2764" t="str">
        <f>TEXT(SalesData[[#This Row],[Order_Date]],"mmm")</f>
        <v>May</v>
      </c>
      <c r="N2764">
        <f>YEAR(SalesData[[#This Row],[Order_Date]])</f>
        <v>2022</v>
      </c>
    </row>
    <row r="2765" spans="1:14" x14ac:dyDescent="0.3">
      <c r="A2765" t="s">
        <v>4060</v>
      </c>
      <c r="B2765" s="1">
        <v>44943</v>
      </c>
      <c r="C2765" t="s">
        <v>1266</v>
      </c>
      <c r="D2765" t="s">
        <v>28</v>
      </c>
      <c r="E2765" t="s">
        <v>19</v>
      </c>
      <c r="F2765" t="s">
        <v>29</v>
      </c>
      <c r="G2765" t="s">
        <v>70</v>
      </c>
      <c r="H2765" s="8">
        <v>1714.63</v>
      </c>
      <c r="I2765" s="8">
        <v>-153.41</v>
      </c>
      <c r="J2765" s="8">
        <v>0.03</v>
      </c>
      <c r="K2765" t="str">
        <f>IF(SalesData[[#This Row],[Profit]]&gt;0,"Profit","Loss")</f>
        <v>Loss</v>
      </c>
      <c r="L2765" s="8">
        <f>SalesData[[#This Row],[Profit]]/SalesData[[#This Row],[Sales]]</f>
        <v>-8.9471197867761545E-2</v>
      </c>
      <c r="M2765" t="str">
        <f>TEXT(SalesData[[#This Row],[Order_Date]],"mmm")</f>
        <v>Jan</v>
      </c>
      <c r="N2765">
        <f>YEAR(SalesData[[#This Row],[Order_Date]])</f>
        <v>2023</v>
      </c>
    </row>
    <row r="2766" spans="1:14" x14ac:dyDescent="0.3">
      <c r="A2766" t="s">
        <v>4061</v>
      </c>
      <c r="B2766" s="1">
        <v>45216</v>
      </c>
      <c r="C2766" t="s">
        <v>739</v>
      </c>
      <c r="D2766" t="s">
        <v>28</v>
      </c>
      <c r="E2766" t="s">
        <v>56</v>
      </c>
      <c r="F2766" t="s">
        <v>95</v>
      </c>
      <c r="G2766" t="s">
        <v>1274</v>
      </c>
      <c r="H2766" s="8">
        <v>1875.17</v>
      </c>
      <c r="I2766" s="8">
        <v>492.14</v>
      </c>
      <c r="J2766" s="8">
        <v>0.05</v>
      </c>
      <c r="K2766" t="str">
        <f>IF(SalesData[[#This Row],[Profit]]&gt;0,"Profit","Loss")</f>
        <v>Profit</v>
      </c>
      <c r="L2766" s="8">
        <f>SalesData[[#This Row],[Profit]]/SalesData[[#This Row],[Sales]]</f>
        <v>0.26245087112101834</v>
      </c>
      <c r="M2766" t="str">
        <f>TEXT(SalesData[[#This Row],[Order_Date]],"mmm")</f>
        <v>Oct</v>
      </c>
      <c r="N2766">
        <f>YEAR(SalesData[[#This Row],[Order_Date]])</f>
        <v>2023</v>
      </c>
    </row>
    <row r="2767" spans="1:14" x14ac:dyDescent="0.3">
      <c r="A2767" t="s">
        <v>4062</v>
      </c>
      <c r="B2767" s="1">
        <v>45007</v>
      </c>
      <c r="C2767" t="s">
        <v>2049</v>
      </c>
      <c r="D2767" t="s">
        <v>40</v>
      </c>
      <c r="E2767" t="s">
        <v>56</v>
      </c>
      <c r="F2767" t="s">
        <v>73</v>
      </c>
      <c r="G2767" t="s">
        <v>339</v>
      </c>
      <c r="H2767" s="8">
        <v>1978.43</v>
      </c>
      <c r="I2767" s="8">
        <v>439.33</v>
      </c>
      <c r="J2767" s="8">
        <v>0.05</v>
      </c>
      <c r="K2767" t="str">
        <f>IF(SalesData[[#This Row],[Profit]]&gt;0,"Profit","Loss")</f>
        <v>Profit</v>
      </c>
      <c r="L2767" s="8">
        <f>SalesData[[#This Row],[Profit]]/SalesData[[#This Row],[Sales]]</f>
        <v>0.22205991619617574</v>
      </c>
      <c r="M2767" t="str">
        <f>TEXT(SalesData[[#This Row],[Order_Date]],"mmm")</f>
        <v>Mar</v>
      </c>
      <c r="N2767">
        <f>YEAR(SalesData[[#This Row],[Order_Date]])</f>
        <v>2023</v>
      </c>
    </row>
    <row r="2768" spans="1:14" x14ac:dyDescent="0.3">
      <c r="A2768" t="s">
        <v>4063</v>
      </c>
      <c r="B2768" s="1">
        <v>44628</v>
      </c>
      <c r="C2768" t="s">
        <v>186</v>
      </c>
      <c r="D2768" t="s">
        <v>12</v>
      </c>
      <c r="E2768" t="s">
        <v>19</v>
      </c>
      <c r="F2768" t="s">
        <v>29</v>
      </c>
      <c r="G2768" t="s">
        <v>1529</v>
      </c>
      <c r="H2768" s="8">
        <v>3888.5</v>
      </c>
      <c r="I2768" s="8">
        <v>-1236.52</v>
      </c>
      <c r="J2768" s="8">
        <v>0.14000000000000001</v>
      </c>
      <c r="K2768" t="str">
        <f>IF(SalesData[[#This Row],[Profit]]&gt;0,"Profit","Loss")</f>
        <v>Loss</v>
      </c>
      <c r="L2768" s="8">
        <f>SalesData[[#This Row],[Profit]]/SalesData[[#This Row],[Sales]]</f>
        <v>-0.31799408512279798</v>
      </c>
      <c r="M2768" t="str">
        <f>TEXT(SalesData[[#This Row],[Order_Date]],"mmm")</f>
        <v>Mar</v>
      </c>
      <c r="N2768">
        <f>YEAR(SalesData[[#This Row],[Order_Date]])</f>
        <v>2022</v>
      </c>
    </row>
    <row r="2769" spans="1:14" x14ac:dyDescent="0.3">
      <c r="A2769" t="s">
        <v>4064</v>
      </c>
      <c r="B2769" s="1">
        <v>44955</v>
      </c>
      <c r="C2769" t="s">
        <v>1416</v>
      </c>
      <c r="D2769" t="s">
        <v>28</v>
      </c>
      <c r="E2769" t="s">
        <v>19</v>
      </c>
      <c r="F2769" t="s">
        <v>20</v>
      </c>
      <c r="G2769" t="s">
        <v>1470</v>
      </c>
      <c r="H2769" s="8">
        <v>399.62</v>
      </c>
      <c r="I2769" s="8">
        <v>-110.49</v>
      </c>
      <c r="J2769" s="8">
        <v>0.15</v>
      </c>
      <c r="K2769" t="str">
        <f>IF(SalesData[[#This Row],[Profit]]&gt;0,"Profit","Loss")</f>
        <v>Loss</v>
      </c>
      <c r="L2769" s="8">
        <f>SalesData[[#This Row],[Profit]]/SalesData[[#This Row],[Sales]]</f>
        <v>-0.27648766328011609</v>
      </c>
      <c r="M2769" t="str">
        <f>TEXT(SalesData[[#This Row],[Order_Date]],"mmm")</f>
        <v>Jan</v>
      </c>
      <c r="N2769">
        <f>YEAR(SalesData[[#This Row],[Order_Date]])</f>
        <v>2023</v>
      </c>
    </row>
    <row r="2770" spans="1:14" x14ac:dyDescent="0.3">
      <c r="A2770" t="s">
        <v>4065</v>
      </c>
      <c r="B2770" s="1">
        <v>45060</v>
      </c>
      <c r="C2770" t="s">
        <v>2262</v>
      </c>
      <c r="D2770" t="s">
        <v>40</v>
      </c>
      <c r="E2770" t="s">
        <v>13</v>
      </c>
      <c r="F2770" t="s">
        <v>14</v>
      </c>
      <c r="G2770" t="s">
        <v>362</v>
      </c>
      <c r="H2770" s="8">
        <v>2457.66</v>
      </c>
      <c r="I2770" s="8">
        <v>-712.95</v>
      </c>
      <c r="J2770" s="8">
        <v>0.22</v>
      </c>
      <c r="K2770" t="str">
        <f>IF(SalesData[[#This Row],[Profit]]&gt;0,"Profit","Loss")</f>
        <v>Loss</v>
      </c>
      <c r="L2770" s="8">
        <f>SalesData[[#This Row],[Profit]]/SalesData[[#This Row],[Sales]]</f>
        <v>-0.29009301530724352</v>
      </c>
      <c r="M2770" t="str">
        <f>TEXT(SalesData[[#This Row],[Order_Date]],"mmm")</f>
        <v>May</v>
      </c>
      <c r="N2770">
        <f>YEAR(SalesData[[#This Row],[Order_Date]])</f>
        <v>2023</v>
      </c>
    </row>
    <row r="2771" spans="1:14" x14ac:dyDescent="0.3">
      <c r="A2771" t="s">
        <v>4066</v>
      </c>
      <c r="B2771" s="1">
        <v>44636</v>
      </c>
      <c r="C2771" t="s">
        <v>1242</v>
      </c>
      <c r="D2771" t="s">
        <v>40</v>
      </c>
      <c r="E2771" t="s">
        <v>13</v>
      </c>
      <c r="F2771" t="s">
        <v>14</v>
      </c>
      <c r="G2771" t="s">
        <v>1550</v>
      </c>
      <c r="H2771" s="8">
        <v>3903.95</v>
      </c>
      <c r="I2771" s="8">
        <v>-1140.33</v>
      </c>
      <c r="J2771" s="8">
        <v>0.27</v>
      </c>
      <c r="K2771" t="str">
        <f>IF(SalesData[[#This Row],[Profit]]&gt;0,"Profit","Loss")</f>
        <v>Loss</v>
      </c>
      <c r="L2771" s="8">
        <f>SalesData[[#This Row],[Profit]]/SalesData[[#This Row],[Sales]]</f>
        <v>-0.29209646639941594</v>
      </c>
      <c r="M2771" t="str">
        <f>TEXT(SalesData[[#This Row],[Order_Date]],"mmm")</f>
        <v>Mar</v>
      </c>
      <c r="N2771">
        <f>YEAR(SalesData[[#This Row],[Order_Date]])</f>
        <v>2022</v>
      </c>
    </row>
    <row r="2772" spans="1:14" x14ac:dyDescent="0.3">
      <c r="A2772" t="s">
        <v>4067</v>
      </c>
      <c r="B2772" s="1">
        <v>44902</v>
      </c>
      <c r="C2772" t="s">
        <v>1018</v>
      </c>
      <c r="D2772" t="s">
        <v>28</v>
      </c>
      <c r="E2772" t="s">
        <v>19</v>
      </c>
      <c r="F2772" t="s">
        <v>141</v>
      </c>
      <c r="G2772" t="s">
        <v>47</v>
      </c>
      <c r="H2772" s="8">
        <v>987.23</v>
      </c>
      <c r="I2772" s="8">
        <v>125.94</v>
      </c>
      <c r="J2772" s="8">
        <v>0.01</v>
      </c>
      <c r="K2772" t="str">
        <f>IF(SalesData[[#This Row],[Profit]]&gt;0,"Profit","Loss")</f>
        <v>Profit</v>
      </c>
      <c r="L2772" s="8">
        <f>SalesData[[#This Row],[Profit]]/SalesData[[#This Row],[Sales]]</f>
        <v>0.12756905685605177</v>
      </c>
      <c r="M2772" t="str">
        <f>TEXT(SalesData[[#This Row],[Order_Date]],"mmm")</f>
        <v>Dec</v>
      </c>
      <c r="N2772">
        <f>YEAR(SalesData[[#This Row],[Order_Date]])</f>
        <v>2022</v>
      </c>
    </row>
    <row r="2773" spans="1:14" x14ac:dyDescent="0.3">
      <c r="A2773" t="s">
        <v>4068</v>
      </c>
      <c r="B2773" s="1">
        <v>45090</v>
      </c>
      <c r="C2773" t="s">
        <v>127</v>
      </c>
      <c r="D2773" t="s">
        <v>12</v>
      </c>
      <c r="E2773" t="s">
        <v>13</v>
      </c>
      <c r="F2773" t="s">
        <v>36</v>
      </c>
      <c r="G2773" t="s">
        <v>744</v>
      </c>
      <c r="H2773" s="8">
        <v>4908.2</v>
      </c>
      <c r="I2773" s="8">
        <v>-1759.29</v>
      </c>
      <c r="J2773" s="8">
        <v>0.27</v>
      </c>
      <c r="K2773" t="str">
        <f>IF(SalesData[[#This Row],[Profit]]&gt;0,"Profit","Loss")</f>
        <v>Loss</v>
      </c>
      <c r="L2773" s="8">
        <f>SalesData[[#This Row],[Profit]]/SalesData[[#This Row],[Sales]]</f>
        <v>-0.3584389389185445</v>
      </c>
      <c r="M2773" t="str">
        <f>TEXT(SalesData[[#This Row],[Order_Date]],"mmm")</f>
        <v>Jun</v>
      </c>
      <c r="N2773">
        <f>YEAR(SalesData[[#This Row],[Order_Date]])</f>
        <v>2023</v>
      </c>
    </row>
    <row r="2774" spans="1:14" x14ac:dyDescent="0.3">
      <c r="A2774" t="s">
        <v>4069</v>
      </c>
      <c r="B2774" s="1">
        <v>44948</v>
      </c>
      <c r="C2774" t="s">
        <v>43</v>
      </c>
      <c r="D2774" t="s">
        <v>18</v>
      </c>
      <c r="E2774" t="s">
        <v>19</v>
      </c>
      <c r="F2774" t="s">
        <v>29</v>
      </c>
      <c r="G2774" t="s">
        <v>1592</v>
      </c>
      <c r="H2774" s="8">
        <v>1328.29</v>
      </c>
      <c r="I2774" s="8">
        <v>254.53</v>
      </c>
      <c r="J2774" s="8">
        <v>0</v>
      </c>
      <c r="K2774" t="str">
        <f>IF(SalesData[[#This Row],[Profit]]&gt;0,"Profit","Loss")</f>
        <v>Profit</v>
      </c>
      <c r="L2774" s="8">
        <f>SalesData[[#This Row],[Profit]]/SalesData[[#This Row],[Sales]]</f>
        <v>0.19162231139284344</v>
      </c>
      <c r="M2774" t="str">
        <f>TEXT(SalesData[[#This Row],[Order_Date]],"mmm")</f>
        <v>Jan</v>
      </c>
      <c r="N2774">
        <f>YEAR(SalesData[[#This Row],[Order_Date]])</f>
        <v>2023</v>
      </c>
    </row>
    <row r="2775" spans="1:14" x14ac:dyDescent="0.3">
      <c r="A2775" t="s">
        <v>4070</v>
      </c>
      <c r="B2775" s="1">
        <v>44775</v>
      </c>
      <c r="C2775" t="s">
        <v>1652</v>
      </c>
      <c r="D2775" t="s">
        <v>28</v>
      </c>
      <c r="E2775" t="s">
        <v>19</v>
      </c>
      <c r="F2775" t="s">
        <v>20</v>
      </c>
      <c r="G2775" t="s">
        <v>1087</v>
      </c>
      <c r="H2775" s="8">
        <v>4312.37</v>
      </c>
      <c r="I2775" s="8">
        <v>672.07</v>
      </c>
      <c r="J2775" s="8">
        <v>0.21</v>
      </c>
      <c r="K2775" t="str">
        <f>IF(SalesData[[#This Row],[Profit]]&gt;0,"Profit","Loss")</f>
        <v>Profit</v>
      </c>
      <c r="L2775" s="8">
        <f>SalesData[[#This Row],[Profit]]/SalesData[[#This Row],[Sales]]</f>
        <v>0.15584701683760904</v>
      </c>
      <c r="M2775" t="str">
        <f>TEXT(SalesData[[#This Row],[Order_Date]],"mmm")</f>
        <v>Aug</v>
      </c>
      <c r="N2775">
        <f>YEAR(SalesData[[#This Row],[Order_Date]])</f>
        <v>2022</v>
      </c>
    </row>
    <row r="2776" spans="1:14" x14ac:dyDescent="0.3">
      <c r="A2776" t="s">
        <v>4071</v>
      </c>
      <c r="B2776" s="1">
        <v>45103</v>
      </c>
      <c r="C2776" t="s">
        <v>367</v>
      </c>
      <c r="D2776" t="s">
        <v>28</v>
      </c>
      <c r="E2776" t="s">
        <v>19</v>
      </c>
      <c r="F2776" t="s">
        <v>141</v>
      </c>
      <c r="G2776" t="s">
        <v>2205</v>
      </c>
      <c r="H2776" s="8">
        <v>777.98</v>
      </c>
      <c r="I2776" s="8">
        <v>-193.92</v>
      </c>
      <c r="J2776" s="8">
        <v>0.18</v>
      </c>
      <c r="K2776" t="str">
        <f>IF(SalesData[[#This Row],[Profit]]&gt;0,"Profit","Loss")</f>
        <v>Loss</v>
      </c>
      <c r="L2776" s="8">
        <f>SalesData[[#This Row],[Profit]]/SalesData[[#This Row],[Sales]]</f>
        <v>-0.24926090645003726</v>
      </c>
      <c r="M2776" t="str">
        <f>TEXT(SalesData[[#This Row],[Order_Date]],"mmm")</f>
        <v>Jun</v>
      </c>
      <c r="N2776">
        <f>YEAR(SalesData[[#This Row],[Order_Date]])</f>
        <v>2023</v>
      </c>
    </row>
    <row r="2777" spans="1:14" x14ac:dyDescent="0.3">
      <c r="A2777" t="s">
        <v>4072</v>
      </c>
      <c r="B2777" s="1">
        <v>45091</v>
      </c>
      <c r="C2777" t="s">
        <v>517</v>
      </c>
      <c r="D2777" t="s">
        <v>28</v>
      </c>
      <c r="E2777" t="s">
        <v>56</v>
      </c>
      <c r="F2777" t="s">
        <v>95</v>
      </c>
      <c r="G2777" t="s">
        <v>15</v>
      </c>
      <c r="H2777" s="8">
        <v>4490.01</v>
      </c>
      <c r="I2777" s="8">
        <v>307.11</v>
      </c>
      <c r="J2777" s="8">
        <v>0.21</v>
      </c>
      <c r="K2777" t="str">
        <f>IF(SalesData[[#This Row],[Profit]]&gt;0,"Profit","Loss")</f>
        <v>Profit</v>
      </c>
      <c r="L2777" s="8">
        <f>SalesData[[#This Row],[Profit]]/SalesData[[#This Row],[Sales]]</f>
        <v>6.8398511361890069E-2</v>
      </c>
      <c r="M2777" t="str">
        <f>TEXT(SalesData[[#This Row],[Order_Date]],"mmm")</f>
        <v>Jun</v>
      </c>
      <c r="N2777">
        <f>YEAR(SalesData[[#This Row],[Order_Date]])</f>
        <v>2023</v>
      </c>
    </row>
    <row r="2778" spans="1:14" x14ac:dyDescent="0.3">
      <c r="A2778" t="s">
        <v>4073</v>
      </c>
      <c r="B2778" s="1">
        <v>44802</v>
      </c>
      <c r="C2778" t="s">
        <v>1018</v>
      </c>
      <c r="D2778" t="s">
        <v>12</v>
      </c>
      <c r="E2778" t="s">
        <v>13</v>
      </c>
      <c r="F2778" t="s">
        <v>14</v>
      </c>
      <c r="G2778" t="s">
        <v>752</v>
      </c>
      <c r="H2778" s="8">
        <v>964.19</v>
      </c>
      <c r="I2778" s="8">
        <v>56.02</v>
      </c>
      <c r="J2778" s="8">
        <v>0.21</v>
      </c>
      <c r="K2778" t="str">
        <f>IF(SalesData[[#This Row],[Profit]]&gt;0,"Profit","Loss")</f>
        <v>Profit</v>
      </c>
      <c r="L2778" s="8">
        <f>SalesData[[#This Row],[Profit]]/SalesData[[#This Row],[Sales]]</f>
        <v>5.8100581835530345E-2</v>
      </c>
      <c r="M2778" t="str">
        <f>TEXT(SalesData[[#This Row],[Order_Date]],"mmm")</f>
        <v>Aug</v>
      </c>
      <c r="N2778">
        <f>YEAR(SalesData[[#This Row],[Order_Date]])</f>
        <v>2022</v>
      </c>
    </row>
    <row r="2779" spans="1:14" x14ac:dyDescent="0.3">
      <c r="A2779" t="s">
        <v>4074</v>
      </c>
      <c r="B2779" s="1">
        <v>45047</v>
      </c>
      <c r="C2779" t="s">
        <v>2448</v>
      </c>
      <c r="D2779" t="s">
        <v>28</v>
      </c>
      <c r="E2779" t="s">
        <v>56</v>
      </c>
      <c r="F2779" t="s">
        <v>73</v>
      </c>
      <c r="G2779" t="s">
        <v>208</v>
      </c>
      <c r="H2779" s="8">
        <v>2671.65</v>
      </c>
      <c r="I2779" s="8">
        <v>35.270000000000003</v>
      </c>
      <c r="J2779" s="8">
        <v>0.25</v>
      </c>
      <c r="K2779" t="str">
        <f>IF(SalesData[[#This Row],[Profit]]&gt;0,"Profit","Loss")</f>
        <v>Profit</v>
      </c>
      <c r="L2779" s="8">
        <f>SalesData[[#This Row],[Profit]]/SalesData[[#This Row],[Sales]]</f>
        <v>1.3201579548219267E-2</v>
      </c>
      <c r="M2779" t="str">
        <f>TEXT(SalesData[[#This Row],[Order_Date]],"mmm")</f>
        <v>May</v>
      </c>
      <c r="N2779">
        <f>YEAR(SalesData[[#This Row],[Order_Date]])</f>
        <v>2023</v>
      </c>
    </row>
    <row r="2780" spans="1:14" x14ac:dyDescent="0.3">
      <c r="A2780" t="s">
        <v>4075</v>
      </c>
      <c r="B2780" s="1">
        <v>44571</v>
      </c>
      <c r="C2780" t="s">
        <v>1194</v>
      </c>
      <c r="D2780" t="s">
        <v>18</v>
      </c>
      <c r="E2780" t="s">
        <v>56</v>
      </c>
      <c r="F2780" t="s">
        <v>95</v>
      </c>
      <c r="G2780" t="s">
        <v>1251</v>
      </c>
      <c r="H2780" s="8">
        <v>3021.29</v>
      </c>
      <c r="I2780" s="8">
        <v>727.91</v>
      </c>
      <c r="J2780" s="8">
        <v>0.13</v>
      </c>
      <c r="K2780" t="str">
        <f>IF(SalesData[[#This Row],[Profit]]&gt;0,"Profit","Loss")</f>
        <v>Profit</v>
      </c>
      <c r="L2780" s="8">
        <f>SalesData[[#This Row],[Profit]]/SalesData[[#This Row],[Sales]]</f>
        <v>0.24092688884549315</v>
      </c>
      <c r="M2780" t="str">
        <f>TEXT(SalesData[[#This Row],[Order_Date]],"mmm")</f>
        <v>Jan</v>
      </c>
      <c r="N2780">
        <f>YEAR(SalesData[[#This Row],[Order_Date]])</f>
        <v>2022</v>
      </c>
    </row>
    <row r="2781" spans="1:14" x14ac:dyDescent="0.3">
      <c r="A2781" t="s">
        <v>4076</v>
      </c>
      <c r="B2781" s="1">
        <v>45074</v>
      </c>
      <c r="C2781" t="s">
        <v>204</v>
      </c>
      <c r="D2781" t="s">
        <v>28</v>
      </c>
      <c r="E2781" t="s">
        <v>13</v>
      </c>
      <c r="F2781" t="s">
        <v>24</v>
      </c>
      <c r="G2781" t="s">
        <v>598</v>
      </c>
      <c r="H2781" s="8">
        <v>1676.18</v>
      </c>
      <c r="I2781" s="8">
        <v>171.05</v>
      </c>
      <c r="J2781" s="8">
        <v>0.14000000000000001</v>
      </c>
      <c r="K2781" t="str">
        <f>IF(SalesData[[#This Row],[Profit]]&gt;0,"Profit","Loss")</f>
        <v>Profit</v>
      </c>
      <c r="L2781" s="8">
        <f>SalesData[[#This Row],[Profit]]/SalesData[[#This Row],[Sales]]</f>
        <v>0.10204751279695498</v>
      </c>
      <c r="M2781" t="str">
        <f>TEXT(SalesData[[#This Row],[Order_Date]],"mmm")</f>
        <v>May</v>
      </c>
      <c r="N2781">
        <f>YEAR(SalesData[[#This Row],[Order_Date]])</f>
        <v>2023</v>
      </c>
    </row>
    <row r="2782" spans="1:14" x14ac:dyDescent="0.3">
      <c r="A2782" t="s">
        <v>4077</v>
      </c>
      <c r="B2782" s="1">
        <v>45162</v>
      </c>
      <c r="C2782" t="s">
        <v>1115</v>
      </c>
      <c r="D2782" t="s">
        <v>12</v>
      </c>
      <c r="E2782" t="s">
        <v>13</v>
      </c>
      <c r="F2782" t="s">
        <v>36</v>
      </c>
      <c r="G2782" t="s">
        <v>769</v>
      </c>
      <c r="H2782" s="8">
        <v>1786.88</v>
      </c>
      <c r="I2782" s="8">
        <v>465.17</v>
      </c>
      <c r="J2782" s="8">
        <v>0.05</v>
      </c>
      <c r="K2782" t="str">
        <f>IF(SalesData[[#This Row],[Profit]]&gt;0,"Profit","Loss")</f>
        <v>Profit</v>
      </c>
      <c r="L2782" s="8">
        <f>SalesData[[#This Row],[Profit]]/SalesData[[#This Row],[Sales]]</f>
        <v>0.26032525967048709</v>
      </c>
      <c r="M2782" t="str">
        <f>TEXT(SalesData[[#This Row],[Order_Date]],"mmm")</f>
        <v>Aug</v>
      </c>
      <c r="N2782">
        <f>YEAR(SalesData[[#This Row],[Order_Date]])</f>
        <v>2023</v>
      </c>
    </row>
    <row r="2783" spans="1:14" x14ac:dyDescent="0.3">
      <c r="A2783" t="s">
        <v>4078</v>
      </c>
      <c r="B2783" s="1">
        <v>44974</v>
      </c>
      <c r="C2783" t="s">
        <v>156</v>
      </c>
      <c r="D2783" t="s">
        <v>18</v>
      </c>
      <c r="E2783" t="s">
        <v>13</v>
      </c>
      <c r="F2783" t="s">
        <v>36</v>
      </c>
      <c r="G2783" t="s">
        <v>2006</v>
      </c>
      <c r="H2783" s="8">
        <v>821.1</v>
      </c>
      <c r="I2783" s="8">
        <v>-101.79</v>
      </c>
      <c r="J2783" s="8">
        <v>0.05</v>
      </c>
      <c r="K2783" t="str">
        <f>IF(SalesData[[#This Row],[Profit]]&gt;0,"Profit","Loss")</f>
        <v>Loss</v>
      </c>
      <c r="L2783" s="8">
        <f>SalesData[[#This Row],[Profit]]/SalesData[[#This Row],[Sales]]</f>
        <v>-0.12396784800876873</v>
      </c>
      <c r="M2783" t="str">
        <f>TEXT(SalesData[[#This Row],[Order_Date]],"mmm")</f>
        <v>Feb</v>
      </c>
      <c r="N2783">
        <f>YEAR(SalesData[[#This Row],[Order_Date]])</f>
        <v>2023</v>
      </c>
    </row>
    <row r="2784" spans="1:14" x14ac:dyDescent="0.3">
      <c r="A2784" t="s">
        <v>4079</v>
      </c>
      <c r="B2784" s="1">
        <v>45220</v>
      </c>
      <c r="C2784" t="s">
        <v>545</v>
      </c>
      <c r="D2784" t="s">
        <v>28</v>
      </c>
      <c r="E2784" t="s">
        <v>13</v>
      </c>
      <c r="F2784" t="s">
        <v>14</v>
      </c>
      <c r="G2784" t="s">
        <v>3261</v>
      </c>
      <c r="H2784" s="8">
        <v>983.29</v>
      </c>
      <c r="I2784" s="8">
        <v>-299.64</v>
      </c>
      <c r="J2784" s="8">
        <v>0.21</v>
      </c>
      <c r="K2784" t="str">
        <f>IF(SalesData[[#This Row],[Profit]]&gt;0,"Profit","Loss")</f>
        <v>Loss</v>
      </c>
      <c r="L2784" s="8">
        <f>SalesData[[#This Row],[Profit]]/SalesData[[#This Row],[Sales]]</f>
        <v>-0.3047320729388075</v>
      </c>
      <c r="M2784" t="str">
        <f>TEXT(SalesData[[#This Row],[Order_Date]],"mmm")</f>
        <v>Oct</v>
      </c>
      <c r="N2784">
        <f>YEAR(SalesData[[#This Row],[Order_Date]])</f>
        <v>2023</v>
      </c>
    </row>
    <row r="2785" spans="1:14" x14ac:dyDescent="0.3">
      <c r="A2785" t="s">
        <v>4080</v>
      </c>
      <c r="B2785" s="1">
        <v>45063</v>
      </c>
      <c r="C2785" t="s">
        <v>1339</v>
      </c>
      <c r="D2785" t="s">
        <v>12</v>
      </c>
      <c r="E2785" t="s">
        <v>56</v>
      </c>
      <c r="F2785" t="s">
        <v>57</v>
      </c>
      <c r="G2785" t="s">
        <v>401</v>
      </c>
      <c r="H2785" s="8">
        <v>4195.99</v>
      </c>
      <c r="I2785" s="8">
        <v>-248.62</v>
      </c>
      <c r="J2785" s="8">
        <v>0.25</v>
      </c>
      <c r="K2785" t="str">
        <f>IF(SalesData[[#This Row],[Profit]]&gt;0,"Profit","Loss")</f>
        <v>Loss</v>
      </c>
      <c r="L2785" s="8">
        <f>SalesData[[#This Row],[Profit]]/SalesData[[#This Row],[Sales]]</f>
        <v>-5.9251809465704165E-2</v>
      </c>
      <c r="M2785" t="str">
        <f>TEXT(SalesData[[#This Row],[Order_Date]],"mmm")</f>
        <v>May</v>
      </c>
      <c r="N2785">
        <f>YEAR(SalesData[[#This Row],[Order_Date]])</f>
        <v>2023</v>
      </c>
    </row>
    <row r="2786" spans="1:14" x14ac:dyDescent="0.3">
      <c r="A2786" t="s">
        <v>4081</v>
      </c>
      <c r="B2786" s="1">
        <v>45193</v>
      </c>
      <c r="C2786" t="s">
        <v>705</v>
      </c>
      <c r="D2786" t="s">
        <v>40</v>
      </c>
      <c r="E2786" t="s">
        <v>19</v>
      </c>
      <c r="F2786" t="s">
        <v>20</v>
      </c>
      <c r="G2786" t="s">
        <v>457</v>
      </c>
      <c r="H2786" s="8">
        <v>2172.38</v>
      </c>
      <c r="I2786" s="8">
        <v>-94.03</v>
      </c>
      <c r="J2786" s="8">
        <v>0.02</v>
      </c>
      <c r="K2786" t="str">
        <f>IF(SalesData[[#This Row],[Profit]]&gt;0,"Profit","Loss")</f>
        <v>Loss</v>
      </c>
      <c r="L2786" s="8">
        <f>SalesData[[#This Row],[Profit]]/SalesData[[#This Row],[Sales]]</f>
        <v>-4.3284324105359095E-2</v>
      </c>
      <c r="M2786" t="str">
        <f>TEXT(SalesData[[#This Row],[Order_Date]],"mmm")</f>
        <v>Sep</v>
      </c>
      <c r="N2786">
        <f>YEAR(SalesData[[#This Row],[Order_Date]])</f>
        <v>2023</v>
      </c>
    </row>
    <row r="2787" spans="1:14" x14ac:dyDescent="0.3">
      <c r="A2787" t="s">
        <v>4082</v>
      </c>
      <c r="B2787" s="1">
        <v>44595</v>
      </c>
      <c r="C2787" t="s">
        <v>743</v>
      </c>
      <c r="D2787" t="s">
        <v>18</v>
      </c>
      <c r="E2787" t="s">
        <v>19</v>
      </c>
      <c r="F2787" t="s">
        <v>29</v>
      </c>
      <c r="G2787" t="s">
        <v>1373</v>
      </c>
      <c r="H2787" s="8">
        <v>4202.03</v>
      </c>
      <c r="I2787" s="8">
        <v>50.74</v>
      </c>
      <c r="J2787" s="8">
        <v>0.12</v>
      </c>
      <c r="K2787" t="str">
        <f>IF(SalesData[[#This Row],[Profit]]&gt;0,"Profit","Loss")</f>
        <v>Profit</v>
      </c>
      <c r="L2787" s="8">
        <f>SalesData[[#This Row],[Profit]]/SalesData[[#This Row],[Sales]]</f>
        <v>1.2075116074849538E-2</v>
      </c>
      <c r="M2787" t="str">
        <f>TEXT(SalesData[[#This Row],[Order_Date]],"mmm")</f>
        <v>Feb</v>
      </c>
      <c r="N2787">
        <f>YEAR(SalesData[[#This Row],[Order_Date]])</f>
        <v>2022</v>
      </c>
    </row>
    <row r="2788" spans="1:14" x14ac:dyDescent="0.3">
      <c r="A2788" t="s">
        <v>4083</v>
      </c>
      <c r="B2788" s="1">
        <v>44745</v>
      </c>
      <c r="C2788" t="s">
        <v>2431</v>
      </c>
      <c r="D2788" t="s">
        <v>12</v>
      </c>
      <c r="E2788" t="s">
        <v>56</v>
      </c>
      <c r="F2788" t="s">
        <v>95</v>
      </c>
      <c r="G2788" t="s">
        <v>603</v>
      </c>
      <c r="H2788" s="8">
        <v>4781.2299999999996</v>
      </c>
      <c r="I2788" s="8">
        <v>720.57</v>
      </c>
      <c r="J2788" s="8">
        <v>0</v>
      </c>
      <c r="K2788" t="str">
        <f>IF(SalesData[[#This Row],[Profit]]&gt;0,"Profit","Loss")</f>
        <v>Profit</v>
      </c>
      <c r="L2788" s="8">
        <f>SalesData[[#This Row],[Profit]]/SalesData[[#This Row],[Sales]]</f>
        <v>0.15070808139328168</v>
      </c>
      <c r="M2788" t="str">
        <f>TEXT(SalesData[[#This Row],[Order_Date]],"mmm")</f>
        <v>Jul</v>
      </c>
      <c r="N2788">
        <f>YEAR(SalesData[[#This Row],[Order_Date]])</f>
        <v>2022</v>
      </c>
    </row>
    <row r="2789" spans="1:14" x14ac:dyDescent="0.3">
      <c r="A2789" t="s">
        <v>4084</v>
      </c>
      <c r="B2789" s="1">
        <v>45124</v>
      </c>
      <c r="C2789" t="s">
        <v>1901</v>
      </c>
      <c r="D2789" t="s">
        <v>12</v>
      </c>
      <c r="E2789" t="s">
        <v>56</v>
      </c>
      <c r="F2789" t="s">
        <v>73</v>
      </c>
      <c r="G2789" t="s">
        <v>706</v>
      </c>
      <c r="H2789" s="8">
        <v>2124.7199999999998</v>
      </c>
      <c r="I2789" s="8">
        <v>-316.19</v>
      </c>
      <c r="J2789" s="8">
        <v>0.28999999999999998</v>
      </c>
      <c r="K2789" t="str">
        <f>IF(SalesData[[#This Row],[Profit]]&gt;0,"Profit","Loss")</f>
        <v>Loss</v>
      </c>
      <c r="L2789" s="8">
        <f>SalesData[[#This Row],[Profit]]/SalesData[[#This Row],[Sales]]</f>
        <v>-0.14881490266952824</v>
      </c>
      <c r="M2789" t="str">
        <f>TEXT(SalesData[[#This Row],[Order_Date]],"mmm")</f>
        <v>Jul</v>
      </c>
      <c r="N2789">
        <f>YEAR(SalesData[[#This Row],[Order_Date]])</f>
        <v>2023</v>
      </c>
    </row>
    <row r="2790" spans="1:14" x14ac:dyDescent="0.3">
      <c r="A2790" t="s">
        <v>4085</v>
      </c>
      <c r="B2790" s="1">
        <v>44624</v>
      </c>
      <c r="C2790" t="s">
        <v>2511</v>
      </c>
      <c r="D2790" t="s">
        <v>12</v>
      </c>
      <c r="E2790" t="s">
        <v>19</v>
      </c>
      <c r="F2790" t="s">
        <v>20</v>
      </c>
      <c r="G2790" t="s">
        <v>925</v>
      </c>
      <c r="H2790" s="8">
        <v>3425.18</v>
      </c>
      <c r="I2790" s="8">
        <v>744.28</v>
      </c>
      <c r="J2790" s="8">
        <v>0.08</v>
      </c>
      <c r="K2790" t="str">
        <f>IF(SalesData[[#This Row],[Profit]]&gt;0,"Profit","Loss")</f>
        <v>Profit</v>
      </c>
      <c r="L2790" s="8">
        <f>SalesData[[#This Row],[Profit]]/SalesData[[#This Row],[Sales]]</f>
        <v>0.21729660922929597</v>
      </c>
      <c r="M2790" t="str">
        <f>TEXT(SalesData[[#This Row],[Order_Date]],"mmm")</f>
        <v>Mar</v>
      </c>
      <c r="N2790">
        <f>YEAR(SalesData[[#This Row],[Order_Date]])</f>
        <v>2022</v>
      </c>
    </row>
    <row r="2791" spans="1:14" x14ac:dyDescent="0.3">
      <c r="A2791" t="s">
        <v>4086</v>
      </c>
      <c r="B2791" s="1">
        <v>44783</v>
      </c>
      <c r="C2791" t="s">
        <v>213</v>
      </c>
      <c r="D2791" t="s">
        <v>28</v>
      </c>
      <c r="E2791" t="s">
        <v>56</v>
      </c>
      <c r="F2791" t="s">
        <v>95</v>
      </c>
      <c r="G2791" t="s">
        <v>157</v>
      </c>
      <c r="H2791" s="8">
        <v>2376.31</v>
      </c>
      <c r="I2791" s="8">
        <v>-1089.31</v>
      </c>
      <c r="J2791" s="8">
        <v>0.27</v>
      </c>
      <c r="K2791" t="str">
        <f>IF(SalesData[[#This Row],[Profit]]&gt;0,"Profit","Loss")</f>
        <v>Loss</v>
      </c>
      <c r="L2791" s="8">
        <f>SalesData[[#This Row],[Profit]]/SalesData[[#This Row],[Sales]]</f>
        <v>-0.45840399611161842</v>
      </c>
      <c r="M2791" t="str">
        <f>TEXT(SalesData[[#This Row],[Order_Date]],"mmm")</f>
        <v>Aug</v>
      </c>
      <c r="N2791">
        <f>YEAR(SalesData[[#This Row],[Order_Date]])</f>
        <v>2022</v>
      </c>
    </row>
    <row r="2792" spans="1:14" x14ac:dyDescent="0.3">
      <c r="A2792" t="s">
        <v>4087</v>
      </c>
      <c r="B2792" s="1">
        <v>44573</v>
      </c>
      <c r="C2792" t="s">
        <v>910</v>
      </c>
      <c r="D2792" t="s">
        <v>40</v>
      </c>
      <c r="E2792" t="s">
        <v>56</v>
      </c>
      <c r="F2792" t="s">
        <v>95</v>
      </c>
      <c r="G2792" t="s">
        <v>669</v>
      </c>
      <c r="H2792" s="8">
        <v>4446.76</v>
      </c>
      <c r="I2792" s="8">
        <v>-20.190000000000001</v>
      </c>
      <c r="J2792" s="8">
        <v>0.01</v>
      </c>
      <c r="K2792" t="str">
        <f>IF(SalesData[[#This Row],[Profit]]&gt;0,"Profit","Loss")</f>
        <v>Loss</v>
      </c>
      <c r="L2792" s="8">
        <f>SalesData[[#This Row],[Profit]]/SalesData[[#This Row],[Sales]]</f>
        <v>-4.5403844596964985E-3</v>
      </c>
      <c r="M2792" t="str">
        <f>TEXT(SalesData[[#This Row],[Order_Date]],"mmm")</f>
        <v>Jan</v>
      </c>
      <c r="N2792">
        <f>YEAR(SalesData[[#This Row],[Order_Date]])</f>
        <v>2022</v>
      </c>
    </row>
    <row r="2793" spans="1:14" x14ac:dyDescent="0.3">
      <c r="A2793" t="s">
        <v>4088</v>
      </c>
      <c r="B2793" s="1">
        <v>44848</v>
      </c>
      <c r="C2793" t="s">
        <v>3548</v>
      </c>
      <c r="D2793" t="s">
        <v>18</v>
      </c>
      <c r="E2793" t="s">
        <v>56</v>
      </c>
      <c r="F2793" t="s">
        <v>57</v>
      </c>
      <c r="G2793" t="s">
        <v>2339</v>
      </c>
      <c r="H2793" s="8">
        <v>1005.27</v>
      </c>
      <c r="I2793" s="8">
        <v>-341.67</v>
      </c>
      <c r="J2793" s="8">
        <v>0.25</v>
      </c>
      <c r="K2793" t="str">
        <f>IF(SalesData[[#This Row],[Profit]]&gt;0,"Profit","Loss")</f>
        <v>Loss</v>
      </c>
      <c r="L2793" s="8">
        <f>SalesData[[#This Row],[Profit]]/SalesData[[#This Row],[Sales]]</f>
        <v>-0.33987883852099438</v>
      </c>
      <c r="M2793" t="str">
        <f>TEXT(SalesData[[#This Row],[Order_Date]],"mmm")</f>
        <v>Oct</v>
      </c>
      <c r="N2793">
        <f>YEAR(SalesData[[#This Row],[Order_Date]])</f>
        <v>2022</v>
      </c>
    </row>
    <row r="2794" spans="1:14" x14ac:dyDescent="0.3">
      <c r="A2794" t="s">
        <v>4089</v>
      </c>
      <c r="B2794" s="1">
        <v>44809</v>
      </c>
      <c r="C2794" t="s">
        <v>264</v>
      </c>
      <c r="D2794" t="s">
        <v>12</v>
      </c>
      <c r="E2794" t="s">
        <v>56</v>
      </c>
      <c r="F2794" t="s">
        <v>95</v>
      </c>
      <c r="G2794" t="s">
        <v>74</v>
      </c>
      <c r="H2794" s="8">
        <v>883.56</v>
      </c>
      <c r="I2794" s="8">
        <v>-12.23</v>
      </c>
      <c r="J2794" s="8">
        <v>0.08</v>
      </c>
      <c r="K2794" t="str">
        <f>IF(SalesData[[#This Row],[Profit]]&gt;0,"Profit","Loss")</f>
        <v>Loss</v>
      </c>
      <c r="L2794" s="8">
        <f>SalesData[[#This Row],[Profit]]/SalesData[[#This Row],[Sales]]</f>
        <v>-1.3841731178414597E-2</v>
      </c>
      <c r="M2794" t="str">
        <f>TEXT(SalesData[[#This Row],[Order_Date]],"mmm")</f>
        <v>Sep</v>
      </c>
      <c r="N2794">
        <f>YEAR(SalesData[[#This Row],[Order_Date]])</f>
        <v>2022</v>
      </c>
    </row>
    <row r="2795" spans="1:14" x14ac:dyDescent="0.3">
      <c r="A2795" t="s">
        <v>4090</v>
      </c>
      <c r="B2795" s="1">
        <v>44828</v>
      </c>
      <c r="C2795" t="s">
        <v>1465</v>
      </c>
      <c r="D2795" t="s">
        <v>18</v>
      </c>
      <c r="E2795" t="s">
        <v>56</v>
      </c>
      <c r="F2795" t="s">
        <v>73</v>
      </c>
      <c r="G2795" t="s">
        <v>2937</v>
      </c>
      <c r="H2795" s="8">
        <v>259.31</v>
      </c>
      <c r="I2795" s="8">
        <v>61.66</v>
      </c>
      <c r="J2795" s="8">
        <v>0.12</v>
      </c>
      <c r="K2795" t="str">
        <f>IF(SalesData[[#This Row],[Profit]]&gt;0,"Profit","Loss")</f>
        <v>Profit</v>
      </c>
      <c r="L2795" s="8">
        <f>SalesData[[#This Row],[Profit]]/SalesData[[#This Row],[Sales]]</f>
        <v>0.23778489067139716</v>
      </c>
      <c r="M2795" t="str">
        <f>TEXT(SalesData[[#This Row],[Order_Date]],"mmm")</f>
        <v>Sep</v>
      </c>
      <c r="N2795">
        <f>YEAR(SalesData[[#This Row],[Order_Date]])</f>
        <v>2022</v>
      </c>
    </row>
    <row r="2796" spans="1:14" x14ac:dyDescent="0.3">
      <c r="A2796" t="s">
        <v>4091</v>
      </c>
      <c r="B2796" s="1">
        <v>44673</v>
      </c>
      <c r="C2796" t="s">
        <v>524</v>
      </c>
      <c r="D2796" t="s">
        <v>18</v>
      </c>
      <c r="E2796" t="s">
        <v>19</v>
      </c>
      <c r="F2796" t="s">
        <v>141</v>
      </c>
      <c r="G2796" t="s">
        <v>2063</v>
      </c>
      <c r="H2796" s="8">
        <v>3669.79</v>
      </c>
      <c r="I2796" s="8">
        <v>-440.28</v>
      </c>
      <c r="J2796" s="8">
        <v>0.25</v>
      </c>
      <c r="K2796" t="str">
        <f>IF(SalesData[[#This Row],[Profit]]&gt;0,"Profit","Loss")</f>
        <v>Loss</v>
      </c>
      <c r="L2796" s="8">
        <f>SalesData[[#This Row],[Profit]]/SalesData[[#This Row],[Sales]]</f>
        <v>-0.1199741674591734</v>
      </c>
      <c r="M2796" t="str">
        <f>TEXT(SalesData[[#This Row],[Order_Date]],"mmm")</f>
        <v>Apr</v>
      </c>
      <c r="N2796">
        <f>YEAR(SalesData[[#This Row],[Order_Date]])</f>
        <v>2022</v>
      </c>
    </row>
    <row r="2797" spans="1:14" x14ac:dyDescent="0.3">
      <c r="A2797" t="s">
        <v>4092</v>
      </c>
      <c r="B2797" s="1">
        <v>45067</v>
      </c>
      <c r="C2797" t="s">
        <v>1860</v>
      </c>
      <c r="D2797" t="s">
        <v>12</v>
      </c>
      <c r="E2797" t="s">
        <v>13</v>
      </c>
      <c r="F2797" t="s">
        <v>14</v>
      </c>
      <c r="G2797" t="s">
        <v>935</v>
      </c>
      <c r="H2797" s="8">
        <v>723.38</v>
      </c>
      <c r="I2797" s="8">
        <v>133.66999999999999</v>
      </c>
      <c r="J2797" s="8">
        <v>0.21</v>
      </c>
      <c r="K2797" t="str">
        <f>IF(SalesData[[#This Row],[Profit]]&gt;0,"Profit","Loss")</f>
        <v>Profit</v>
      </c>
      <c r="L2797" s="8">
        <f>SalesData[[#This Row],[Profit]]/SalesData[[#This Row],[Sales]]</f>
        <v>0.18478531338991952</v>
      </c>
      <c r="M2797" t="str">
        <f>TEXT(SalesData[[#This Row],[Order_Date]],"mmm")</f>
        <v>May</v>
      </c>
      <c r="N2797">
        <f>YEAR(SalesData[[#This Row],[Order_Date]])</f>
        <v>2023</v>
      </c>
    </row>
    <row r="2798" spans="1:14" x14ac:dyDescent="0.3">
      <c r="A2798" t="s">
        <v>4093</v>
      </c>
      <c r="B2798" s="1">
        <v>44867</v>
      </c>
      <c r="C2798" t="s">
        <v>2822</v>
      </c>
      <c r="D2798" t="s">
        <v>28</v>
      </c>
      <c r="E2798" t="s">
        <v>13</v>
      </c>
      <c r="F2798" t="s">
        <v>14</v>
      </c>
      <c r="G2798" t="s">
        <v>1386</v>
      </c>
      <c r="H2798" s="8">
        <v>4129.01</v>
      </c>
      <c r="I2798" s="8">
        <v>500.97</v>
      </c>
      <c r="J2798" s="8">
        <v>7.0000000000000007E-2</v>
      </c>
      <c r="K2798" t="str">
        <f>IF(SalesData[[#This Row],[Profit]]&gt;0,"Profit","Loss")</f>
        <v>Profit</v>
      </c>
      <c r="L2798" s="8">
        <f>SalesData[[#This Row],[Profit]]/SalesData[[#This Row],[Sales]]</f>
        <v>0.12132932591589751</v>
      </c>
      <c r="M2798" t="str">
        <f>TEXT(SalesData[[#This Row],[Order_Date]],"mmm")</f>
        <v>Nov</v>
      </c>
      <c r="N2798">
        <f>YEAR(SalesData[[#This Row],[Order_Date]])</f>
        <v>2022</v>
      </c>
    </row>
    <row r="2799" spans="1:14" x14ac:dyDescent="0.3">
      <c r="A2799" t="s">
        <v>4094</v>
      </c>
      <c r="B2799" s="1">
        <v>44737</v>
      </c>
      <c r="C2799" t="s">
        <v>1891</v>
      </c>
      <c r="D2799" t="s">
        <v>18</v>
      </c>
      <c r="E2799" t="s">
        <v>56</v>
      </c>
      <c r="F2799" t="s">
        <v>95</v>
      </c>
      <c r="G2799" t="s">
        <v>1084</v>
      </c>
      <c r="H2799" s="8">
        <v>3620.78</v>
      </c>
      <c r="I2799" s="8">
        <v>172.09</v>
      </c>
      <c r="J2799" s="8">
        <v>0.14000000000000001</v>
      </c>
      <c r="K2799" t="str">
        <f>IF(SalesData[[#This Row],[Profit]]&gt;0,"Profit","Loss")</f>
        <v>Profit</v>
      </c>
      <c r="L2799" s="8">
        <f>SalesData[[#This Row],[Profit]]/SalesData[[#This Row],[Sales]]</f>
        <v>4.7528433100050262E-2</v>
      </c>
      <c r="M2799" t="str">
        <f>TEXT(SalesData[[#This Row],[Order_Date]],"mmm")</f>
        <v>Jun</v>
      </c>
      <c r="N2799">
        <f>YEAR(SalesData[[#This Row],[Order_Date]])</f>
        <v>2022</v>
      </c>
    </row>
    <row r="2800" spans="1:14" x14ac:dyDescent="0.3">
      <c r="A2800" t="s">
        <v>4095</v>
      </c>
      <c r="B2800" s="1">
        <v>45200</v>
      </c>
      <c r="C2800" t="s">
        <v>2840</v>
      </c>
      <c r="D2800" t="s">
        <v>40</v>
      </c>
      <c r="E2800" t="s">
        <v>13</v>
      </c>
      <c r="F2800" t="s">
        <v>36</v>
      </c>
      <c r="G2800" t="s">
        <v>1019</v>
      </c>
      <c r="H2800" s="8">
        <v>1843.9</v>
      </c>
      <c r="I2800" s="8">
        <v>61.87</v>
      </c>
      <c r="J2800" s="8">
        <v>0.06</v>
      </c>
      <c r="K2800" t="str">
        <f>IF(SalesData[[#This Row],[Profit]]&gt;0,"Profit","Loss")</f>
        <v>Profit</v>
      </c>
      <c r="L2800" s="8">
        <f>SalesData[[#This Row],[Profit]]/SalesData[[#This Row],[Sales]]</f>
        <v>3.3553880362275607E-2</v>
      </c>
      <c r="M2800" t="str">
        <f>TEXT(SalesData[[#This Row],[Order_Date]],"mmm")</f>
        <v>Oct</v>
      </c>
      <c r="N2800">
        <f>YEAR(SalesData[[#This Row],[Order_Date]])</f>
        <v>2023</v>
      </c>
    </row>
    <row r="2801" spans="1:14" x14ac:dyDescent="0.3">
      <c r="A2801" t="s">
        <v>4096</v>
      </c>
      <c r="B2801" s="1">
        <v>44564</v>
      </c>
      <c r="C2801" t="s">
        <v>541</v>
      </c>
      <c r="D2801" t="s">
        <v>28</v>
      </c>
      <c r="E2801" t="s">
        <v>19</v>
      </c>
      <c r="F2801" t="s">
        <v>141</v>
      </c>
      <c r="G2801" t="s">
        <v>178</v>
      </c>
      <c r="H2801" s="8">
        <v>102.8</v>
      </c>
      <c r="I2801" s="8">
        <v>-20.47</v>
      </c>
      <c r="J2801" s="8">
        <v>0.26</v>
      </c>
      <c r="K2801" t="str">
        <f>IF(SalesData[[#This Row],[Profit]]&gt;0,"Profit","Loss")</f>
        <v>Loss</v>
      </c>
      <c r="L2801" s="8">
        <f>SalesData[[#This Row],[Profit]]/SalesData[[#This Row],[Sales]]</f>
        <v>-0.19912451361867703</v>
      </c>
      <c r="M2801" t="str">
        <f>TEXT(SalesData[[#This Row],[Order_Date]],"mmm")</f>
        <v>Jan</v>
      </c>
      <c r="N2801">
        <f>YEAR(SalesData[[#This Row],[Order_Date]])</f>
        <v>2022</v>
      </c>
    </row>
    <row r="2802" spans="1:14" x14ac:dyDescent="0.3">
      <c r="A2802" t="s">
        <v>4097</v>
      </c>
      <c r="B2802" s="1">
        <v>44667</v>
      </c>
      <c r="C2802" t="s">
        <v>2372</v>
      </c>
      <c r="D2802" t="s">
        <v>18</v>
      </c>
      <c r="E2802" t="s">
        <v>19</v>
      </c>
      <c r="F2802" t="s">
        <v>20</v>
      </c>
      <c r="G2802" t="s">
        <v>1165</v>
      </c>
      <c r="H2802" s="8">
        <v>931.27</v>
      </c>
      <c r="I2802" s="8">
        <v>36.380000000000003</v>
      </c>
      <c r="J2802" s="8">
        <v>0.16</v>
      </c>
      <c r="K2802" t="str">
        <f>IF(SalesData[[#This Row],[Profit]]&gt;0,"Profit","Loss")</f>
        <v>Profit</v>
      </c>
      <c r="L2802" s="8">
        <f>SalesData[[#This Row],[Profit]]/SalesData[[#This Row],[Sales]]</f>
        <v>3.9064932833657265E-2</v>
      </c>
      <c r="M2802" t="str">
        <f>TEXT(SalesData[[#This Row],[Order_Date]],"mmm")</f>
        <v>Apr</v>
      </c>
      <c r="N2802">
        <f>YEAR(SalesData[[#This Row],[Order_Date]])</f>
        <v>2022</v>
      </c>
    </row>
    <row r="2803" spans="1:14" x14ac:dyDescent="0.3">
      <c r="A2803" t="s">
        <v>4098</v>
      </c>
      <c r="B2803" s="1">
        <v>44868</v>
      </c>
      <c r="C2803" t="s">
        <v>1232</v>
      </c>
      <c r="D2803" t="s">
        <v>12</v>
      </c>
      <c r="E2803" t="s">
        <v>56</v>
      </c>
      <c r="F2803" t="s">
        <v>57</v>
      </c>
      <c r="G2803" t="s">
        <v>2575</v>
      </c>
      <c r="H2803" s="8">
        <v>1012.24</v>
      </c>
      <c r="I2803" s="8">
        <v>2.88</v>
      </c>
      <c r="J2803" s="8">
        <v>0.02</v>
      </c>
      <c r="K2803" t="str">
        <f>IF(SalesData[[#This Row],[Profit]]&gt;0,"Profit","Loss")</f>
        <v>Profit</v>
      </c>
      <c r="L2803" s="8">
        <f>SalesData[[#This Row],[Profit]]/SalesData[[#This Row],[Sales]]</f>
        <v>2.8451750572986642E-3</v>
      </c>
      <c r="M2803" t="str">
        <f>TEXT(SalesData[[#This Row],[Order_Date]],"mmm")</f>
        <v>Nov</v>
      </c>
      <c r="N2803">
        <f>YEAR(SalesData[[#This Row],[Order_Date]])</f>
        <v>2022</v>
      </c>
    </row>
    <row r="2804" spans="1:14" x14ac:dyDescent="0.3">
      <c r="A2804" t="s">
        <v>4099</v>
      </c>
      <c r="B2804" s="1">
        <v>44722</v>
      </c>
      <c r="C2804" t="s">
        <v>877</v>
      </c>
      <c r="D2804" t="s">
        <v>18</v>
      </c>
      <c r="E2804" t="s">
        <v>19</v>
      </c>
      <c r="F2804" t="s">
        <v>141</v>
      </c>
      <c r="G2804" t="s">
        <v>954</v>
      </c>
      <c r="H2804" s="8">
        <v>2904.87</v>
      </c>
      <c r="I2804" s="8">
        <v>-217.57</v>
      </c>
      <c r="J2804" s="8">
        <v>0.01</v>
      </c>
      <c r="K2804" t="str">
        <f>IF(SalesData[[#This Row],[Profit]]&gt;0,"Profit","Loss")</f>
        <v>Loss</v>
      </c>
      <c r="L2804" s="8">
        <f>SalesData[[#This Row],[Profit]]/SalesData[[#This Row],[Sales]]</f>
        <v>-7.4898360339705386E-2</v>
      </c>
      <c r="M2804" t="str">
        <f>TEXT(SalesData[[#This Row],[Order_Date]],"mmm")</f>
        <v>Jun</v>
      </c>
      <c r="N2804">
        <f>YEAR(SalesData[[#This Row],[Order_Date]])</f>
        <v>2022</v>
      </c>
    </row>
    <row r="2805" spans="1:14" x14ac:dyDescent="0.3">
      <c r="A2805" t="s">
        <v>4100</v>
      </c>
      <c r="B2805" s="1">
        <v>44603</v>
      </c>
      <c r="C2805" t="s">
        <v>1259</v>
      </c>
      <c r="D2805" t="s">
        <v>40</v>
      </c>
      <c r="E2805" t="s">
        <v>56</v>
      </c>
      <c r="F2805" t="s">
        <v>57</v>
      </c>
      <c r="G2805" t="s">
        <v>2076</v>
      </c>
      <c r="H2805" s="8">
        <v>132.15</v>
      </c>
      <c r="I2805" s="8">
        <v>-4.6900000000000004</v>
      </c>
      <c r="J2805" s="8">
        <v>0.05</v>
      </c>
      <c r="K2805" t="str">
        <f>IF(SalesData[[#This Row],[Profit]]&gt;0,"Profit","Loss")</f>
        <v>Loss</v>
      </c>
      <c r="L2805" s="8">
        <f>SalesData[[#This Row],[Profit]]/SalesData[[#This Row],[Sales]]</f>
        <v>-3.5489973514945136E-2</v>
      </c>
      <c r="M2805" t="str">
        <f>TEXT(SalesData[[#This Row],[Order_Date]],"mmm")</f>
        <v>Feb</v>
      </c>
      <c r="N2805">
        <f>YEAR(SalesData[[#This Row],[Order_Date]])</f>
        <v>2022</v>
      </c>
    </row>
    <row r="2806" spans="1:14" x14ac:dyDescent="0.3">
      <c r="A2806" t="s">
        <v>4101</v>
      </c>
      <c r="B2806" s="1">
        <v>44793</v>
      </c>
      <c r="C2806" t="s">
        <v>1972</v>
      </c>
      <c r="D2806" t="s">
        <v>40</v>
      </c>
      <c r="E2806" t="s">
        <v>13</v>
      </c>
      <c r="F2806" t="s">
        <v>36</v>
      </c>
      <c r="G2806" t="s">
        <v>426</v>
      </c>
      <c r="H2806" s="8">
        <v>1785.86</v>
      </c>
      <c r="I2806" s="8">
        <v>-753.43</v>
      </c>
      <c r="J2806" s="8">
        <v>0.28999999999999998</v>
      </c>
      <c r="K2806" t="str">
        <f>IF(SalesData[[#This Row],[Profit]]&gt;0,"Profit","Loss")</f>
        <v>Loss</v>
      </c>
      <c r="L2806" s="8">
        <f>SalesData[[#This Row],[Profit]]/SalesData[[#This Row],[Sales]]</f>
        <v>-0.42188637407187574</v>
      </c>
      <c r="M2806" t="str">
        <f>TEXT(SalesData[[#This Row],[Order_Date]],"mmm")</f>
        <v>Aug</v>
      </c>
      <c r="N2806">
        <f>YEAR(SalesData[[#This Row],[Order_Date]])</f>
        <v>2022</v>
      </c>
    </row>
    <row r="2807" spans="1:14" x14ac:dyDescent="0.3">
      <c r="A2807" t="s">
        <v>4102</v>
      </c>
      <c r="B2807" s="1">
        <v>45078</v>
      </c>
      <c r="C2807" t="s">
        <v>88</v>
      </c>
      <c r="D2807" t="s">
        <v>40</v>
      </c>
      <c r="E2807" t="s">
        <v>13</v>
      </c>
      <c r="F2807" t="s">
        <v>24</v>
      </c>
      <c r="G2807" t="s">
        <v>365</v>
      </c>
      <c r="H2807" s="8">
        <v>4497.5600000000004</v>
      </c>
      <c r="I2807" s="8">
        <v>-121.92</v>
      </c>
      <c r="J2807" s="8">
        <v>7.0000000000000007E-2</v>
      </c>
      <c r="K2807" t="str">
        <f>IF(SalesData[[#This Row],[Profit]]&gt;0,"Profit","Loss")</f>
        <v>Loss</v>
      </c>
      <c r="L2807" s="8">
        <f>SalesData[[#This Row],[Profit]]/SalesData[[#This Row],[Sales]]</f>
        <v>-2.7108031910635988E-2</v>
      </c>
      <c r="M2807" t="str">
        <f>TEXT(SalesData[[#This Row],[Order_Date]],"mmm")</f>
        <v>Jun</v>
      </c>
      <c r="N2807">
        <f>YEAR(SalesData[[#This Row],[Order_Date]])</f>
        <v>2023</v>
      </c>
    </row>
    <row r="2808" spans="1:14" x14ac:dyDescent="0.3">
      <c r="A2808" t="s">
        <v>4103</v>
      </c>
      <c r="B2808" s="1">
        <v>44728</v>
      </c>
      <c r="C2808" t="s">
        <v>1237</v>
      </c>
      <c r="D2808" t="s">
        <v>18</v>
      </c>
      <c r="E2808" t="s">
        <v>56</v>
      </c>
      <c r="F2808" t="s">
        <v>73</v>
      </c>
      <c r="G2808" t="s">
        <v>1546</v>
      </c>
      <c r="H2808" s="8">
        <v>1048.8399999999999</v>
      </c>
      <c r="I2808" s="8">
        <v>-329.7</v>
      </c>
      <c r="J2808" s="8">
        <v>0.23</v>
      </c>
      <c r="K2808" t="str">
        <f>IF(SalesData[[#This Row],[Profit]]&gt;0,"Profit","Loss")</f>
        <v>Loss</v>
      </c>
      <c r="L2808" s="8">
        <f>SalesData[[#This Row],[Profit]]/SalesData[[#This Row],[Sales]]</f>
        <v>-0.31434727889859276</v>
      </c>
      <c r="M2808" t="str">
        <f>TEXT(SalesData[[#This Row],[Order_Date]],"mmm")</f>
        <v>Jun</v>
      </c>
      <c r="N2808">
        <f>YEAR(SalesData[[#This Row],[Order_Date]])</f>
        <v>2022</v>
      </c>
    </row>
    <row r="2809" spans="1:14" x14ac:dyDescent="0.3">
      <c r="A2809" t="s">
        <v>4104</v>
      </c>
      <c r="B2809" s="1">
        <v>44917</v>
      </c>
      <c r="C2809" t="s">
        <v>227</v>
      </c>
      <c r="D2809" t="s">
        <v>18</v>
      </c>
      <c r="E2809" t="s">
        <v>56</v>
      </c>
      <c r="F2809" t="s">
        <v>73</v>
      </c>
      <c r="G2809" t="s">
        <v>640</v>
      </c>
      <c r="H2809" s="8">
        <v>2191.1</v>
      </c>
      <c r="I2809" s="8">
        <v>268.27999999999997</v>
      </c>
      <c r="J2809" s="8">
        <v>0</v>
      </c>
      <c r="K2809" t="str">
        <f>IF(SalesData[[#This Row],[Profit]]&gt;0,"Profit","Loss")</f>
        <v>Profit</v>
      </c>
      <c r="L2809" s="8">
        <f>SalesData[[#This Row],[Profit]]/SalesData[[#This Row],[Sales]]</f>
        <v>0.12244078316827163</v>
      </c>
      <c r="M2809" t="str">
        <f>TEXT(SalesData[[#This Row],[Order_Date]],"mmm")</f>
        <v>Dec</v>
      </c>
      <c r="N2809">
        <f>YEAR(SalesData[[#This Row],[Order_Date]])</f>
        <v>2022</v>
      </c>
    </row>
    <row r="2810" spans="1:14" x14ac:dyDescent="0.3">
      <c r="A2810" t="s">
        <v>4105</v>
      </c>
      <c r="B2810" s="1">
        <v>44620</v>
      </c>
      <c r="C2810" t="s">
        <v>364</v>
      </c>
      <c r="D2810" t="s">
        <v>40</v>
      </c>
      <c r="E2810" t="s">
        <v>56</v>
      </c>
      <c r="F2810" t="s">
        <v>95</v>
      </c>
      <c r="G2810" t="s">
        <v>2164</v>
      </c>
      <c r="H2810" s="8">
        <v>3788.03</v>
      </c>
      <c r="I2810" s="8">
        <v>1128.1600000000001</v>
      </c>
      <c r="J2810" s="8">
        <v>0.03</v>
      </c>
      <c r="K2810" t="str">
        <f>IF(SalesData[[#This Row],[Profit]]&gt;0,"Profit","Loss")</f>
        <v>Profit</v>
      </c>
      <c r="L2810" s="8">
        <f>SalesData[[#This Row],[Profit]]/SalesData[[#This Row],[Sales]]</f>
        <v>0.2978223509317508</v>
      </c>
      <c r="M2810" t="str">
        <f>TEXT(SalesData[[#This Row],[Order_Date]],"mmm")</f>
        <v>Feb</v>
      </c>
      <c r="N2810">
        <f>YEAR(SalesData[[#This Row],[Order_Date]])</f>
        <v>2022</v>
      </c>
    </row>
    <row r="2811" spans="1:14" x14ac:dyDescent="0.3">
      <c r="A2811" t="s">
        <v>4106</v>
      </c>
      <c r="B2811" s="1">
        <v>44699</v>
      </c>
      <c r="C2811" t="s">
        <v>1427</v>
      </c>
      <c r="D2811" t="s">
        <v>12</v>
      </c>
      <c r="E2811" t="s">
        <v>13</v>
      </c>
      <c r="F2811" t="s">
        <v>36</v>
      </c>
      <c r="G2811" t="s">
        <v>1592</v>
      </c>
      <c r="H2811" s="8">
        <v>1633.98</v>
      </c>
      <c r="I2811" s="8">
        <v>-162.28</v>
      </c>
      <c r="J2811" s="8">
        <v>0.26</v>
      </c>
      <c r="K2811" t="str">
        <f>IF(SalesData[[#This Row],[Profit]]&gt;0,"Profit","Loss")</f>
        <v>Loss</v>
      </c>
      <c r="L2811" s="8">
        <f>SalesData[[#This Row],[Profit]]/SalesData[[#This Row],[Sales]]</f>
        <v>-9.9315781098911857E-2</v>
      </c>
      <c r="M2811" t="str">
        <f>TEXT(SalesData[[#This Row],[Order_Date]],"mmm")</f>
        <v>May</v>
      </c>
      <c r="N2811">
        <f>YEAR(SalesData[[#This Row],[Order_Date]])</f>
        <v>2022</v>
      </c>
    </row>
    <row r="2812" spans="1:14" x14ac:dyDescent="0.3">
      <c r="A2812" t="s">
        <v>4107</v>
      </c>
      <c r="B2812" s="1">
        <v>45164</v>
      </c>
      <c r="C2812" t="s">
        <v>973</v>
      </c>
      <c r="D2812" t="s">
        <v>40</v>
      </c>
      <c r="E2812" t="s">
        <v>56</v>
      </c>
      <c r="F2812" t="s">
        <v>95</v>
      </c>
      <c r="G2812" t="s">
        <v>935</v>
      </c>
      <c r="H2812" s="8">
        <v>2067.29</v>
      </c>
      <c r="I2812" s="8">
        <v>115.5</v>
      </c>
      <c r="J2812" s="8">
        <v>0.02</v>
      </c>
      <c r="K2812" t="str">
        <f>IF(SalesData[[#This Row],[Profit]]&gt;0,"Profit","Loss")</f>
        <v>Profit</v>
      </c>
      <c r="L2812" s="8">
        <f>SalesData[[#This Row],[Profit]]/SalesData[[#This Row],[Sales]]</f>
        <v>5.5870245587218051E-2</v>
      </c>
      <c r="M2812" t="str">
        <f>TEXT(SalesData[[#This Row],[Order_Date]],"mmm")</f>
        <v>Aug</v>
      </c>
      <c r="N2812">
        <f>YEAR(SalesData[[#This Row],[Order_Date]])</f>
        <v>2023</v>
      </c>
    </row>
    <row r="2813" spans="1:14" x14ac:dyDescent="0.3">
      <c r="A2813" t="s">
        <v>4108</v>
      </c>
      <c r="B2813" s="1">
        <v>45218</v>
      </c>
      <c r="C2813" t="s">
        <v>2378</v>
      </c>
      <c r="D2813" t="s">
        <v>18</v>
      </c>
      <c r="E2813" t="s">
        <v>56</v>
      </c>
      <c r="F2813" t="s">
        <v>57</v>
      </c>
      <c r="G2813" t="s">
        <v>2289</v>
      </c>
      <c r="H2813" s="8">
        <v>1981.26</v>
      </c>
      <c r="I2813" s="8">
        <v>277.73</v>
      </c>
      <c r="J2813" s="8">
        <v>0.18</v>
      </c>
      <c r="K2813" t="str">
        <f>IF(SalesData[[#This Row],[Profit]]&gt;0,"Profit","Loss")</f>
        <v>Profit</v>
      </c>
      <c r="L2813" s="8">
        <f>SalesData[[#This Row],[Profit]]/SalesData[[#This Row],[Sales]]</f>
        <v>0.14017847228531338</v>
      </c>
      <c r="M2813" t="str">
        <f>TEXT(SalesData[[#This Row],[Order_Date]],"mmm")</f>
        <v>Oct</v>
      </c>
      <c r="N2813">
        <f>YEAR(SalesData[[#This Row],[Order_Date]])</f>
        <v>2023</v>
      </c>
    </row>
    <row r="2814" spans="1:14" x14ac:dyDescent="0.3">
      <c r="A2814" t="s">
        <v>4109</v>
      </c>
      <c r="B2814" s="1">
        <v>44747</v>
      </c>
      <c r="C2814" t="s">
        <v>2643</v>
      </c>
      <c r="D2814" t="s">
        <v>28</v>
      </c>
      <c r="E2814" t="s">
        <v>19</v>
      </c>
      <c r="F2814" t="s">
        <v>29</v>
      </c>
      <c r="G2814" t="s">
        <v>590</v>
      </c>
      <c r="H2814" s="8">
        <v>3148.46</v>
      </c>
      <c r="I2814" s="8">
        <v>-278.41000000000003</v>
      </c>
      <c r="J2814" s="8">
        <v>0.24</v>
      </c>
      <c r="K2814" t="str">
        <f>IF(SalesData[[#This Row],[Profit]]&gt;0,"Profit","Loss")</f>
        <v>Loss</v>
      </c>
      <c r="L2814" s="8">
        <f>SalesData[[#This Row],[Profit]]/SalesData[[#This Row],[Sales]]</f>
        <v>-8.8427358136993969E-2</v>
      </c>
      <c r="M2814" t="str">
        <f>TEXT(SalesData[[#This Row],[Order_Date]],"mmm")</f>
        <v>Jul</v>
      </c>
      <c r="N2814">
        <f>YEAR(SalesData[[#This Row],[Order_Date]])</f>
        <v>2022</v>
      </c>
    </row>
    <row r="2815" spans="1:14" x14ac:dyDescent="0.3">
      <c r="A2815" t="s">
        <v>4110</v>
      </c>
      <c r="B2815" s="1">
        <v>44693</v>
      </c>
      <c r="C2815" t="s">
        <v>82</v>
      </c>
      <c r="D2815" t="s">
        <v>40</v>
      </c>
      <c r="E2815" t="s">
        <v>13</v>
      </c>
      <c r="F2815" t="s">
        <v>14</v>
      </c>
      <c r="G2815" t="s">
        <v>1123</v>
      </c>
      <c r="H2815" s="8">
        <v>589.39</v>
      </c>
      <c r="I2815" s="8">
        <v>72.81</v>
      </c>
      <c r="J2815" s="8">
        <v>0.11</v>
      </c>
      <c r="K2815" t="str">
        <f>IF(SalesData[[#This Row],[Profit]]&gt;0,"Profit","Loss")</f>
        <v>Profit</v>
      </c>
      <c r="L2815" s="8">
        <f>SalesData[[#This Row],[Profit]]/SalesData[[#This Row],[Sales]]</f>
        <v>0.12353450177301957</v>
      </c>
      <c r="M2815" t="str">
        <f>TEXT(SalesData[[#This Row],[Order_Date]],"mmm")</f>
        <v>May</v>
      </c>
      <c r="N2815">
        <f>YEAR(SalesData[[#This Row],[Order_Date]])</f>
        <v>2022</v>
      </c>
    </row>
    <row r="2816" spans="1:14" x14ac:dyDescent="0.3">
      <c r="A2816" t="s">
        <v>4111</v>
      </c>
      <c r="B2816" s="1">
        <v>44819</v>
      </c>
      <c r="C2816" t="s">
        <v>1603</v>
      </c>
      <c r="D2816" t="s">
        <v>12</v>
      </c>
      <c r="E2816" t="s">
        <v>19</v>
      </c>
      <c r="F2816" t="s">
        <v>20</v>
      </c>
      <c r="G2816" t="s">
        <v>951</v>
      </c>
      <c r="H2816" s="8">
        <v>3372.12</v>
      </c>
      <c r="I2816" s="8">
        <v>676.74</v>
      </c>
      <c r="J2816" s="8">
        <v>0.15</v>
      </c>
      <c r="K2816" t="str">
        <f>IF(SalesData[[#This Row],[Profit]]&gt;0,"Profit","Loss")</f>
        <v>Profit</v>
      </c>
      <c r="L2816" s="8">
        <f>SalesData[[#This Row],[Profit]]/SalesData[[#This Row],[Sales]]</f>
        <v>0.20068680829863708</v>
      </c>
      <c r="M2816" t="str">
        <f>TEXT(SalesData[[#This Row],[Order_Date]],"mmm")</f>
        <v>Sep</v>
      </c>
      <c r="N2816">
        <f>YEAR(SalesData[[#This Row],[Order_Date]])</f>
        <v>2022</v>
      </c>
    </row>
    <row r="2817" spans="1:14" x14ac:dyDescent="0.3">
      <c r="A2817" t="s">
        <v>4112</v>
      </c>
      <c r="B2817" s="1">
        <v>44796</v>
      </c>
      <c r="C2817" t="s">
        <v>857</v>
      </c>
      <c r="D2817" t="s">
        <v>12</v>
      </c>
      <c r="E2817" t="s">
        <v>56</v>
      </c>
      <c r="F2817" t="s">
        <v>73</v>
      </c>
      <c r="G2817" t="s">
        <v>840</v>
      </c>
      <c r="H2817" s="8">
        <v>224.48</v>
      </c>
      <c r="I2817" s="8">
        <v>-71.319999999999993</v>
      </c>
      <c r="J2817" s="8">
        <v>0.19</v>
      </c>
      <c r="K2817" t="str">
        <f>IF(SalesData[[#This Row],[Profit]]&gt;0,"Profit","Loss")</f>
        <v>Loss</v>
      </c>
      <c r="L2817" s="8">
        <f>SalesData[[#This Row],[Profit]]/SalesData[[#This Row],[Sales]]</f>
        <v>-0.31771204561653599</v>
      </c>
      <c r="M2817" t="str">
        <f>TEXT(SalesData[[#This Row],[Order_Date]],"mmm")</f>
        <v>Aug</v>
      </c>
      <c r="N2817">
        <f>YEAR(SalesData[[#This Row],[Order_Date]])</f>
        <v>2022</v>
      </c>
    </row>
    <row r="2818" spans="1:14" x14ac:dyDescent="0.3">
      <c r="A2818" t="s">
        <v>4113</v>
      </c>
      <c r="B2818" s="1">
        <v>44884</v>
      </c>
      <c r="C2818" t="s">
        <v>1172</v>
      </c>
      <c r="D2818" t="s">
        <v>40</v>
      </c>
      <c r="E2818" t="s">
        <v>13</v>
      </c>
      <c r="F2818" t="s">
        <v>14</v>
      </c>
      <c r="G2818" t="s">
        <v>720</v>
      </c>
      <c r="H2818" s="8">
        <v>3333.24</v>
      </c>
      <c r="I2818" s="8">
        <v>271.43</v>
      </c>
      <c r="J2818" s="8">
        <v>0.26</v>
      </c>
      <c r="K2818" t="str">
        <f>IF(SalesData[[#This Row],[Profit]]&gt;0,"Profit","Loss")</f>
        <v>Profit</v>
      </c>
      <c r="L2818" s="8">
        <f>SalesData[[#This Row],[Profit]]/SalesData[[#This Row],[Sales]]</f>
        <v>8.1431280075842133E-2</v>
      </c>
      <c r="M2818" t="str">
        <f>TEXT(SalesData[[#This Row],[Order_Date]],"mmm")</f>
        <v>Nov</v>
      </c>
      <c r="N2818">
        <f>YEAR(SalesData[[#This Row],[Order_Date]])</f>
        <v>2022</v>
      </c>
    </row>
    <row r="2819" spans="1:14" x14ac:dyDescent="0.3">
      <c r="A2819" t="s">
        <v>4114</v>
      </c>
      <c r="B2819" s="1">
        <v>44901</v>
      </c>
      <c r="C2819" t="s">
        <v>1037</v>
      </c>
      <c r="D2819" t="s">
        <v>12</v>
      </c>
      <c r="E2819" t="s">
        <v>56</v>
      </c>
      <c r="F2819" t="s">
        <v>57</v>
      </c>
      <c r="G2819" t="s">
        <v>1004</v>
      </c>
      <c r="H2819" s="8">
        <v>3555.24</v>
      </c>
      <c r="I2819" s="8">
        <v>692.03</v>
      </c>
      <c r="J2819" s="8">
        <v>0.02</v>
      </c>
      <c r="K2819" t="str">
        <f>IF(SalesData[[#This Row],[Profit]]&gt;0,"Profit","Loss")</f>
        <v>Profit</v>
      </c>
      <c r="L2819" s="8">
        <f>SalesData[[#This Row],[Profit]]/SalesData[[#This Row],[Sales]]</f>
        <v>0.19465071275075663</v>
      </c>
      <c r="M2819" t="str">
        <f>TEXT(SalesData[[#This Row],[Order_Date]],"mmm")</f>
        <v>Dec</v>
      </c>
      <c r="N2819">
        <f>YEAR(SalesData[[#This Row],[Order_Date]])</f>
        <v>2022</v>
      </c>
    </row>
    <row r="2820" spans="1:14" x14ac:dyDescent="0.3">
      <c r="A2820" t="s">
        <v>4115</v>
      </c>
      <c r="B2820" s="1">
        <v>45217</v>
      </c>
      <c r="C2820" t="s">
        <v>2659</v>
      </c>
      <c r="D2820" t="s">
        <v>40</v>
      </c>
      <c r="E2820" t="s">
        <v>56</v>
      </c>
      <c r="F2820" t="s">
        <v>95</v>
      </c>
      <c r="G2820" t="s">
        <v>1056</v>
      </c>
      <c r="H2820" s="8">
        <v>1128.43</v>
      </c>
      <c r="I2820" s="8">
        <v>-417.27</v>
      </c>
      <c r="J2820" s="8">
        <v>0.23</v>
      </c>
      <c r="K2820" t="str">
        <f>IF(SalesData[[#This Row],[Profit]]&gt;0,"Profit","Loss")</f>
        <v>Loss</v>
      </c>
      <c r="L2820" s="8">
        <f>SalesData[[#This Row],[Profit]]/SalesData[[#This Row],[Sales]]</f>
        <v>-0.36977925081750745</v>
      </c>
      <c r="M2820" t="str">
        <f>TEXT(SalesData[[#This Row],[Order_Date]],"mmm")</f>
        <v>Oct</v>
      </c>
      <c r="N2820">
        <f>YEAR(SalesData[[#This Row],[Order_Date]])</f>
        <v>2023</v>
      </c>
    </row>
    <row r="2821" spans="1:14" x14ac:dyDescent="0.3">
      <c r="A2821" t="s">
        <v>4116</v>
      </c>
      <c r="B2821" s="1">
        <v>45034</v>
      </c>
      <c r="C2821" t="s">
        <v>1436</v>
      </c>
      <c r="D2821" t="s">
        <v>18</v>
      </c>
      <c r="E2821" t="s">
        <v>13</v>
      </c>
      <c r="F2821" t="s">
        <v>14</v>
      </c>
      <c r="G2821" t="s">
        <v>1011</v>
      </c>
      <c r="H2821" s="8">
        <v>2635.38</v>
      </c>
      <c r="I2821" s="8">
        <v>580.83000000000004</v>
      </c>
      <c r="J2821" s="8">
        <v>0.13</v>
      </c>
      <c r="K2821" t="str">
        <f>IF(SalesData[[#This Row],[Profit]]&gt;0,"Profit","Loss")</f>
        <v>Profit</v>
      </c>
      <c r="L2821" s="8">
        <f>SalesData[[#This Row],[Profit]]/SalesData[[#This Row],[Sales]]</f>
        <v>0.22039705848871891</v>
      </c>
      <c r="M2821" t="str">
        <f>TEXT(SalesData[[#This Row],[Order_Date]],"mmm")</f>
        <v>Apr</v>
      </c>
      <c r="N2821">
        <f>YEAR(SalesData[[#This Row],[Order_Date]])</f>
        <v>2023</v>
      </c>
    </row>
    <row r="2822" spans="1:14" x14ac:dyDescent="0.3">
      <c r="A2822" t="s">
        <v>4117</v>
      </c>
      <c r="B2822" s="1">
        <v>44696</v>
      </c>
      <c r="C2822" t="s">
        <v>1259</v>
      </c>
      <c r="D2822" t="s">
        <v>12</v>
      </c>
      <c r="E2822" t="s">
        <v>19</v>
      </c>
      <c r="F2822" t="s">
        <v>141</v>
      </c>
      <c r="G2822" t="s">
        <v>482</v>
      </c>
      <c r="H2822" s="8">
        <v>4871.74</v>
      </c>
      <c r="I2822" s="8">
        <v>656.46</v>
      </c>
      <c r="J2822" s="8">
        <v>0.11</v>
      </c>
      <c r="K2822" t="str">
        <f>IF(SalesData[[#This Row],[Profit]]&gt;0,"Profit","Loss")</f>
        <v>Profit</v>
      </c>
      <c r="L2822" s="8">
        <f>SalesData[[#This Row],[Profit]]/SalesData[[#This Row],[Sales]]</f>
        <v>0.13474857032600263</v>
      </c>
      <c r="M2822" t="str">
        <f>TEXT(SalesData[[#This Row],[Order_Date]],"mmm")</f>
        <v>May</v>
      </c>
      <c r="N2822">
        <f>YEAR(SalesData[[#This Row],[Order_Date]])</f>
        <v>2022</v>
      </c>
    </row>
    <row r="2823" spans="1:14" x14ac:dyDescent="0.3">
      <c r="A2823" t="s">
        <v>4118</v>
      </c>
      <c r="B2823" s="1">
        <v>44891</v>
      </c>
      <c r="C2823" t="s">
        <v>1003</v>
      </c>
      <c r="D2823" t="s">
        <v>12</v>
      </c>
      <c r="E2823" t="s">
        <v>13</v>
      </c>
      <c r="F2823" t="s">
        <v>14</v>
      </c>
      <c r="G2823" t="s">
        <v>15</v>
      </c>
      <c r="H2823" s="8">
        <v>3570.16</v>
      </c>
      <c r="I2823" s="8">
        <v>709.52</v>
      </c>
      <c r="J2823" s="8">
        <v>0.08</v>
      </c>
      <c r="K2823" t="str">
        <f>IF(SalesData[[#This Row],[Profit]]&gt;0,"Profit","Loss")</f>
        <v>Profit</v>
      </c>
      <c r="L2823" s="8">
        <f>SalesData[[#This Row],[Profit]]/SalesData[[#This Row],[Sales]]</f>
        <v>0.19873619109507698</v>
      </c>
      <c r="M2823" t="str">
        <f>TEXT(SalesData[[#This Row],[Order_Date]],"mmm")</f>
        <v>Nov</v>
      </c>
      <c r="N2823">
        <f>YEAR(SalesData[[#This Row],[Order_Date]])</f>
        <v>2022</v>
      </c>
    </row>
    <row r="2824" spans="1:14" x14ac:dyDescent="0.3">
      <c r="A2824" t="s">
        <v>4119</v>
      </c>
      <c r="B2824" s="1">
        <v>45056</v>
      </c>
      <c r="C2824" t="s">
        <v>842</v>
      </c>
      <c r="D2824" t="s">
        <v>12</v>
      </c>
      <c r="E2824" t="s">
        <v>56</v>
      </c>
      <c r="F2824" t="s">
        <v>73</v>
      </c>
      <c r="G2824" t="s">
        <v>444</v>
      </c>
      <c r="H2824" s="8">
        <v>4645.59</v>
      </c>
      <c r="I2824" s="8">
        <v>1221.77</v>
      </c>
      <c r="J2824" s="8">
        <v>0</v>
      </c>
      <c r="K2824" t="str">
        <f>IF(SalesData[[#This Row],[Profit]]&gt;0,"Profit","Loss")</f>
        <v>Profit</v>
      </c>
      <c r="L2824" s="8">
        <f>SalesData[[#This Row],[Profit]]/SalesData[[#This Row],[Sales]]</f>
        <v>0.26299565824792975</v>
      </c>
      <c r="M2824" t="str">
        <f>TEXT(SalesData[[#This Row],[Order_Date]],"mmm")</f>
        <v>May</v>
      </c>
      <c r="N2824">
        <f>YEAR(SalesData[[#This Row],[Order_Date]])</f>
        <v>2023</v>
      </c>
    </row>
    <row r="2825" spans="1:14" x14ac:dyDescent="0.3">
      <c r="A2825" t="s">
        <v>4120</v>
      </c>
      <c r="B2825" s="1">
        <v>44802</v>
      </c>
      <c r="C2825" t="s">
        <v>727</v>
      </c>
      <c r="D2825" t="s">
        <v>18</v>
      </c>
      <c r="E2825" t="s">
        <v>19</v>
      </c>
      <c r="F2825" t="s">
        <v>141</v>
      </c>
      <c r="G2825" t="s">
        <v>89</v>
      </c>
      <c r="H2825" s="8">
        <v>1972.8</v>
      </c>
      <c r="I2825" s="8">
        <v>408.34</v>
      </c>
      <c r="J2825" s="8">
        <v>0.17</v>
      </c>
      <c r="K2825" t="str">
        <f>IF(SalesData[[#This Row],[Profit]]&gt;0,"Profit","Loss")</f>
        <v>Profit</v>
      </c>
      <c r="L2825" s="8">
        <f>SalesData[[#This Row],[Profit]]/SalesData[[#This Row],[Sales]]</f>
        <v>0.20698499594484995</v>
      </c>
      <c r="M2825" t="str">
        <f>TEXT(SalesData[[#This Row],[Order_Date]],"mmm")</f>
        <v>Aug</v>
      </c>
      <c r="N2825">
        <f>YEAR(SalesData[[#This Row],[Order_Date]])</f>
        <v>2022</v>
      </c>
    </row>
    <row r="2826" spans="1:14" x14ac:dyDescent="0.3">
      <c r="A2826" t="s">
        <v>4121</v>
      </c>
      <c r="B2826" s="1">
        <v>44620</v>
      </c>
      <c r="C2826" t="s">
        <v>937</v>
      </c>
      <c r="D2826" t="s">
        <v>40</v>
      </c>
      <c r="E2826" t="s">
        <v>13</v>
      </c>
      <c r="F2826" t="s">
        <v>24</v>
      </c>
      <c r="G2826" t="s">
        <v>3163</v>
      </c>
      <c r="H2826" s="8">
        <v>2206.9899999999998</v>
      </c>
      <c r="I2826" s="8">
        <v>647.89</v>
      </c>
      <c r="J2826" s="8">
        <v>0.03</v>
      </c>
      <c r="K2826" t="str">
        <f>IF(SalesData[[#This Row],[Profit]]&gt;0,"Profit","Loss")</f>
        <v>Profit</v>
      </c>
      <c r="L2826" s="8">
        <f>SalesData[[#This Row],[Profit]]/SalesData[[#This Row],[Sales]]</f>
        <v>0.29356272570333353</v>
      </c>
      <c r="M2826" t="str">
        <f>TEXT(SalesData[[#This Row],[Order_Date]],"mmm")</f>
        <v>Feb</v>
      </c>
      <c r="N2826">
        <f>YEAR(SalesData[[#This Row],[Order_Date]])</f>
        <v>2022</v>
      </c>
    </row>
    <row r="2827" spans="1:14" x14ac:dyDescent="0.3">
      <c r="A2827" t="s">
        <v>4122</v>
      </c>
      <c r="B2827" s="1">
        <v>45094</v>
      </c>
      <c r="C2827" t="s">
        <v>1687</v>
      </c>
      <c r="D2827" t="s">
        <v>40</v>
      </c>
      <c r="E2827" t="s">
        <v>13</v>
      </c>
      <c r="F2827" t="s">
        <v>24</v>
      </c>
      <c r="G2827" t="s">
        <v>853</v>
      </c>
      <c r="H2827" s="8">
        <v>3361.01</v>
      </c>
      <c r="I2827" s="8">
        <v>-1092.46</v>
      </c>
      <c r="J2827" s="8">
        <v>0.28999999999999998</v>
      </c>
      <c r="K2827" t="str">
        <f>IF(SalesData[[#This Row],[Profit]]&gt;0,"Profit","Loss")</f>
        <v>Loss</v>
      </c>
      <c r="L2827" s="8">
        <f>SalesData[[#This Row],[Profit]]/SalesData[[#This Row],[Sales]]</f>
        <v>-0.32503919952633287</v>
      </c>
      <c r="M2827" t="str">
        <f>TEXT(SalesData[[#This Row],[Order_Date]],"mmm")</f>
        <v>Jun</v>
      </c>
      <c r="N2827">
        <f>YEAR(SalesData[[#This Row],[Order_Date]])</f>
        <v>2023</v>
      </c>
    </row>
    <row r="2828" spans="1:14" x14ac:dyDescent="0.3">
      <c r="A2828" t="s">
        <v>4123</v>
      </c>
      <c r="B2828" s="1">
        <v>44890</v>
      </c>
      <c r="C2828" t="s">
        <v>1605</v>
      </c>
      <c r="D2828" t="s">
        <v>28</v>
      </c>
      <c r="E2828" t="s">
        <v>13</v>
      </c>
      <c r="F2828" t="s">
        <v>24</v>
      </c>
      <c r="G2828" t="s">
        <v>606</v>
      </c>
      <c r="H2828" s="8">
        <v>1041.32</v>
      </c>
      <c r="I2828" s="8">
        <v>-330.02</v>
      </c>
      <c r="J2828" s="8">
        <v>0.22</v>
      </c>
      <c r="K2828" t="str">
        <f>IF(SalesData[[#This Row],[Profit]]&gt;0,"Profit","Loss")</f>
        <v>Loss</v>
      </c>
      <c r="L2828" s="8">
        <f>SalesData[[#This Row],[Profit]]/SalesData[[#This Row],[Sales]]</f>
        <v>-0.3169246725310183</v>
      </c>
      <c r="M2828" t="str">
        <f>TEXT(SalesData[[#This Row],[Order_Date]],"mmm")</f>
        <v>Nov</v>
      </c>
      <c r="N2828">
        <f>YEAR(SalesData[[#This Row],[Order_Date]])</f>
        <v>2022</v>
      </c>
    </row>
    <row r="2829" spans="1:14" x14ac:dyDescent="0.3">
      <c r="A2829" t="s">
        <v>4124</v>
      </c>
      <c r="B2829" s="1">
        <v>44834</v>
      </c>
      <c r="C2829" t="s">
        <v>1078</v>
      </c>
      <c r="D2829" t="s">
        <v>28</v>
      </c>
      <c r="E2829" t="s">
        <v>19</v>
      </c>
      <c r="F2829" t="s">
        <v>20</v>
      </c>
      <c r="G2829" t="s">
        <v>1400</v>
      </c>
      <c r="H2829" s="8">
        <v>2082.1999999999998</v>
      </c>
      <c r="I2829" s="8">
        <v>403.52</v>
      </c>
      <c r="J2829" s="8">
        <v>0.05</v>
      </c>
      <c r="K2829" t="str">
        <f>IF(SalesData[[#This Row],[Profit]]&gt;0,"Profit","Loss")</f>
        <v>Profit</v>
      </c>
      <c r="L2829" s="8">
        <f>SalesData[[#This Row],[Profit]]/SalesData[[#This Row],[Sales]]</f>
        <v>0.19379502449332436</v>
      </c>
      <c r="M2829" t="str">
        <f>TEXT(SalesData[[#This Row],[Order_Date]],"mmm")</f>
        <v>Sep</v>
      </c>
      <c r="N2829">
        <f>YEAR(SalesData[[#This Row],[Order_Date]])</f>
        <v>2022</v>
      </c>
    </row>
    <row r="2830" spans="1:14" x14ac:dyDescent="0.3">
      <c r="A2830" t="s">
        <v>4125</v>
      </c>
      <c r="B2830" s="1">
        <v>45214</v>
      </c>
      <c r="C2830" t="s">
        <v>852</v>
      </c>
      <c r="D2830" t="s">
        <v>40</v>
      </c>
      <c r="E2830" t="s">
        <v>13</v>
      </c>
      <c r="F2830" t="s">
        <v>24</v>
      </c>
      <c r="G2830" t="s">
        <v>3231</v>
      </c>
      <c r="H2830" s="8">
        <v>3916.7</v>
      </c>
      <c r="I2830" s="8">
        <v>957.19</v>
      </c>
      <c r="J2830" s="8">
        <v>0.11</v>
      </c>
      <c r="K2830" t="str">
        <f>IF(SalesData[[#This Row],[Profit]]&gt;0,"Profit","Loss")</f>
        <v>Profit</v>
      </c>
      <c r="L2830" s="8">
        <f>SalesData[[#This Row],[Profit]]/SalesData[[#This Row],[Sales]]</f>
        <v>0.24438685628207421</v>
      </c>
      <c r="M2830" t="str">
        <f>TEXT(SalesData[[#This Row],[Order_Date]],"mmm")</f>
        <v>Oct</v>
      </c>
      <c r="N2830">
        <f>YEAR(SalesData[[#This Row],[Order_Date]])</f>
        <v>2023</v>
      </c>
    </row>
    <row r="2831" spans="1:14" x14ac:dyDescent="0.3">
      <c r="A2831" t="s">
        <v>4126</v>
      </c>
      <c r="B2831" s="1">
        <v>44920</v>
      </c>
      <c r="C2831" t="s">
        <v>134</v>
      </c>
      <c r="D2831" t="s">
        <v>12</v>
      </c>
      <c r="E2831" t="s">
        <v>13</v>
      </c>
      <c r="F2831" t="s">
        <v>36</v>
      </c>
      <c r="G2831" t="s">
        <v>1035</v>
      </c>
      <c r="H2831" s="8">
        <v>926.99</v>
      </c>
      <c r="I2831" s="8">
        <v>-129.65</v>
      </c>
      <c r="J2831" s="8">
        <v>0.05</v>
      </c>
      <c r="K2831" t="str">
        <f>IF(SalesData[[#This Row],[Profit]]&gt;0,"Profit","Loss")</f>
        <v>Loss</v>
      </c>
      <c r="L2831" s="8">
        <f>SalesData[[#This Row],[Profit]]/SalesData[[#This Row],[Sales]]</f>
        <v>-0.13986127142687624</v>
      </c>
      <c r="M2831" t="str">
        <f>TEXT(SalesData[[#This Row],[Order_Date]],"mmm")</f>
        <v>Dec</v>
      </c>
      <c r="N2831">
        <f>YEAR(SalesData[[#This Row],[Order_Date]])</f>
        <v>2022</v>
      </c>
    </row>
    <row r="2832" spans="1:14" x14ac:dyDescent="0.3">
      <c r="A2832" t="s">
        <v>4127</v>
      </c>
      <c r="B2832" s="1">
        <v>44734</v>
      </c>
      <c r="C2832" t="s">
        <v>727</v>
      </c>
      <c r="D2832" t="s">
        <v>40</v>
      </c>
      <c r="E2832" t="s">
        <v>56</v>
      </c>
      <c r="F2832" t="s">
        <v>95</v>
      </c>
      <c r="G2832" t="s">
        <v>872</v>
      </c>
      <c r="H2832" s="8">
        <v>3673.75</v>
      </c>
      <c r="I2832" s="8">
        <v>-68.41</v>
      </c>
      <c r="J2832" s="8">
        <v>0.2</v>
      </c>
      <c r="K2832" t="str">
        <f>IF(SalesData[[#This Row],[Profit]]&gt;0,"Profit","Loss")</f>
        <v>Loss</v>
      </c>
      <c r="L2832" s="8">
        <f>SalesData[[#This Row],[Profit]]/SalesData[[#This Row],[Sales]]</f>
        <v>-1.8621299761823747E-2</v>
      </c>
      <c r="M2832" t="str">
        <f>TEXT(SalesData[[#This Row],[Order_Date]],"mmm")</f>
        <v>Jun</v>
      </c>
      <c r="N2832">
        <f>YEAR(SalesData[[#This Row],[Order_Date]])</f>
        <v>2022</v>
      </c>
    </row>
    <row r="2833" spans="1:14" x14ac:dyDescent="0.3">
      <c r="A2833" t="s">
        <v>4128</v>
      </c>
      <c r="B2833" s="1">
        <v>44746</v>
      </c>
      <c r="C2833" t="s">
        <v>1108</v>
      </c>
      <c r="D2833" t="s">
        <v>12</v>
      </c>
      <c r="E2833" t="s">
        <v>56</v>
      </c>
      <c r="F2833" t="s">
        <v>73</v>
      </c>
      <c r="G2833" t="s">
        <v>392</v>
      </c>
      <c r="H2833" s="8">
        <v>2114.83</v>
      </c>
      <c r="I2833" s="8">
        <v>-483.93</v>
      </c>
      <c r="J2833" s="8">
        <v>0.18</v>
      </c>
      <c r="K2833" t="str">
        <f>IF(SalesData[[#This Row],[Profit]]&gt;0,"Profit","Loss")</f>
        <v>Loss</v>
      </c>
      <c r="L2833" s="8">
        <f>SalesData[[#This Row],[Profit]]/SalesData[[#This Row],[Sales]]</f>
        <v>-0.22882690334447686</v>
      </c>
      <c r="M2833" t="str">
        <f>TEXT(SalesData[[#This Row],[Order_Date]],"mmm")</f>
        <v>Jul</v>
      </c>
      <c r="N2833">
        <f>YEAR(SalesData[[#This Row],[Order_Date]])</f>
        <v>2022</v>
      </c>
    </row>
    <row r="2834" spans="1:14" x14ac:dyDescent="0.3">
      <c r="A2834" t="s">
        <v>4129</v>
      </c>
      <c r="B2834" s="1">
        <v>45149</v>
      </c>
      <c r="C2834" t="s">
        <v>1740</v>
      </c>
      <c r="D2834" t="s">
        <v>12</v>
      </c>
      <c r="E2834" t="s">
        <v>56</v>
      </c>
      <c r="F2834" t="s">
        <v>57</v>
      </c>
      <c r="G2834" t="s">
        <v>1737</v>
      </c>
      <c r="H2834" s="8">
        <v>1303.8499999999999</v>
      </c>
      <c r="I2834" s="8">
        <v>-140.18</v>
      </c>
      <c r="J2834" s="8">
        <v>0.08</v>
      </c>
      <c r="K2834" t="str">
        <f>IF(SalesData[[#This Row],[Profit]]&gt;0,"Profit","Loss")</f>
        <v>Loss</v>
      </c>
      <c r="L2834" s="8">
        <f>SalesData[[#This Row],[Profit]]/SalesData[[#This Row],[Sales]]</f>
        <v>-0.10751236722015571</v>
      </c>
      <c r="M2834" t="str">
        <f>TEXT(SalesData[[#This Row],[Order_Date]],"mmm")</f>
        <v>Aug</v>
      </c>
      <c r="N2834">
        <f>YEAR(SalesData[[#This Row],[Order_Date]])</f>
        <v>2023</v>
      </c>
    </row>
    <row r="2835" spans="1:14" x14ac:dyDescent="0.3">
      <c r="A2835" t="s">
        <v>4130</v>
      </c>
      <c r="B2835" s="1">
        <v>45272</v>
      </c>
      <c r="C2835" t="s">
        <v>364</v>
      </c>
      <c r="D2835" t="s">
        <v>12</v>
      </c>
      <c r="E2835" t="s">
        <v>56</v>
      </c>
      <c r="F2835" t="s">
        <v>73</v>
      </c>
      <c r="G2835" t="s">
        <v>1637</v>
      </c>
      <c r="H2835" s="8">
        <v>3540.61</v>
      </c>
      <c r="I2835" s="8">
        <v>-806.75</v>
      </c>
      <c r="J2835" s="8">
        <v>0.13</v>
      </c>
      <c r="K2835" t="str">
        <f>IF(SalesData[[#This Row],[Profit]]&gt;0,"Profit","Loss")</f>
        <v>Loss</v>
      </c>
      <c r="L2835" s="8">
        <f>SalesData[[#This Row],[Profit]]/SalesData[[#This Row],[Sales]]</f>
        <v>-0.22785621686658514</v>
      </c>
      <c r="M2835" t="str">
        <f>TEXT(SalesData[[#This Row],[Order_Date]],"mmm")</f>
        <v>Dec</v>
      </c>
      <c r="N2835">
        <f>YEAR(SalesData[[#This Row],[Order_Date]])</f>
        <v>2023</v>
      </c>
    </row>
    <row r="2836" spans="1:14" x14ac:dyDescent="0.3">
      <c r="A2836" t="s">
        <v>4131</v>
      </c>
      <c r="B2836" s="1">
        <v>44615</v>
      </c>
      <c r="C2836" t="s">
        <v>171</v>
      </c>
      <c r="D2836" t="s">
        <v>40</v>
      </c>
      <c r="E2836" t="s">
        <v>19</v>
      </c>
      <c r="F2836" t="s">
        <v>29</v>
      </c>
      <c r="G2836" t="s">
        <v>444</v>
      </c>
      <c r="H2836" s="8">
        <v>101.21</v>
      </c>
      <c r="I2836" s="8">
        <v>5.58</v>
      </c>
      <c r="J2836" s="8">
        <v>0.28000000000000003</v>
      </c>
      <c r="K2836" t="str">
        <f>IF(SalesData[[#This Row],[Profit]]&gt;0,"Profit","Loss")</f>
        <v>Profit</v>
      </c>
      <c r="L2836" s="8">
        <f>SalesData[[#This Row],[Profit]]/SalesData[[#This Row],[Sales]]</f>
        <v>5.5132892006718705E-2</v>
      </c>
      <c r="M2836" t="str">
        <f>TEXT(SalesData[[#This Row],[Order_Date]],"mmm")</f>
        <v>Feb</v>
      </c>
      <c r="N2836">
        <f>YEAR(SalesData[[#This Row],[Order_Date]])</f>
        <v>2022</v>
      </c>
    </row>
    <row r="2837" spans="1:14" x14ac:dyDescent="0.3">
      <c r="A2837" t="s">
        <v>4132</v>
      </c>
      <c r="B2837" s="1">
        <v>44581</v>
      </c>
      <c r="C2837" t="s">
        <v>3694</v>
      </c>
      <c r="D2837" t="s">
        <v>18</v>
      </c>
      <c r="E2837" t="s">
        <v>56</v>
      </c>
      <c r="F2837" t="s">
        <v>57</v>
      </c>
      <c r="G2837" t="s">
        <v>755</v>
      </c>
      <c r="H2837" s="8">
        <v>427.09</v>
      </c>
      <c r="I2837" s="8">
        <v>-26.39</v>
      </c>
      <c r="J2837" s="8">
        <v>0.25</v>
      </c>
      <c r="K2837" t="str">
        <f>IF(SalesData[[#This Row],[Profit]]&gt;0,"Profit","Loss")</f>
        <v>Loss</v>
      </c>
      <c r="L2837" s="8">
        <f>SalesData[[#This Row],[Profit]]/SalesData[[#This Row],[Sales]]</f>
        <v>-6.1790254981385663E-2</v>
      </c>
      <c r="M2837" t="str">
        <f>TEXT(SalesData[[#This Row],[Order_Date]],"mmm")</f>
        <v>Jan</v>
      </c>
      <c r="N2837">
        <f>YEAR(SalesData[[#This Row],[Order_Date]])</f>
        <v>2022</v>
      </c>
    </row>
    <row r="2838" spans="1:14" x14ac:dyDescent="0.3">
      <c r="A2838" t="s">
        <v>4133</v>
      </c>
      <c r="B2838" s="1">
        <v>44941</v>
      </c>
      <c r="C2838" t="s">
        <v>1810</v>
      </c>
      <c r="D2838" t="s">
        <v>18</v>
      </c>
      <c r="E2838" t="s">
        <v>56</v>
      </c>
      <c r="F2838" t="s">
        <v>57</v>
      </c>
      <c r="G2838" t="s">
        <v>1257</v>
      </c>
      <c r="H2838" s="8">
        <v>3712.89</v>
      </c>
      <c r="I2838" s="8">
        <v>-364.74</v>
      </c>
      <c r="J2838" s="8">
        <v>0.03</v>
      </c>
      <c r="K2838" t="str">
        <f>IF(SalesData[[#This Row],[Profit]]&gt;0,"Profit","Loss")</f>
        <v>Loss</v>
      </c>
      <c r="L2838" s="8">
        <f>SalesData[[#This Row],[Profit]]/SalesData[[#This Row],[Sales]]</f>
        <v>-9.8236144889829763E-2</v>
      </c>
      <c r="M2838" t="str">
        <f>TEXT(SalesData[[#This Row],[Order_Date]],"mmm")</f>
        <v>Jan</v>
      </c>
      <c r="N2838">
        <f>YEAR(SalesData[[#This Row],[Order_Date]])</f>
        <v>2023</v>
      </c>
    </row>
    <row r="2839" spans="1:14" x14ac:dyDescent="0.3">
      <c r="A2839" t="s">
        <v>4134</v>
      </c>
      <c r="B2839" s="1">
        <v>44650</v>
      </c>
      <c r="C2839" t="s">
        <v>3752</v>
      </c>
      <c r="D2839" t="s">
        <v>18</v>
      </c>
      <c r="E2839" t="s">
        <v>13</v>
      </c>
      <c r="F2839" t="s">
        <v>14</v>
      </c>
      <c r="G2839" t="s">
        <v>441</v>
      </c>
      <c r="H2839" s="8">
        <v>758.9</v>
      </c>
      <c r="I2839" s="8">
        <v>-8.9499999999999993</v>
      </c>
      <c r="J2839" s="8">
        <v>0.09</v>
      </c>
      <c r="K2839" t="str">
        <f>IF(SalesData[[#This Row],[Profit]]&gt;0,"Profit","Loss")</f>
        <v>Loss</v>
      </c>
      <c r="L2839" s="8">
        <f>SalesData[[#This Row],[Profit]]/SalesData[[#This Row],[Sales]]</f>
        <v>-1.1793385162735537E-2</v>
      </c>
      <c r="M2839" t="str">
        <f>TEXT(SalesData[[#This Row],[Order_Date]],"mmm")</f>
        <v>Mar</v>
      </c>
      <c r="N2839">
        <f>YEAR(SalesData[[#This Row],[Order_Date]])</f>
        <v>2022</v>
      </c>
    </row>
    <row r="2840" spans="1:14" x14ac:dyDescent="0.3">
      <c r="A2840" t="s">
        <v>4135</v>
      </c>
      <c r="B2840" s="1">
        <v>44709</v>
      </c>
      <c r="C2840" t="s">
        <v>333</v>
      </c>
      <c r="D2840" t="s">
        <v>28</v>
      </c>
      <c r="E2840" t="s">
        <v>56</v>
      </c>
      <c r="F2840" t="s">
        <v>73</v>
      </c>
      <c r="G2840" t="s">
        <v>803</v>
      </c>
      <c r="H2840" s="8">
        <v>329.21</v>
      </c>
      <c r="I2840" s="8">
        <v>22.73</v>
      </c>
      <c r="J2840" s="8">
        <v>0.28999999999999998</v>
      </c>
      <c r="K2840" t="str">
        <f>IF(SalesData[[#This Row],[Profit]]&gt;0,"Profit","Loss")</f>
        <v>Profit</v>
      </c>
      <c r="L2840" s="8">
        <f>SalesData[[#This Row],[Profit]]/SalesData[[#This Row],[Sales]]</f>
        <v>6.9044075210352066E-2</v>
      </c>
      <c r="M2840" t="str">
        <f>TEXT(SalesData[[#This Row],[Order_Date]],"mmm")</f>
        <v>May</v>
      </c>
      <c r="N2840">
        <f>YEAR(SalesData[[#This Row],[Order_Date]])</f>
        <v>2022</v>
      </c>
    </row>
    <row r="2841" spans="1:14" x14ac:dyDescent="0.3">
      <c r="A2841" t="s">
        <v>4136</v>
      </c>
      <c r="B2841" s="1">
        <v>44990</v>
      </c>
      <c r="C2841" t="s">
        <v>3330</v>
      </c>
      <c r="D2841" t="s">
        <v>28</v>
      </c>
      <c r="E2841" t="s">
        <v>56</v>
      </c>
      <c r="F2841" t="s">
        <v>95</v>
      </c>
      <c r="G2841" t="s">
        <v>1825</v>
      </c>
      <c r="H2841" s="8">
        <v>2059.87</v>
      </c>
      <c r="I2841" s="8">
        <v>482.18</v>
      </c>
      <c r="J2841" s="8">
        <v>0.12</v>
      </c>
      <c r="K2841" t="str">
        <f>IF(SalesData[[#This Row],[Profit]]&gt;0,"Profit","Loss")</f>
        <v>Profit</v>
      </c>
      <c r="L2841" s="8">
        <f>SalesData[[#This Row],[Profit]]/SalesData[[#This Row],[Sales]]</f>
        <v>0.23408273337637814</v>
      </c>
      <c r="M2841" t="str">
        <f>TEXT(SalesData[[#This Row],[Order_Date]],"mmm")</f>
        <v>Mar</v>
      </c>
      <c r="N2841">
        <f>YEAR(SalesData[[#This Row],[Order_Date]])</f>
        <v>2023</v>
      </c>
    </row>
    <row r="2842" spans="1:14" x14ac:dyDescent="0.3">
      <c r="A2842" t="s">
        <v>4137</v>
      </c>
      <c r="B2842" s="1">
        <v>44924</v>
      </c>
      <c r="C2842" t="s">
        <v>1349</v>
      </c>
      <c r="D2842" t="s">
        <v>12</v>
      </c>
      <c r="E2842" t="s">
        <v>19</v>
      </c>
      <c r="F2842" t="s">
        <v>20</v>
      </c>
      <c r="G2842" t="s">
        <v>279</v>
      </c>
      <c r="H2842" s="8">
        <v>2015.52</v>
      </c>
      <c r="I2842" s="8">
        <v>91.57</v>
      </c>
      <c r="J2842" s="8">
        <v>7.0000000000000007E-2</v>
      </c>
      <c r="K2842" t="str">
        <f>IF(SalesData[[#This Row],[Profit]]&gt;0,"Profit","Loss")</f>
        <v>Profit</v>
      </c>
      <c r="L2842" s="8">
        <f>SalesData[[#This Row],[Profit]]/SalesData[[#This Row],[Sales]]</f>
        <v>4.5432444232753826E-2</v>
      </c>
      <c r="M2842" t="str">
        <f>TEXT(SalesData[[#This Row],[Order_Date]],"mmm")</f>
        <v>Dec</v>
      </c>
      <c r="N2842">
        <f>YEAR(SalesData[[#This Row],[Order_Date]])</f>
        <v>2022</v>
      </c>
    </row>
    <row r="2843" spans="1:14" x14ac:dyDescent="0.3">
      <c r="A2843" t="s">
        <v>4138</v>
      </c>
      <c r="B2843" s="1">
        <v>45017</v>
      </c>
      <c r="C2843" t="s">
        <v>270</v>
      </c>
      <c r="D2843" t="s">
        <v>18</v>
      </c>
      <c r="E2843" t="s">
        <v>19</v>
      </c>
      <c r="F2843" t="s">
        <v>20</v>
      </c>
      <c r="G2843" t="s">
        <v>1121</v>
      </c>
      <c r="H2843" s="8">
        <v>2368.84</v>
      </c>
      <c r="I2843" s="8">
        <v>-13.75</v>
      </c>
      <c r="J2843" s="8">
        <v>0.06</v>
      </c>
      <c r="K2843" t="str">
        <f>IF(SalesData[[#This Row],[Profit]]&gt;0,"Profit","Loss")</f>
        <v>Loss</v>
      </c>
      <c r="L2843" s="8">
        <f>SalesData[[#This Row],[Profit]]/SalesData[[#This Row],[Sales]]</f>
        <v>-5.8045287989057929E-3</v>
      </c>
      <c r="M2843" t="str">
        <f>TEXT(SalesData[[#This Row],[Order_Date]],"mmm")</f>
        <v>Apr</v>
      </c>
      <c r="N2843">
        <f>YEAR(SalesData[[#This Row],[Order_Date]])</f>
        <v>2023</v>
      </c>
    </row>
    <row r="2844" spans="1:14" x14ac:dyDescent="0.3">
      <c r="A2844" t="s">
        <v>4139</v>
      </c>
      <c r="B2844" s="1">
        <v>44982</v>
      </c>
      <c r="C2844" t="s">
        <v>443</v>
      </c>
      <c r="D2844" t="s">
        <v>12</v>
      </c>
      <c r="E2844" t="s">
        <v>56</v>
      </c>
      <c r="F2844" t="s">
        <v>73</v>
      </c>
      <c r="G2844" t="s">
        <v>1870</v>
      </c>
      <c r="H2844" s="8">
        <v>645.49</v>
      </c>
      <c r="I2844" s="8">
        <v>26.88</v>
      </c>
      <c r="J2844" s="8">
        <v>0.28999999999999998</v>
      </c>
      <c r="K2844" t="str">
        <f>IF(SalesData[[#This Row],[Profit]]&gt;0,"Profit","Loss")</f>
        <v>Profit</v>
      </c>
      <c r="L2844" s="8">
        <f>SalesData[[#This Row],[Profit]]/SalesData[[#This Row],[Sales]]</f>
        <v>4.1642783002060445E-2</v>
      </c>
      <c r="M2844" t="str">
        <f>TEXT(SalesData[[#This Row],[Order_Date]],"mmm")</f>
        <v>Feb</v>
      </c>
      <c r="N2844">
        <f>YEAR(SalesData[[#This Row],[Order_Date]])</f>
        <v>2023</v>
      </c>
    </row>
    <row r="2845" spans="1:14" x14ac:dyDescent="0.3">
      <c r="A2845" t="s">
        <v>4140</v>
      </c>
      <c r="B2845" s="1">
        <v>44702</v>
      </c>
      <c r="C2845" t="s">
        <v>2448</v>
      </c>
      <c r="D2845" t="s">
        <v>12</v>
      </c>
      <c r="E2845" t="s">
        <v>13</v>
      </c>
      <c r="F2845" t="s">
        <v>36</v>
      </c>
      <c r="G2845" t="s">
        <v>1993</v>
      </c>
      <c r="H2845" s="8">
        <v>1487.26</v>
      </c>
      <c r="I2845" s="8">
        <v>46.35</v>
      </c>
      <c r="J2845" s="8">
        <v>0.03</v>
      </c>
      <c r="K2845" t="str">
        <f>IF(SalesData[[#This Row],[Profit]]&gt;0,"Profit","Loss")</f>
        <v>Profit</v>
      </c>
      <c r="L2845" s="8">
        <f>SalesData[[#This Row],[Profit]]/SalesData[[#This Row],[Sales]]</f>
        <v>3.1164692118392213E-2</v>
      </c>
      <c r="M2845" t="str">
        <f>TEXT(SalesData[[#This Row],[Order_Date]],"mmm")</f>
        <v>May</v>
      </c>
      <c r="N2845">
        <f>YEAR(SalesData[[#This Row],[Order_Date]])</f>
        <v>2022</v>
      </c>
    </row>
    <row r="2846" spans="1:14" x14ac:dyDescent="0.3">
      <c r="A2846" t="s">
        <v>4141</v>
      </c>
      <c r="B2846" s="1">
        <v>44763</v>
      </c>
      <c r="C2846" t="s">
        <v>932</v>
      </c>
      <c r="D2846" t="s">
        <v>18</v>
      </c>
      <c r="E2846" t="s">
        <v>19</v>
      </c>
      <c r="F2846" t="s">
        <v>29</v>
      </c>
      <c r="G2846" t="s">
        <v>1007</v>
      </c>
      <c r="H2846" s="8">
        <v>4509.6499999999996</v>
      </c>
      <c r="I2846" s="8">
        <v>1169.06</v>
      </c>
      <c r="J2846" s="8">
        <v>0.09</v>
      </c>
      <c r="K2846" t="str">
        <f>IF(SalesData[[#This Row],[Profit]]&gt;0,"Profit","Loss")</f>
        <v>Profit</v>
      </c>
      <c r="L2846" s="8">
        <f>SalesData[[#This Row],[Profit]]/SalesData[[#This Row],[Sales]]</f>
        <v>0.25923519563602498</v>
      </c>
      <c r="M2846" t="str">
        <f>TEXT(SalesData[[#This Row],[Order_Date]],"mmm")</f>
        <v>Jul</v>
      </c>
      <c r="N2846">
        <f>YEAR(SalesData[[#This Row],[Order_Date]])</f>
        <v>2022</v>
      </c>
    </row>
    <row r="2847" spans="1:14" x14ac:dyDescent="0.3">
      <c r="A2847" t="s">
        <v>4142</v>
      </c>
      <c r="B2847" s="1">
        <v>44992</v>
      </c>
      <c r="C2847" t="s">
        <v>1248</v>
      </c>
      <c r="D2847" t="s">
        <v>12</v>
      </c>
      <c r="E2847" t="s">
        <v>19</v>
      </c>
      <c r="F2847" t="s">
        <v>141</v>
      </c>
      <c r="G2847" t="s">
        <v>1091</v>
      </c>
      <c r="H2847" s="8">
        <v>4484.32</v>
      </c>
      <c r="I2847" s="8">
        <v>-332</v>
      </c>
      <c r="J2847" s="8">
        <v>0.16</v>
      </c>
      <c r="K2847" t="str">
        <f>IF(SalesData[[#This Row],[Profit]]&gt;0,"Profit","Loss")</f>
        <v>Loss</v>
      </c>
      <c r="L2847" s="8">
        <f>SalesData[[#This Row],[Profit]]/SalesData[[#This Row],[Sales]]</f>
        <v>-7.4035751239875838E-2</v>
      </c>
      <c r="M2847" t="str">
        <f>TEXT(SalesData[[#This Row],[Order_Date]],"mmm")</f>
        <v>Mar</v>
      </c>
      <c r="N2847">
        <f>YEAR(SalesData[[#This Row],[Order_Date]])</f>
        <v>2023</v>
      </c>
    </row>
    <row r="2848" spans="1:14" x14ac:dyDescent="0.3">
      <c r="A2848" t="s">
        <v>4143</v>
      </c>
      <c r="B2848" s="1">
        <v>44608</v>
      </c>
      <c r="C2848" t="s">
        <v>2455</v>
      </c>
      <c r="D2848" t="s">
        <v>28</v>
      </c>
      <c r="E2848" t="s">
        <v>13</v>
      </c>
      <c r="F2848" t="s">
        <v>14</v>
      </c>
      <c r="G2848" t="s">
        <v>734</v>
      </c>
      <c r="H2848" s="8">
        <v>3971.19</v>
      </c>
      <c r="I2848" s="8">
        <v>-1080.02</v>
      </c>
      <c r="J2848" s="8">
        <v>0.18</v>
      </c>
      <c r="K2848" t="str">
        <f>IF(SalesData[[#This Row],[Profit]]&gt;0,"Profit","Loss")</f>
        <v>Loss</v>
      </c>
      <c r="L2848" s="8">
        <f>SalesData[[#This Row],[Profit]]/SalesData[[#This Row],[Sales]]</f>
        <v>-0.27196381940929543</v>
      </c>
      <c r="M2848" t="str">
        <f>TEXT(SalesData[[#This Row],[Order_Date]],"mmm")</f>
        <v>Feb</v>
      </c>
      <c r="N2848">
        <f>YEAR(SalesData[[#This Row],[Order_Date]])</f>
        <v>2022</v>
      </c>
    </row>
    <row r="2849" spans="1:14" x14ac:dyDescent="0.3">
      <c r="A2849" t="s">
        <v>4144</v>
      </c>
      <c r="B2849" s="1">
        <v>45013</v>
      </c>
      <c r="C2849" t="s">
        <v>218</v>
      </c>
      <c r="D2849" t="s">
        <v>12</v>
      </c>
      <c r="E2849" t="s">
        <v>56</v>
      </c>
      <c r="F2849" t="s">
        <v>95</v>
      </c>
      <c r="G2849" t="s">
        <v>1780</v>
      </c>
      <c r="H2849" s="8">
        <v>1706.19</v>
      </c>
      <c r="I2849" s="8">
        <v>11.87</v>
      </c>
      <c r="J2849" s="8">
        <v>0.1</v>
      </c>
      <c r="K2849" t="str">
        <f>IF(SalesData[[#This Row],[Profit]]&gt;0,"Profit","Loss")</f>
        <v>Profit</v>
      </c>
      <c r="L2849" s="8">
        <f>SalesData[[#This Row],[Profit]]/SalesData[[#This Row],[Sales]]</f>
        <v>6.9570211992802666E-3</v>
      </c>
      <c r="M2849" t="str">
        <f>TEXT(SalesData[[#This Row],[Order_Date]],"mmm")</f>
        <v>Mar</v>
      </c>
      <c r="N2849">
        <f>YEAR(SalesData[[#This Row],[Order_Date]])</f>
        <v>2023</v>
      </c>
    </row>
    <row r="2850" spans="1:14" x14ac:dyDescent="0.3">
      <c r="A2850" t="s">
        <v>4145</v>
      </c>
      <c r="B2850" s="1">
        <v>44749</v>
      </c>
      <c r="C2850" t="s">
        <v>2924</v>
      </c>
      <c r="D2850" t="s">
        <v>18</v>
      </c>
      <c r="E2850" t="s">
        <v>19</v>
      </c>
      <c r="F2850" t="s">
        <v>141</v>
      </c>
      <c r="G2850" t="s">
        <v>1654</v>
      </c>
      <c r="H2850" s="8">
        <v>3115.93</v>
      </c>
      <c r="I2850" s="8">
        <v>-249.69</v>
      </c>
      <c r="J2850" s="8">
        <v>0.06</v>
      </c>
      <c r="K2850" t="str">
        <f>IF(SalesData[[#This Row],[Profit]]&gt;0,"Profit","Loss")</f>
        <v>Loss</v>
      </c>
      <c r="L2850" s="8">
        <f>SalesData[[#This Row],[Profit]]/SalesData[[#This Row],[Sales]]</f>
        <v>-8.0133379119556605E-2</v>
      </c>
      <c r="M2850" t="str">
        <f>TEXT(SalesData[[#This Row],[Order_Date]],"mmm")</f>
        <v>Jul</v>
      </c>
      <c r="N2850">
        <f>YEAR(SalesData[[#This Row],[Order_Date]])</f>
        <v>2022</v>
      </c>
    </row>
    <row r="2851" spans="1:14" x14ac:dyDescent="0.3">
      <c r="A2851" t="s">
        <v>4146</v>
      </c>
      <c r="B2851" s="1">
        <v>45070</v>
      </c>
      <c r="C2851" t="s">
        <v>1919</v>
      </c>
      <c r="D2851" t="s">
        <v>18</v>
      </c>
      <c r="E2851" t="s">
        <v>13</v>
      </c>
      <c r="F2851" t="s">
        <v>14</v>
      </c>
      <c r="G2851" t="s">
        <v>2033</v>
      </c>
      <c r="H2851" s="8">
        <v>2281.9499999999998</v>
      </c>
      <c r="I2851" s="8">
        <v>-272.94</v>
      </c>
      <c r="J2851" s="8">
        <v>0.08</v>
      </c>
      <c r="K2851" t="str">
        <f>IF(SalesData[[#This Row],[Profit]]&gt;0,"Profit","Loss")</f>
        <v>Loss</v>
      </c>
      <c r="L2851" s="8">
        <f>SalesData[[#This Row],[Profit]]/SalesData[[#This Row],[Sales]]</f>
        <v>-0.11960822980345757</v>
      </c>
      <c r="M2851" t="str">
        <f>TEXT(SalesData[[#This Row],[Order_Date]],"mmm")</f>
        <v>May</v>
      </c>
      <c r="N2851">
        <f>YEAR(SalesData[[#This Row],[Order_Date]])</f>
        <v>2023</v>
      </c>
    </row>
    <row r="2852" spans="1:14" x14ac:dyDescent="0.3">
      <c r="A2852" t="s">
        <v>4147</v>
      </c>
      <c r="B2852" s="1">
        <v>44960</v>
      </c>
      <c r="C2852" t="s">
        <v>1086</v>
      </c>
      <c r="D2852" t="s">
        <v>40</v>
      </c>
      <c r="E2852" t="s">
        <v>19</v>
      </c>
      <c r="F2852" t="s">
        <v>29</v>
      </c>
      <c r="G2852" t="s">
        <v>744</v>
      </c>
      <c r="H2852" s="8">
        <v>3926.43</v>
      </c>
      <c r="I2852" s="8">
        <v>-547.38</v>
      </c>
      <c r="J2852" s="8">
        <v>0.24</v>
      </c>
      <c r="K2852" t="str">
        <f>IF(SalesData[[#This Row],[Profit]]&gt;0,"Profit","Loss")</f>
        <v>Loss</v>
      </c>
      <c r="L2852" s="8">
        <f>SalesData[[#This Row],[Profit]]/SalesData[[#This Row],[Sales]]</f>
        <v>-0.13940908153207876</v>
      </c>
      <c r="M2852" t="str">
        <f>TEXT(SalesData[[#This Row],[Order_Date]],"mmm")</f>
        <v>Feb</v>
      </c>
      <c r="N2852">
        <f>YEAR(SalesData[[#This Row],[Order_Date]])</f>
        <v>2023</v>
      </c>
    </row>
    <row r="2853" spans="1:14" x14ac:dyDescent="0.3">
      <c r="A2853" t="s">
        <v>4148</v>
      </c>
      <c r="B2853" s="1">
        <v>44940</v>
      </c>
      <c r="C2853" t="s">
        <v>493</v>
      </c>
      <c r="D2853" t="s">
        <v>18</v>
      </c>
      <c r="E2853" t="s">
        <v>13</v>
      </c>
      <c r="F2853" t="s">
        <v>14</v>
      </c>
      <c r="G2853" t="s">
        <v>1553</v>
      </c>
      <c r="H2853" s="8">
        <v>910.99</v>
      </c>
      <c r="I2853" s="8">
        <v>3.3</v>
      </c>
      <c r="J2853" s="8">
        <v>0.26</v>
      </c>
      <c r="K2853" t="str">
        <f>IF(SalesData[[#This Row],[Profit]]&gt;0,"Profit","Loss")</f>
        <v>Profit</v>
      </c>
      <c r="L2853" s="8">
        <f>SalesData[[#This Row],[Profit]]/SalesData[[#This Row],[Sales]]</f>
        <v>3.6224327380102962E-3</v>
      </c>
      <c r="M2853" t="str">
        <f>TEXT(SalesData[[#This Row],[Order_Date]],"mmm")</f>
        <v>Jan</v>
      </c>
      <c r="N2853">
        <f>YEAR(SalesData[[#This Row],[Order_Date]])</f>
        <v>2023</v>
      </c>
    </row>
    <row r="2854" spans="1:14" x14ac:dyDescent="0.3">
      <c r="A2854" t="s">
        <v>4149</v>
      </c>
      <c r="B2854" s="1">
        <v>44739</v>
      </c>
      <c r="C2854" t="s">
        <v>3006</v>
      </c>
      <c r="D2854" t="s">
        <v>28</v>
      </c>
      <c r="E2854" t="s">
        <v>56</v>
      </c>
      <c r="F2854" t="s">
        <v>95</v>
      </c>
      <c r="G2854" t="s">
        <v>637</v>
      </c>
      <c r="H2854" s="8">
        <v>2841.12</v>
      </c>
      <c r="I2854" s="8">
        <v>576.54</v>
      </c>
      <c r="J2854" s="8">
        <v>0.01</v>
      </c>
      <c r="K2854" t="str">
        <f>IF(SalesData[[#This Row],[Profit]]&gt;0,"Profit","Loss")</f>
        <v>Profit</v>
      </c>
      <c r="L2854" s="8">
        <f>SalesData[[#This Row],[Profit]]/SalesData[[#This Row],[Sales]]</f>
        <v>0.20292701469842878</v>
      </c>
      <c r="M2854" t="str">
        <f>TEXT(SalesData[[#This Row],[Order_Date]],"mmm")</f>
        <v>Jun</v>
      </c>
      <c r="N2854">
        <f>YEAR(SalesData[[#This Row],[Order_Date]])</f>
        <v>2022</v>
      </c>
    </row>
    <row r="2855" spans="1:14" x14ac:dyDescent="0.3">
      <c r="A2855" t="s">
        <v>4150</v>
      </c>
      <c r="B2855" s="1">
        <v>45171</v>
      </c>
      <c r="C2855" t="s">
        <v>461</v>
      </c>
      <c r="D2855" t="s">
        <v>18</v>
      </c>
      <c r="E2855" t="s">
        <v>13</v>
      </c>
      <c r="F2855" t="s">
        <v>36</v>
      </c>
      <c r="G2855" t="s">
        <v>482</v>
      </c>
      <c r="H2855" s="8">
        <v>409.77</v>
      </c>
      <c r="I2855" s="8">
        <v>153.4</v>
      </c>
      <c r="J2855" s="8">
        <v>0</v>
      </c>
      <c r="K2855" t="str">
        <f>IF(SalesData[[#This Row],[Profit]]&gt;0,"Profit","Loss")</f>
        <v>Profit</v>
      </c>
      <c r="L2855" s="8">
        <f>SalesData[[#This Row],[Profit]]/SalesData[[#This Row],[Sales]]</f>
        <v>0.37435634624301439</v>
      </c>
      <c r="M2855" t="str">
        <f>TEXT(SalesData[[#This Row],[Order_Date]],"mmm")</f>
        <v>Sep</v>
      </c>
      <c r="N2855">
        <f>YEAR(SalesData[[#This Row],[Order_Date]])</f>
        <v>2023</v>
      </c>
    </row>
    <row r="2856" spans="1:14" x14ac:dyDescent="0.3">
      <c r="A2856" t="s">
        <v>4151</v>
      </c>
      <c r="B2856" s="1">
        <v>44740</v>
      </c>
      <c r="C2856" t="s">
        <v>449</v>
      </c>
      <c r="D2856" t="s">
        <v>28</v>
      </c>
      <c r="E2856" t="s">
        <v>19</v>
      </c>
      <c r="F2856" t="s">
        <v>141</v>
      </c>
      <c r="G2856" t="s">
        <v>1279</v>
      </c>
      <c r="H2856" s="8">
        <v>4439.62</v>
      </c>
      <c r="I2856" s="8">
        <v>1004.08</v>
      </c>
      <c r="J2856" s="8">
        <v>0.14000000000000001</v>
      </c>
      <c r="K2856" t="str">
        <f>IF(SalesData[[#This Row],[Profit]]&gt;0,"Profit","Loss")</f>
        <v>Profit</v>
      </c>
      <c r="L2856" s="8">
        <f>SalesData[[#This Row],[Profit]]/SalesData[[#This Row],[Sales]]</f>
        <v>0.2261635004797708</v>
      </c>
      <c r="M2856" t="str">
        <f>TEXT(SalesData[[#This Row],[Order_Date]],"mmm")</f>
        <v>Jun</v>
      </c>
      <c r="N2856">
        <f>YEAR(SalesData[[#This Row],[Order_Date]])</f>
        <v>2022</v>
      </c>
    </row>
    <row r="2857" spans="1:14" x14ac:dyDescent="0.3">
      <c r="A2857" t="s">
        <v>4152</v>
      </c>
      <c r="B2857" s="1">
        <v>44595</v>
      </c>
      <c r="C2857" t="s">
        <v>1441</v>
      </c>
      <c r="D2857" t="s">
        <v>18</v>
      </c>
      <c r="E2857" t="s">
        <v>19</v>
      </c>
      <c r="F2857" t="s">
        <v>20</v>
      </c>
      <c r="G2857" t="s">
        <v>219</v>
      </c>
      <c r="H2857" s="8">
        <v>1674.31</v>
      </c>
      <c r="I2857" s="8">
        <v>-620.16</v>
      </c>
      <c r="J2857" s="8">
        <v>0.18</v>
      </c>
      <c r="K2857" t="str">
        <f>IF(SalesData[[#This Row],[Profit]]&gt;0,"Profit","Loss")</f>
        <v>Loss</v>
      </c>
      <c r="L2857" s="8">
        <f>SalesData[[#This Row],[Profit]]/SalesData[[#This Row],[Sales]]</f>
        <v>-0.37039735771750748</v>
      </c>
      <c r="M2857" t="str">
        <f>TEXT(SalesData[[#This Row],[Order_Date]],"mmm")</f>
        <v>Feb</v>
      </c>
      <c r="N2857">
        <f>YEAR(SalesData[[#This Row],[Order_Date]])</f>
        <v>2022</v>
      </c>
    </row>
    <row r="2858" spans="1:14" x14ac:dyDescent="0.3">
      <c r="A2858" t="s">
        <v>4153</v>
      </c>
      <c r="B2858" s="1">
        <v>45225</v>
      </c>
      <c r="C2858" t="s">
        <v>3074</v>
      </c>
      <c r="D2858" t="s">
        <v>28</v>
      </c>
      <c r="E2858" t="s">
        <v>13</v>
      </c>
      <c r="F2858" t="s">
        <v>14</v>
      </c>
      <c r="G2858" t="s">
        <v>2063</v>
      </c>
      <c r="H2858" s="8">
        <v>1383.07</v>
      </c>
      <c r="I2858" s="8">
        <v>-203.54</v>
      </c>
      <c r="J2858" s="8">
        <v>0.13</v>
      </c>
      <c r="K2858" t="str">
        <f>IF(SalesData[[#This Row],[Profit]]&gt;0,"Profit","Loss")</f>
        <v>Loss</v>
      </c>
      <c r="L2858" s="8">
        <f>SalesData[[#This Row],[Profit]]/SalesData[[#This Row],[Sales]]</f>
        <v>-0.14716536400905234</v>
      </c>
      <c r="M2858" t="str">
        <f>TEXT(SalesData[[#This Row],[Order_Date]],"mmm")</f>
        <v>Oct</v>
      </c>
      <c r="N2858">
        <f>YEAR(SalesData[[#This Row],[Order_Date]])</f>
        <v>2023</v>
      </c>
    </row>
    <row r="2859" spans="1:14" x14ac:dyDescent="0.3">
      <c r="A2859" t="s">
        <v>4154</v>
      </c>
      <c r="B2859" s="1">
        <v>44830</v>
      </c>
      <c r="C2859" t="s">
        <v>1482</v>
      </c>
      <c r="D2859" t="s">
        <v>18</v>
      </c>
      <c r="E2859" t="s">
        <v>56</v>
      </c>
      <c r="F2859" t="s">
        <v>95</v>
      </c>
      <c r="G2859" t="s">
        <v>436</v>
      </c>
      <c r="H2859" s="8">
        <v>1188.43</v>
      </c>
      <c r="I2859" s="8">
        <v>230.46</v>
      </c>
      <c r="J2859" s="8">
        <v>0.15</v>
      </c>
      <c r="K2859" t="str">
        <f>IF(SalesData[[#This Row],[Profit]]&gt;0,"Profit","Loss")</f>
        <v>Profit</v>
      </c>
      <c r="L2859" s="8">
        <f>SalesData[[#This Row],[Profit]]/SalesData[[#This Row],[Sales]]</f>
        <v>0.19391970919616636</v>
      </c>
      <c r="M2859" t="str">
        <f>TEXT(SalesData[[#This Row],[Order_Date]],"mmm")</f>
        <v>Sep</v>
      </c>
      <c r="N2859">
        <f>YEAR(SalesData[[#This Row],[Order_Date]])</f>
        <v>2022</v>
      </c>
    </row>
    <row r="2860" spans="1:14" x14ac:dyDescent="0.3">
      <c r="A2860" t="s">
        <v>4155</v>
      </c>
      <c r="B2860" s="1">
        <v>45229</v>
      </c>
      <c r="C2860" t="s">
        <v>168</v>
      </c>
      <c r="D2860" t="s">
        <v>28</v>
      </c>
      <c r="E2860" t="s">
        <v>56</v>
      </c>
      <c r="F2860" t="s">
        <v>95</v>
      </c>
      <c r="G2860" t="s">
        <v>792</v>
      </c>
      <c r="H2860" s="8">
        <v>3665.93</v>
      </c>
      <c r="I2860" s="8">
        <v>848.53</v>
      </c>
      <c r="J2860" s="8">
        <v>0.02</v>
      </c>
      <c r="K2860" t="str">
        <f>IF(SalesData[[#This Row],[Profit]]&gt;0,"Profit","Loss")</f>
        <v>Profit</v>
      </c>
      <c r="L2860" s="8">
        <f>SalesData[[#This Row],[Profit]]/SalesData[[#This Row],[Sales]]</f>
        <v>0.231463775904068</v>
      </c>
      <c r="M2860" t="str">
        <f>TEXT(SalesData[[#This Row],[Order_Date]],"mmm")</f>
        <v>Oct</v>
      </c>
      <c r="N2860">
        <f>YEAR(SalesData[[#This Row],[Order_Date]])</f>
        <v>2023</v>
      </c>
    </row>
    <row r="2861" spans="1:14" x14ac:dyDescent="0.3">
      <c r="A2861" t="s">
        <v>4156</v>
      </c>
      <c r="B2861" s="1">
        <v>44975</v>
      </c>
      <c r="C2861" t="s">
        <v>3138</v>
      </c>
      <c r="D2861" t="s">
        <v>12</v>
      </c>
      <c r="E2861" t="s">
        <v>19</v>
      </c>
      <c r="F2861" t="s">
        <v>29</v>
      </c>
      <c r="G2861" t="s">
        <v>979</v>
      </c>
      <c r="H2861" s="8">
        <v>743.73</v>
      </c>
      <c r="I2861" s="8">
        <v>-5.2</v>
      </c>
      <c r="J2861" s="8">
        <v>0.26</v>
      </c>
      <c r="K2861" t="str">
        <f>IF(SalesData[[#This Row],[Profit]]&gt;0,"Profit","Loss")</f>
        <v>Loss</v>
      </c>
      <c r="L2861" s="8">
        <f>SalesData[[#This Row],[Profit]]/SalesData[[#This Row],[Sales]]</f>
        <v>-6.991784653032687E-3</v>
      </c>
      <c r="M2861" t="str">
        <f>TEXT(SalesData[[#This Row],[Order_Date]],"mmm")</f>
        <v>Feb</v>
      </c>
      <c r="N2861">
        <f>YEAR(SalesData[[#This Row],[Order_Date]])</f>
        <v>2023</v>
      </c>
    </row>
    <row r="2862" spans="1:14" x14ac:dyDescent="0.3">
      <c r="A2862" t="s">
        <v>4157</v>
      </c>
      <c r="B2862" s="1">
        <v>45091</v>
      </c>
      <c r="C2862" t="s">
        <v>397</v>
      </c>
      <c r="D2862" t="s">
        <v>12</v>
      </c>
      <c r="E2862" t="s">
        <v>13</v>
      </c>
      <c r="F2862" t="s">
        <v>36</v>
      </c>
      <c r="G2862" t="s">
        <v>417</v>
      </c>
      <c r="H2862" s="8">
        <v>4423.1099999999997</v>
      </c>
      <c r="I2862" s="8">
        <v>-28.04</v>
      </c>
      <c r="J2862" s="8">
        <v>0.03</v>
      </c>
      <c r="K2862" t="str">
        <f>IF(SalesData[[#This Row],[Profit]]&gt;0,"Profit","Loss")</f>
        <v>Loss</v>
      </c>
      <c r="L2862" s="8">
        <f>SalesData[[#This Row],[Profit]]/SalesData[[#This Row],[Sales]]</f>
        <v>-6.3394308529518828E-3</v>
      </c>
      <c r="M2862" t="str">
        <f>TEXT(SalesData[[#This Row],[Order_Date]],"mmm")</f>
        <v>Jun</v>
      </c>
      <c r="N2862">
        <f>YEAR(SalesData[[#This Row],[Order_Date]])</f>
        <v>2023</v>
      </c>
    </row>
    <row r="2863" spans="1:14" x14ac:dyDescent="0.3">
      <c r="A2863" t="s">
        <v>4158</v>
      </c>
      <c r="B2863" s="1">
        <v>44674</v>
      </c>
      <c r="C2863" t="s">
        <v>3155</v>
      </c>
      <c r="D2863" t="s">
        <v>40</v>
      </c>
      <c r="E2863" t="s">
        <v>56</v>
      </c>
      <c r="F2863" t="s">
        <v>57</v>
      </c>
      <c r="G2863" t="s">
        <v>1980</v>
      </c>
      <c r="H2863" s="8">
        <v>2318.7800000000002</v>
      </c>
      <c r="I2863" s="8">
        <v>-880.76</v>
      </c>
      <c r="J2863" s="8">
        <v>0.28000000000000003</v>
      </c>
      <c r="K2863" t="str">
        <f>IF(SalesData[[#This Row],[Profit]]&gt;0,"Profit","Loss")</f>
        <v>Loss</v>
      </c>
      <c r="L2863" s="8">
        <f>SalesData[[#This Row],[Profit]]/SalesData[[#This Row],[Sales]]</f>
        <v>-0.37983767325921386</v>
      </c>
      <c r="M2863" t="str">
        <f>TEXT(SalesData[[#This Row],[Order_Date]],"mmm")</f>
        <v>Apr</v>
      </c>
      <c r="N2863">
        <f>YEAR(SalesData[[#This Row],[Order_Date]])</f>
        <v>2022</v>
      </c>
    </row>
    <row r="2864" spans="1:14" x14ac:dyDescent="0.3">
      <c r="A2864" t="s">
        <v>4159</v>
      </c>
      <c r="B2864" s="1">
        <v>44582</v>
      </c>
      <c r="C2864" t="s">
        <v>685</v>
      </c>
      <c r="D2864" t="s">
        <v>18</v>
      </c>
      <c r="E2864" t="s">
        <v>56</v>
      </c>
      <c r="F2864" t="s">
        <v>73</v>
      </c>
      <c r="G2864" t="s">
        <v>178</v>
      </c>
      <c r="H2864" s="8">
        <v>2326.67</v>
      </c>
      <c r="I2864" s="8">
        <v>-262.31</v>
      </c>
      <c r="J2864" s="8">
        <v>0.25</v>
      </c>
      <c r="K2864" t="str">
        <f>IF(SalesData[[#This Row],[Profit]]&gt;0,"Profit","Loss")</f>
        <v>Loss</v>
      </c>
      <c r="L2864" s="8">
        <f>SalesData[[#This Row],[Profit]]/SalesData[[#This Row],[Sales]]</f>
        <v>-0.11274052615970465</v>
      </c>
      <c r="M2864" t="str">
        <f>TEXT(SalesData[[#This Row],[Order_Date]],"mmm")</f>
        <v>Jan</v>
      </c>
      <c r="N2864">
        <f>YEAR(SalesData[[#This Row],[Order_Date]])</f>
        <v>2022</v>
      </c>
    </row>
    <row r="2865" spans="1:14" x14ac:dyDescent="0.3">
      <c r="A2865" t="s">
        <v>4160</v>
      </c>
      <c r="B2865" s="1">
        <v>44815</v>
      </c>
      <c r="C2865" t="s">
        <v>364</v>
      </c>
      <c r="D2865" t="s">
        <v>40</v>
      </c>
      <c r="E2865" t="s">
        <v>19</v>
      </c>
      <c r="F2865" t="s">
        <v>29</v>
      </c>
      <c r="G2865" t="s">
        <v>782</v>
      </c>
      <c r="H2865" s="8">
        <v>263</v>
      </c>
      <c r="I2865" s="8">
        <v>-87.65</v>
      </c>
      <c r="J2865" s="8">
        <v>0.27</v>
      </c>
      <c r="K2865" t="str">
        <f>IF(SalesData[[#This Row],[Profit]]&gt;0,"Profit","Loss")</f>
        <v>Loss</v>
      </c>
      <c r="L2865" s="8">
        <f>SalesData[[#This Row],[Profit]]/SalesData[[#This Row],[Sales]]</f>
        <v>-0.33326996197718634</v>
      </c>
      <c r="M2865" t="str">
        <f>TEXT(SalesData[[#This Row],[Order_Date]],"mmm")</f>
        <v>Sep</v>
      </c>
      <c r="N2865">
        <f>YEAR(SalesData[[#This Row],[Order_Date]])</f>
        <v>2022</v>
      </c>
    </row>
    <row r="2866" spans="1:14" x14ac:dyDescent="0.3">
      <c r="A2866" t="s">
        <v>4161</v>
      </c>
      <c r="B2866" s="1">
        <v>45222</v>
      </c>
      <c r="C2866" t="s">
        <v>948</v>
      </c>
      <c r="D2866" t="s">
        <v>18</v>
      </c>
      <c r="E2866" t="s">
        <v>19</v>
      </c>
      <c r="F2866" t="s">
        <v>141</v>
      </c>
      <c r="G2866" t="s">
        <v>1019</v>
      </c>
      <c r="H2866" s="8">
        <v>2595.06</v>
      </c>
      <c r="I2866" s="8">
        <v>-57.57</v>
      </c>
      <c r="J2866" s="8">
        <v>0.06</v>
      </c>
      <c r="K2866" t="str">
        <f>IF(SalesData[[#This Row],[Profit]]&gt;0,"Profit","Loss")</f>
        <v>Loss</v>
      </c>
      <c r="L2866" s="8">
        <f>SalesData[[#This Row],[Profit]]/SalesData[[#This Row],[Sales]]</f>
        <v>-2.2184458162817045E-2</v>
      </c>
      <c r="M2866" t="str">
        <f>TEXT(SalesData[[#This Row],[Order_Date]],"mmm")</f>
        <v>Oct</v>
      </c>
      <c r="N2866">
        <f>YEAR(SalesData[[#This Row],[Order_Date]])</f>
        <v>2023</v>
      </c>
    </row>
    <row r="2867" spans="1:14" x14ac:dyDescent="0.3">
      <c r="A2867" t="s">
        <v>4162</v>
      </c>
      <c r="B2867" s="1">
        <v>44700</v>
      </c>
      <c r="C2867" t="s">
        <v>1792</v>
      </c>
      <c r="D2867" t="s">
        <v>18</v>
      </c>
      <c r="E2867" t="s">
        <v>19</v>
      </c>
      <c r="F2867" t="s">
        <v>29</v>
      </c>
      <c r="G2867" t="s">
        <v>1650</v>
      </c>
      <c r="H2867" s="8">
        <v>3534.13</v>
      </c>
      <c r="I2867" s="8">
        <v>-1406.07</v>
      </c>
      <c r="J2867" s="8">
        <v>0.27</v>
      </c>
      <c r="K2867" t="str">
        <f>IF(SalesData[[#This Row],[Profit]]&gt;0,"Profit","Loss")</f>
        <v>Loss</v>
      </c>
      <c r="L2867" s="8">
        <f>SalesData[[#This Row],[Profit]]/SalesData[[#This Row],[Sales]]</f>
        <v>-0.39785463466256188</v>
      </c>
      <c r="M2867" t="str">
        <f>TEXT(SalesData[[#This Row],[Order_Date]],"mmm")</f>
        <v>May</v>
      </c>
      <c r="N2867">
        <f>YEAR(SalesData[[#This Row],[Order_Date]])</f>
        <v>2022</v>
      </c>
    </row>
    <row r="2868" spans="1:14" x14ac:dyDescent="0.3">
      <c r="A2868" t="s">
        <v>4163</v>
      </c>
      <c r="B2868" s="1">
        <v>45191</v>
      </c>
      <c r="C2868" t="s">
        <v>1325</v>
      </c>
      <c r="D2868" t="s">
        <v>28</v>
      </c>
      <c r="E2868" t="s">
        <v>19</v>
      </c>
      <c r="F2868" t="s">
        <v>29</v>
      </c>
      <c r="G2868" t="s">
        <v>1615</v>
      </c>
      <c r="H2868" s="8">
        <v>4565</v>
      </c>
      <c r="I2868" s="8">
        <v>345.39</v>
      </c>
      <c r="J2868" s="8">
        <v>0.19</v>
      </c>
      <c r="K2868" t="str">
        <f>IF(SalesData[[#This Row],[Profit]]&gt;0,"Profit","Loss")</f>
        <v>Profit</v>
      </c>
      <c r="L2868" s="8">
        <f>SalesData[[#This Row],[Profit]]/SalesData[[#This Row],[Sales]]</f>
        <v>7.5660460021905795E-2</v>
      </c>
      <c r="M2868" t="str">
        <f>TEXT(SalesData[[#This Row],[Order_Date]],"mmm")</f>
        <v>Sep</v>
      </c>
      <c r="N2868">
        <f>YEAR(SalesData[[#This Row],[Order_Date]])</f>
        <v>2023</v>
      </c>
    </row>
    <row r="2869" spans="1:14" x14ac:dyDescent="0.3">
      <c r="A2869" t="s">
        <v>4164</v>
      </c>
      <c r="B2869" s="1">
        <v>45254</v>
      </c>
      <c r="C2869" t="s">
        <v>1336</v>
      </c>
      <c r="D2869" t="s">
        <v>12</v>
      </c>
      <c r="E2869" t="s">
        <v>13</v>
      </c>
      <c r="F2869" t="s">
        <v>24</v>
      </c>
      <c r="G2869" t="s">
        <v>1030</v>
      </c>
      <c r="H2869" s="8">
        <v>2211.4499999999998</v>
      </c>
      <c r="I2869" s="8">
        <v>411.23</v>
      </c>
      <c r="J2869" s="8">
        <v>7.0000000000000007E-2</v>
      </c>
      <c r="K2869" t="str">
        <f>IF(SalesData[[#This Row],[Profit]]&gt;0,"Profit","Loss")</f>
        <v>Profit</v>
      </c>
      <c r="L2869" s="8">
        <f>SalesData[[#This Row],[Profit]]/SalesData[[#This Row],[Sales]]</f>
        <v>0.1859549164575279</v>
      </c>
      <c r="M2869" t="str">
        <f>TEXT(SalesData[[#This Row],[Order_Date]],"mmm")</f>
        <v>Nov</v>
      </c>
      <c r="N2869">
        <f>YEAR(SalesData[[#This Row],[Order_Date]])</f>
        <v>2023</v>
      </c>
    </row>
    <row r="2870" spans="1:14" x14ac:dyDescent="0.3">
      <c r="A2870" t="s">
        <v>4165</v>
      </c>
      <c r="B2870" s="1">
        <v>44735</v>
      </c>
      <c r="C2870" t="s">
        <v>113</v>
      </c>
      <c r="D2870" t="s">
        <v>28</v>
      </c>
      <c r="E2870" t="s">
        <v>19</v>
      </c>
      <c r="F2870" t="s">
        <v>20</v>
      </c>
      <c r="G2870" t="s">
        <v>2463</v>
      </c>
      <c r="H2870" s="8">
        <v>2905.94</v>
      </c>
      <c r="I2870" s="8">
        <v>429.62</v>
      </c>
      <c r="J2870" s="8">
        <v>0.06</v>
      </c>
      <c r="K2870" t="str">
        <f>IF(SalesData[[#This Row],[Profit]]&gt;0,"Profit","Loss")</f>
        <v>Profit</v>
      </c>
      <c r="L2870" s="8">
        <f>SalesData[[#This Row],[Profit]]/SalesData[[#This Row],[Sales]]</f>
        <v>0.14784200637315292</v>
      </c>
      <c r="M2870" t="str">
        <f>TEXT(SalesData[[#This Row],[Order_Date]],"mmm")</f>
        <v>Jun</v>
      </c>
      <c r="N2870">
        <f>YEAR(SalesData[[#This Row],[Order_Date]])</f>
        <v>2022</v>
      </c>
    </row>
    <row r="2871" spans="1:14" x14ac:dyDescent="0.3">
      <c r="A2871" t="s">
        <v>4166</v>
      </c>
      <c r="B2871" s="1">
        <v>44584</v>
      </c>
      <c r="C2871" t="s">
        <v>1058</v>
      </c>
      <c r="D2871" t="s">
        <v>40</v>
      </c>
      <c r="E2871" t="s">
        <v>56</v>
      </c>
      <c r="F2871" t="s">
        <v>73</v>
      </c>
      <c r="G2871" t="s">
        <v>840</v>
      </c>
      <c r="H2871" s="8">
        <v>4234.79</v>
      </c>
      <c r="I2871" s="8">
        <v>-243.04</v>
      </c>
      <c r="J2871" s="8">
        <v>0.24</v>
      </c>
      <c r="K2871" t="str">
        <f>IF(SalesData[[#This Row],[Profit]]&gt;0,"Profit","Loss")</f>
        <v>Loss</v>
      </c>
      <c r="L2871" s="8">
        <f>SalesData[[#This Row],[Profit]]/SalesData[[#This Row],[Sales]]</f>
        <v>-5.7391275600442992E-2</v>
      </c>
      <c r="M2871" t="str">
        <f>TEXT(SalesData[[#This Row],[Order_Date]],"mmm")</f>
        <v>Jan</v>
      </c>
      <c r="N2871">
        <f>YEAR(SalesData[[#This Row],[Order_Date]])</f>
        <v>2022</v>
      </c>
    </row>
    <row r="2872" spans="1:14" x14ac:dyDescent="0.3">
      <c r="A2872" t="s">
        <v>4167</v>
      </c>
      <c r="B2872" s="1">
        <v>45225</v>
      </c>
      <c r="C2872" t="s">
        <v>17</v>
      </c>
      <c r="D2872" t="s">
        <v>28</v>
      </c>
      <c r="E2872" t="s">
        <v>56</v>
      </c>
      <c r="F2872" t="s">
        <v>57</v>
      </c>
      <c r="G2872" t="s">
        <v>312</v>
      </c>
      <c r="H2872" s="8">
        <v>4159.34</v>
      </c>
      <c r="I2872" s="8">
        <v>-1558.88</v>
      </c>
      <c r="J2872" s="8">
        <v>0.21</v>
      </c>
      <c r="K2872" t="str">
        <f>IF(SalesData[[#This Row],[Profit]]&gt;0,"Profit","Loss")</f>
        <v>Loss</v>
      </c>
      <c r="L2872" s="8">
        <f>SalesData[[#This Row],[Profit]]/SalesData[[#This Row],[Sales]]</f>
        <v>-0.37479023114244087</v>
      </c>
      <c r="M2872" t="str">
        <f>TEXT(SalesData[[#This Row],[Order_Date]],"mmm")</f>
        <v>Oct</v>
      </c>
      <c r="N2872">
        <f>YEAR(SalesData[[#This Row],[Order_Date]])</f>
        <v>2023</v>
      </c>
    </row>
    <row r="2873" spans="1:14" x14ac:dyDescent="0.3">
      <c r="A2873" t="s">
        <v>4168</v>
      </c>
      <c r="B2873" s="1">
        <v>44592</v>
      </c>
      <c r="C2873" t="s">
        <v>696</v>
      </c>
      <c r="D2873" t="s">
        <v>28</v>
      </c>
      <c r="E2873" t="s">
        <v>13</v>
      </c>
      <c r="F2873" t="s">
        <v>14</v>
      </c>
      <c r="G2873" t="s">
        <v>1076</v>
      </c>
      <c r="H2873" s="8">
        <v>2770.82</v>
      </c>
      <c r="I2873" s="8">
        <v>315.8</v>
      </c>
      <c r="J2873" s="8">
        <v>0.12</v>
      </c>
      <c r="K2873" t="str">
        <f>IF(SalesData[[#This Row],[Profit]]&gt;0,"Profit","Loss")</f>
        <v>Profit</v>
      </c>
      <c r="L2873" s="8">
        <f>SalesData[[#This Row],[Profit]]/SalesData[[#This Row],[Sales]]</f>
        <v>0.11397348077464432</v>
      </c>
      <c r="M2873" t="str">
        <f>TEXT(SalesData[[#This Row],[Order_Date]],"mmm")</f>
        <v>Jan</v>
      </c>
      <c r="N2873">
        <f>YEAR(SalesData[[#This Row],[Order_Date]])</f>
        <v>2022</v>
      </c>
    </row>
    <row r="2874" spans="1:14" x14ac:dyDescent="0.3">
      <c r="A2874" t="s">
        <v>4169</v>
      </c>
      <c r="B2874" s="1">
        <v>45254</v>
      </c>
      <c r="C2874" t="s">
        <v>2505</v>
      </c>
      <c r="D2874" t="s">
        <v>28</v>
      </c>
      <c r="E2874" t="s">
        <v>56</v>
      </c>
      <c r="F2874" t="s">
        <v>57</v>
      </c>
      <c r="G2874" t="s">
        <v>531</v>
      </c>
      <c r="H2874" s="8">
        <v>3836.43</v>
      </c>
      <c r="I2874" s="8">
        <v>-852.78</v>
      </c>
      <c r="J2874" s="8">
        <v>0.12</v>
      </c>
      <c r="K2874" t="str">
        <f>IF(SalesData[[#This Row],[Profit]]&gt;0,"Profit","Loss")</f>
        <v>Loss</v>
      </c>
      <c r="L2874" s="8">
        <f>SalesData[[#This Row],[Profit]]/SalesData[[#This Row],[Sales]]</f>
        <v>-0.22228478038176117</v>
      </c>
      <c r="M2874" t="str">
        <f>TEXT(SalesData[[#This Row],[Order_Date]],"mmm")</f>
        <v>Nov</v>
      </c>
      <c r="N2874">
        <f>YEAR(SalesData[[#This Row],[Order_Date]])</f>
        <v>2023</v>
      </c>
    </row>
    <row r="2875" spans="1:14" x14ac:dyDescent="0.3">
      <c r="A2875" t="s">
        <v>4170</v>
      </c>
      <c r="B2875" s="1">
        <v>44644</v>
      </c>
      <c r="C2875" t="s">
        <v>859</v>
      </c>
      <c r="D2875" t="s">
        <v>18</v>
      </c>
      <c r="E2875" t="s">
        <v>13</v>
      </c>
      <c r="F2875" t="s">
        <v>24</v>
      </c>
      <c r="G2875" t="s">
        <v>1835</v>
      </c>
      <c r="H2875" s="8">
        <v>968.83</v>
      </c>
      <c r="I2875" s="8">
        <v>51.91</v>
      </c>
      <c r="J2875" s="8">
        <v>0.25</v>
      </c>
      <c r="K2875" t="str">
        <f>IF(SalesData[[#This Row],[Profit]]&gt;0,"Profit","Loss")</f>
        <v>Profit</v>
      </c>
      <c r="L2875" s="8">
        <f>SalesData[[#This Row],[Profit]]/SalesData[[#This Row],[Sales]]</f>
        <v>5.3580091450512471E-2</v>
      </c>
      <c r="M2875" t="str">
        <f>TEXT(SalesData[[#This Row],[Order_Date]],"mmm")</f>
        <v>Mar</v>
      </c>
      <c r="N2875">
        <f>YEAR(SalesData[[#This Row],[Order_Date]])</f>
        <v>2022</v>
      </c>
    </row>
    <row r="2876" spans="1:14" x14ac:dyDescent="0.3">
      <c r="A2876" t="s">
        <v>4171</v>
      </c>
      <c r="B2876" s="1">
        <v>44770</v>
      </c>
      <c r="C2876" t="s">
        <v>322</v>
      </c>
      <c r="D2876" t="s">
        <v>18</v>
      </c>
      <c r="E2876" t="s">
        <v>56</v>
      </c>
      <c r="F2876" t="s">
        <v>73</v>
      </c>
      <c r="G2876" t="s">
        <v>1007</v>
      </c>
      <c r="H2876" s="8">
        <v>854.2</v>
      </c>
      <c r="I2876" s="8">
        <v>144.76</v>
      </c>
      <c r="J2876" s="8">
        <v>0.21</v>
      </c>
      <c r="K2876" t="str">
        <f>IF(SalesData[[#This Row],[Profit]]&gt;0,"Profit","Loss")</f>
        <v>Profit</v>
      </c>
      <c r="L2876" s="8">
        <f>SalesData[[#This Row],[Profit]]/SalesData[[#This Row],[Sales]]</f>
        <v>0.16946850854600795</v>
      </c>
      <c r="M2876" t="str">
        <f>TEXT(SalesData[[#This Row],[Order_Date]],"mmm")</f>
        <v>Jul</v>
      </c>
      <c r="N2876">
        <f>YEAR(SalesData[[#This Row],[Order_Date]])</f>
        <v>2022</v>
      </c>
    </row>
    <row r="2877" spans="1:14" x14ac:dyDescent="0.3">
      <c r="A2877" t="s">
        <v>4172</v>
      </c>
      <c r="B2877" s="1">
        <v>44877</v>
      </c>
      <c r="C2877" t="s">
        <v>536</v>
      </c>
      <c r="D2877" t="s">
        <v>40</v>
      </c>
      <c r="E2877" t="s">
        <v>56</v>
      </c>
      <c r="F2877" t="s">
        <v>95</v>
      </c>
      <c r="G2877" t="s">
        <v>3274</v>
      </c>
      <c r="H2877" s="8">
        <v>3713.93</v>
      </c>
      <c r="I2877" s="8">
        <v>-592.98</v>
      </c>
      <c r="J2877" s="8">
        <v>0.28000000000000003</v>
      </c>
      <c r="K2877" t="str">
        <f>IF(SalesData[[#This Row],[Profit]]&gt;0,"Profit","Loss")</f>
        <v>Loss</v>
      </c>
      <c r="L2877" s="8">
        <f>SalesData[[#This Row],[Profit]]/SalesData[[#This Row],[Sales]]</f>
        <v>-0.1596637524132119</v>
      </c>
      <c r="M2877" t="str">
        <f>TEXT(SalesData[[#This Row],[Order_Date]],"mmm")</f>
        <v>Nov</v>
      </c>
      <c r="N2877">
        <f>YEAR(SalesData[[#This Row],[Order_Date]])</f>
        <v>2022</v>
      </c>
    </row>
    <row r="2878" spans="1:14" x14ac:dyDescent="0.3">
      <c r="A2878" t="s">
        <v>4173</v>
      </c>
      <c r="B2878" s="1">
        <v>45167</v>
      </c>
      <c r="C2878" t="s">
        <v>1854</v>
      </c>
      <c r="D2878" t="s">
        <v>18</v>
      </c>
      <c r="E2878" t="s">
        <v>19</v>
      </c>
      <c r="F2878" t="s">
        <v>141</v>
      </c>
      <c r="G2878" t="s">
        <v>64</v>
      </c>
      <c r="H2878" s="8">
        <v>1530.49</v>
      </c>
      <c r="I2878" s="8">
        <v>337.9</v>
      </c>
      <c r="J2878" s="8">
        <v>0.01</v>
      </c>
      <c r="K2878" t="str">
        <f>IF(SalesData[[#This Row],[Profit]]&gt;0,"Profit","Loss")</f>
        <v>Profit</v>
      </c>
      <c r="L2878" s="8">
        <f>SalesData[[#This Row],[Profit]]/SalesData[[#This Row],[Sales]]</f>
        <v>0.2207789662134349</v>
      </c>
      <c r="M2878" t="str">
        <f>TEXT(SalesData[[#This Row],[Order_Date]],"mmm")</f>
        <v>Aug</v>
      </c>
      <c r="N2878">
        <f>YEAR(SalesData[[#This Row],[Order_Date]])</f>
        <v>2023</v>
      </c>
    </row>
    <row r="2879" spans="1:14" x14ac:dyDescent="0.3">
      <c r="A2879" t="s">
        <v>4174</v>
      </c>
      <c r="B2879" s="1">
        <v>45217</v>
      </c>
      <c r="C2879" t="s">
        <v>2408</v>
      </c>
      <c r="D2879" t="s">
        <v>12</v>
      </c>
      <c r="E2879" t="s">
        <v>56</v>
      </c>
      <c r="F2879" t="s">
        <v>73</v>
      </c>
      <c r="G2879" t="s">
        <v>67</v>
      </c>
      <c r="H2879" s="8">
        <v>3878.31</v>
      </c>
      <c r="I2879" s="8">
        <v>-1196.49</v>
      </c>
      <c r="J2879" s="8">
        <v>0.28999999999999998</v>
      </c>
      <c r="K2879" t="str">
        <f>IF(SalesData[[#This Row],[Profit]]&gt;0,"Profit","Loss")</f>
        <v>Loss</v>
      </c>
      <c r="L2879" s="8">
        <f>SalesData[[#This Row],[Profit]]/SalesData[[#This Row],[Sales]]</f>
        <v>-0.30850808728544132</v>
      </c>
      <c r="M2879" t="str">
        <f>TEXT(SalesData[[#This Row],[Order_Date]],"mmm")</f>
        <v>Oct</v>
      </c>
      <c r="N2879">
        <f>YEAR(SalesData[[#This Row],[Order_Date]])</f>
        <v>2023</v>
      </c>
    </row>
    <row r="2880" spans="1:14" x14ac:dyDescent="0.3">
      <c r="A2880" t="s">
        <v>4175</v>
      </c>
      <c r="B2880" s="1">
        <v>44589</v>
      </c>
      <c r="C2880" t="s">
        <v>39</v>
      </c>
      <c r="D2880" t="s">
        <v>18</v>
      </c>
      <c r="E2880" t="s">
        <v>19</v>
      </c>
      <c r="F2880" t="s">
        <v>29</v>
      </c>
      <c r="G2880" t="s">
        <v>843</v>
      </c>
      <c r="H2880" s="8">
        <v>3897.93</v>
      </c>
      <c r="I2880" s="8">
        <v>-502.33</v>
      </c>
      <c r="J2880" s="8">
        <v>0.18</v>
      </c>
      <c r="K2880" t="str">
        <f>IF(SalesData[[#This Row],[Profit]]&gt;0,"Profit","Loss")</f>
        <v>Loss</v>
      </c>
      <c r="L2880" s="8">
        <f>SalesData[[#This Row],[Profit]]/SalesData[[#This Row],[Sales]]</f>
        <v>-0.12887096484544361</v>
      </c>
      <c r="M2880" t="str">
        <f>TEXT(SalesData[[#This Row],[Order_Date]],"mmm")</f>
        <v>Jan</v>
      </c>
      <c r="N2880">
        <f>YEAR(SalesData[[#This Row],[Order_Date]])</f>
        <v>2022</v>
      </c>
    </row>
    <row r="2881" spans="1:14" x14ac:dyDescent="0.3">
      <c r="A2881" t="s">
        <v>4176</v>
      </c>
      <c r="B2881" s="1">
        <v>44826</v>
      </c>
      <c r="C2881" t="s">
        <v>2803</v>
      </c>
      <c r="D2881" t="s">
        <v>18</v>
      </c>
      <c r="E2881" t="s">
        <v>13</v>
      </c>
      <c r="F2881" t="s">
        <v>36</v>
      </c>
      <c r="G2881" t="s">
        <v>2374</v>
      </c>
      <c r="H2881" s="8">
        <v>4115.68</v>
      </c>
      <c r="I2881" s="8">
        <v>-1353.26</v>
      </c>
      <c r="J2881" s="8">
        <v>0.13</v>
      </c>
      <c r="K2881" t="str">
        <f>IF(SalesData[[#This Row],[Profit]]&gt;0,"Profit","Loss")</f>
        <v>Loss</v>
      </c>
      <c r="L2881" s="8">
        <f>SalesData[[#This Row],[Profit]]/SalesData[[#This Row],[Sales]]</f>
        <v>-0.32880593243400846</v>
      </c>
      <c r="M2881" t="str">
        <f>TEXT(SalesData[[#This Row],[Order_Date]],"mmm")</f>
        <v>Sep</v>
      </c>
      <c r="N2881">
        <f>YEAR(SalesData[[#This Row],[Order_Date]])</f>
        <v>2022</v>
      </c>
    </row>
    <row r="2882" spans="1:14" x14ac:dyDescent="0.3">
      <c r="A2882" t="s">
        <v>4177</v>
      </c>
      <c r="B2882" s="1">
        <v>45236</v>
      </c>
      <c r="C2882" t="s">
        <v>256</v>
      </c>
      <c r="D2882" t="s">
        <v>12</v>
      </c>
      <c r="E2882" t="s">
        <v>19</v>
      </c>
      <c r="F2882" t="s">
        <v>20</v>
      </c>
      <c r="G2882" t="s">
        <v>25</v>
      </c>
      <c r="H2882" s="8">
        <v>2850.91</v>
      </c>
      <c r="I2882" s="8">
        <v>329.18</v>
      </c>
      <c r="J2882" s="8">
        <v>0.15</v>
      </c>
      <c r="K2882" t="str">
        <f>IF(SalesData[[#This Row],[Profit]]&gt;0,"Profit","Loss")</f>
        <v>Profit</v>
      </c>
      <c r="L2882" s="8">
        <f>SalesData[[#This Row],[Profit]]/SalesData[[#This Row],[Sales]]</f>
        <v>0.11546488665022749</v>
      </c>
      <c r="M2882" t="str">
        <f>TEXT(SalesData[[#This Row],[Order_Date]],"mmm")</f>
        <v>Nov</v>
      </c>
      <c r="N2882">
        <f>YEAR(SalesData[[#This Row],[Order_Date]])</f>
        <v>2023</v>
      </c>
    </row>
    <row r="2883" spans="1:14" x14ac:dyDescent="0.3">
      <c r="A2883" t="s">
        <v>4178</v>
      </c>
      <c r="B2883" s="1">
        <v>45113</v>
      </c>
      <c r="C2883" t="s">
        <v>147</v>
      </c>
      <c r="D2883" t="s">
        <v>28</v>
      </c>
      <c r="E2883" t="s">
        <v>56</v>
      </c>
      <c r="F2883" t="s">
        <v>73</v>
      </c>
      <c r="G2883" t="s">
        <v>406</v>
      </c>
      <c r="H2883" s="8">
        <v>3423.64</v>
      </c>
      <c r="I2883" s="8">
        <v>-480.87</v>
      </c>
      <c r="J2883" s="8">
        <v>0.22</v>
      </c>
      <c r="K2883" t="str">
        <f>IF(SalesData[[#This Row],[Profit]]&gt;0,"Profit","Loss")</f>
        <v>Loss</v>
      </c>
      <c r="L2883" s="8">
        <f>SalesData[[#This Row],[Profit]]/SalesData[[#This Row],[Sales]]</f>
        <v>-0.14045577221904174</v>
      </c>
      <c r="M2883" t="str">
        <f>TEXT(SalesData[[#This Row],[Order_Date]],"mmm")</f>
        <v>Jul</v>
      </c>
      <c r="N2883">
        <f>YEAR(SalesData[[#This Row],[Order_Date]])</f>
        <v>2023</v>
      </c>
    </row>
    <row r="2884" spans="1:14" x14ac:dyDescent="0.3">
      <c r="A2884" t="s">
        <v>4179</v>
      </c>
      <c r="B2884" s="1">
        <v>45241</v>
      </c>
      <c r="C2884" t="s">
        <v>3430</v>
      </c>
      <c r="D2884" t="s">
        <v>12</v>
      </c>
      <c r="E2884" t="s">
        <v>13</v>
      </c>
      <c r="F2884" t="s">
        <v>14</v>
      </c>
      <c r="G2884" t="s">
        <v>878</v>
      </c>
      <c r="H2884" s="8">
        <v>1993.19</v>
      </c>
      <c r="I2884" s="8">
        <v>148.56</v>
      </c>
      <c r="J2884" s="8">
        <v>0.11</v>
      </c>
      <c r="K2884" t="str">
        <f>IF(SalesData[[#This Row],[Profit]]&gt;0,"Profit","Loss")</f>
        <v>Profit</v>
      </c>
      <c r="L2884" s="8">
        <f>SalesData[[#This Row],[Profit]]/SalesData[[#This Row],[Sales]]</f>
        <v>7.4533787546596161E-2</v>
      </c>
      <c r="M2884" t="str">
        <f>TEXT(SalesData[[#This Row],[Order_Date]],"mmm")</f>
        <v>Nov</v>
      </c>
      <c r="N2884">
        <f>YEAR(SalesData[[#This Row],[Order_Date]])</f>
        <v>2023</v>
      </c>
    </row>
    <row r="2885" spans="1:14" x14ac:dyDescent="0.3">
      <c r="A2885" t="s">
        <v>4180</v>
      </c>
      <c r="B2885" s="1">
        <v>44615</v>
      </c>
      <c r="C2885" t="s">
        <v>278</v>
      </c>
      <c r="D2885" t="s">
        <v>28</v>
      </c>
      <c r="E2885" t="s">
        <v>13</v>
      </c>
      <c r="F2885" t="s">
        <v>24</v>
      </c>
      <c r="G2885" t="s">
        <v>629</v>
      </c>
      <c r="H2885" s="8">
        <v>2941.5</v>
      </c>
      <c r="I2885" s="8">
        <v>328.74</v>
      </c>
      <c r="J2885" s="8">
        <v>0.23</v>
      </c>
      <c r="K2885" t="str">
        <f>IF(SalesData[[#This Row],[Profit]]&gt;0,"Profit","Loss")</f>
        <v>Profit</v>
      </c>
      <c r="L2885" s="8">
        <f>SalesData[[#This Row],[Profit]]/SalesData[[#This Row],[Sales]]</f>
        <v>0.11175930647628761</v>
      </c>
      <c r="M2885" t="str">
        <f>TEXT(SalesData[[#This Row],[Order_Date]],"mmm")</f>
        <v>Feb</v>
      </c>
      <c r="N2885">
        <f>YEAR(SalesData[[#This Row],[Order_Date]])</f>
        <v>2022</v>
      </c>
    </row>
    <row r="2886" spans="1:14" x14ac:dyDescent="0.3">
      <c r="A2886" t="s">
        <v>4181</v>
      </c>
      <c r="B2886" s="1">
        <v>45231</v>
      </c>
      <c r="C2886" t="s">
        <v>174</v>
      </c>
      <c r="D2886" t="s">
        <v>12</v>
      </c>
      <c r="E2886" t="s">
        <v>19</v>
      </c>
      <c r="F2886" t="s">
        <v>141</v>
      </c>
      <c r="G2886" t="s">
        <v>426</v>
      </c>
      <c r="H2886" s="8">
        <v>4612.9399999999996</v>
      </c>
      <c r="I2886" s="8">
        <v>649.28</v>
      </c>
      <c r="J2886" s="8">
        <v>0.2</v>
      </c>
      <c r="K2886" t="str">
        <f>IF(SalesData[[#This Row],[Profit]]&gt;0,"Profit","Loss")</f>
        <v>Profit</v>
      </c>
      <c r="L2886" s="8">
        <f>SalesData[[#This Row],[Profit]]/SalesData[[#This Row],[Sales]]</f>
        <v>0.14075188491504334</v>
      </c>
      <c r="M2886" t="str">
        <f>TEXT(SalesData[[#This Row],[Order_Date]],"mmm")</f>
        <v>Nov</v>
      </c>
      <c r="N2886">
        <f>YEAR(SalesData[[#This Row],[Order_Date]])</f>
        <v>2023</v>
      </c>
    </row>
    <row r="2887" spans="1:14" x14ac:dyDescent="0.3">
      <c r="A2887" t="s">
        <v>4182</v>
      </c>
      <c r="B2887" s="1">
        <v>44617</v>
      </c>
      <c r="C2887" t="s">
        <v>1671</v>
      </c>
      <c r="D2887" t="s">
        <v>18</v>
      </c>
      <c r="E2887" t="s">
        <v>56</v>
      </c>
      <c r="F2887" t="s">
        <v>57</v>
      </c>
      <c r="G2887" t="s">
        <v>1220</v>
      </c>
      <c r="H2887" s="8">
        <v>4703.46</v>
      </c>
      <c r="I2887" s="8">
        <v>-1699.54</v>
      </c>
      <c r="J2887" s="8">
        <v>0.23</v>
      </c>
      <c r="K2887" t="str">
        <f>IF(SalesData[[#This Row],[Profit]]&gt;0,"Profit","Loss")</f>
        <v>Loss</v>
      </c>
      <c r="L2887" s="8">
        <f>SalesData[[#This Row],[Profit]]/SalesData[[#This Row],[Sales]]</f>
        <v>-0.36133824886360255</v>
      </c>
      <c r="M2887" t="str">
        <f>TEXT(SalesData[[#This Row],[Order_Date]],"mmm")</f>
        <v>Feb</v>
      </c>
      <c r="N2887">
        <f>YEAR(SalesData[[#This Row],[Order_Date]])</f>
        <v>2022</v>
      </c>
    </row>
    <row r="2888" spans="1:14" x14ac:dyDescent="0.3">
      <c r="A2888" t="s">
        <v>4183</v>
      </c>
      <c r="B2888" s="1">
        <v>45087</v>
      </c>
      <c r="C2888" t="s">
        <v>666</v>
      </c>
      <c r="D2888" t="s">
        <v>12</v>
      </c>
      <c r="E2888" t="s">
        <v>13</v>
      </c>
      <c r="F2888" t="s">
        <v>36</v>
      </c>
      <c r="G2888" t="s">
        <v>677</v>
      </c>
      <c r="H2888" s="8">
        <v>308.39999999999998</v>
      </c>
      <c r="I2888" s="8">
        <v>-104.19</v>
      </c>
      <c r="J2888" s="8">
        <v>0.26</v>
      </c>
      <c r="K2888" t="str">
        <f>IF(SalesData[[#This Row],[Profit]]&gt;0,"Profit","Loss")</f>
        <v>Loss</v>
      </c>
      <c r="L2888" s="8">
        <f>SalesData[[#This Row],[Profit]]/SalesData[[#This Row],[Sales]]</f>
        <v>-0.33784046692607006</v>
      </c>
      <c r="M2888" t="str">
        <f>TEXT(SalesData[[#This Row],[Order_Date]],"mmm")</f>
        <v>Jun</v>
      </c>
      <c r="N2888">
        <f>YEAR(SalesData[[#This Row],[Order_Date]])</f>
        <v>2023</v>
      </c>
    </row>
    <row r="2889" spans="1:14" x14ac:dyDescent="0.3">
      <c r="A2889" t="s">
        <v>4184</v>
      </c>
      <c r="B2889" s="1">
        <v>45177</v>
      </c>
      <c r="C2889" t="s">
        <v>2741</v>
      </c>
      <c r="D2889" t="s">
        <v>18</v>
      </c>
      <c r="E2889" t="s">
        <v>13</v>
      </c>
      <c r="F2889" t="s">
        <v>14</v>
      </c>
      <c r="G2889" t="s">
        <v>629</v>
      </c>
      <c r="H2889" s="8">
        <v>2325.88</v>
      </c>
      <c r="I2889" s="8">
        <v>-6.48</v>
      </c>
      <c r="J2889" s="8">
        <v>0.12</v>
      </c>
      <c r="K2889" t="str">
        <f>IF(SalesData[[#This Row],[Profit]]&gt;0,"Profit","Loss")</f>
        <v>Loss</v>
      </c>
      <c r="L2889" s="8">
        <f>SalesData[[#This Row],[Profit]]/SalesData[[#This Row],[Sales]]</f>
        <v>-2.7860422721722533E-3</v>
      </c>
      <c r="M2889" t="str">
        <f>TEXT(SalesData[[#This Row],[Order_Date]],"mmm")</f>
        <v>Sep</v>
      </c>
      <c r="N2889">
        <f>YEAR(SalesData[[#This Row],[Order_Date]])</f>
        <v>2023</v>
      </c>
    </row>
    <row r="2890" spans="1:14" x14ac:dyDescent="0.3">
      <c r="A2890" t="s">
        <v>4185</v>
      </c>
      <c r="B2890" s="1">
        <v>45238</v>
      </c>
      <c r="C2890" t="s">
        <v>1289</v>
      </c>
      <c r="D2890" t="s">
        <v>28</v>
      </c>
      <c r="E2890" t="s">
        <v>19</v>
      </c>
      <c r="F2890" t="s">
        <v>29</v>
      </c>
      <c r="G2890" t="s">
        <v>1046</v>
      </c>
      <c r="H2890" s="8">
        <v>4227.99</v>
      </c>
      <c r="I2890" s="8">
        <v>1132.75</v>
      </c>
      <c r="J2890" s="8">
        <v>0.1</v>
      </c>
      <c r="K2890" t="str">
        <f>IF(SalesData[[#This Row],[Profit]]&gt;0,"Profit","Loss")</f>
        <v>Profit</v>
      </c>
      <c r="L2890" s="8">
        <f>SalesData[[#This Row],[Profit]]/SalesData[[#This Row],[Sales]]</f>
        <v>0.26791690614216213</v>
      </c>
      <c r="M2890" t="str">
        <f>TEXT(SalesData[[#This Row],[Order_Date]],"mmm")</f>
        <v>Nov</v>
      </c>
      <c r="N2890">
        <f>YEAR(SalesData[[#This Row],[Order_Date]])</f>
        <v>2023</v>
      </c>
    </row>
    <row r="2891" spans="1:14" x14ac:dyDescent="0.3">
      <c r="A2891" t="s">
        <v>4186</v>
      </c>
      <c r="B2891" s="1">
        <v>44750</v>
      </c>
      <c r="C2891" t="s">
        <v>2238</v>
      </c>
      <c r="D2891" t="s">
        <v>28</v>
      </c>
      <c r="E2891" t="s">
        <v>13</v>
      </c>
      <c r="F2891" t="s">
        <v>24</v>
      </c>
      <c r="G2891" t="s">
        <v>1988</v>
      </c>
      <c r="H2891" s="8">
        <v>3332.88</v>
      </c>
      <c r="I2891" s="8">
        <v>269.45</v>
      </c>
      <c r="J2891" s="8">
        <v>0.28999999999999998</v>
      </c>
      <c r="K2891" t="str">
        <f>IF(SalesData[[#This Row],[Profit]]&gt;0,"Profit","Loss")</f>
        <v>Profit</v>
      </c>
      <c r="L2891" s="8">
        <f>SalesData[[#This Row],[Profit]]/SalesData[[#This Row],[Sales]]</f>
        <v>8.0845995055327524E-2</v>
      </c>
      <c r="M2891" t="str">
        <f>TEXT(SalesData[[#This Row],[Order_Date]],"mmm")</f>
        <v>Jul</v>
      </c>
      <c r="N2891">
        <f>YEAR(SalesData[[#This Row],[Order_Date]])</f>
        <v>2022</v>
      </c>
    </row>
    <row r="2892" spans="1:14" x14ac:dyDescent="0.3">
      <c r="A2892" t="s">
        <v>4187</v>
      </c>
      <c r="B2892" s="1">
        <v>45168</v>
      </c>
      <c r="C2892" t="s">
        <v>1418</v>
      </c>
      <c r="D2892" t="s">
        <v>12</v>
      </c>
      <c r="E2892" t="s">
        <v>19</v>
      </c>
      <c r="F2892" t="s">
        <v>20</v>
      </c>
      <c r="G2892" t="s">
        <v>795</v>
      </c>
      <c r="H2892" s="8">
        <v>468.78</v>
      </c>
      <c r="I2892" s="8">
        <v>-49.79</v>
      </c>
      <c r="J2892" s="8">
        <v>0.16</v>
      </c>
      <c r="K2892" t="str">
        <f>IF(SalesData[[#This Row],[Profit]]&gt;0,"Profit","Loss")</f>
        <v>Loss</v>
      </c>
      <c r="L2892" s="8">
        <f>SalesData[[#This Row],[Profit]]/SalesData[[#This Row],[Sales]]</f>
        <v>-0.10621186910704382</v>
      </c>
      <c r="M2892" t="str">
        <f>TEXT(SalesData[[#This Row],[Order_Date]],"mmm")</f>
        <v>Aug</v>
      </c>
      <c r="N2892">
        <f>YEAR(SalesData[[#This Row],[Order_Date]])</f>
        <v>2023</v>
      </c>
    </row>
    <row r="2893" spans="1:14" x14ac:dyDescent="0.3">
      <c r="A2893" t="s">
        <v>4188</v>
      </c>
      <c r="B2893" s="1">
        <v>44963</v>
      </c>
      <c r="C2893" t="s">
        <v>835</v>
      </c>
      <c r="D2893" t="s">
        <v>12</v>
      </c>
      <c r="E2893" t="s">
        <v>13</v>
      </c>
      <c r="F2893" t="s">
        <v>36</v>
      </c>
      <c r="G2893" t="s">
        <v>1466</v>
      </c>
      <c r="H2893" s="8">
        <v>4307.04</v>
      </c>
      <c r="I2893" s="8">
        <v>143.63</v>
      </c>
      <c r="J2893" s="8">
        <v>0.05</v>
      </c>
      <c r="K2893" t="str">
        <f>IF(SalesData[[#This Row],[Profit]]&gt;0,"Profit","Loss")</f>
        <v>Profit</v>
      </c>
      <c r="L2893" s="8">
        <f>SalesData[[#This Row],[Profit]]/SalesData[[#This Row],[Sales]]</f>
        <v>3.3347728370296072E-2</v>
      </c>
      <c r="M2893" t="str">
        <f>TEXT(SalesData[[#This Row],[Order_Date]],"mmm")</f>
        <v>Feb</v>
      </c>
      <c r="N2893">
        <f>YEAR(SalesData[[#This Row],[Order_Date]])</f>
        <v>2023</v>
      </c>
    </row>
    <row r="2894" spans="1:14" x14ac:dyDescent="0.3">
      <c r="A2894" t="s">
        <v>4189</v>
      </c>
      <c r="B2894" s="1">
        <v>45029</v>
      </c>
      <c r="C2894" t="s">
        <v>4190</v>
      </c>
      <c r="D2894" t="s">
        <v>18</v>
      </c>
      <c r="E2894" t="s">
        <v>56</v>
      </c>
      <c r="F2894" t="s">
        <v>73</v>
      </c>
      <c r="G2894" t="s">
        <v>774</v>
      </c>
      <c r="H2894" s="8">
        <v>754</v>
      </c>
      <c r="I2894" s="8">
        <v>124.36</v>
      </c>
      <c r="J2894" s="8">
        <v>0.01</v>
      </c>
      <c r="K2894" t="str">
        <f>IF(SalesData[[#This Row],[Profit]]&gt;0,"Profit","Loss")</f>
        <v>Profit</v>
      </c>
      <c r="L2894" s="8">
        <f>SalesData[[#This Row],[Profit]]/SalesData[[#This Row],[Sales]]</f>
        <v>0.16493368700265251</v>
      </c>
      <c r="M2894" t="str">
        <f>TEXT(SalesData[[#This Row],[Order_Date]],"mmm")</f>
        <v>Apr</v>
      </c>
      <c r="N2894">
        <f>YEAR(SalesData[[#This Row],[Order_Date]])</f>
        <v>2023</v>
      </c>
    </row>
    <row r="2895" spans="1:14" x14ac:dyDescent="0.3">
      <c r="A2895" t="s">
        <v>4191</v>
      </c>
      <c r="B2895" s="1">
        <v>44785</v>
      </c>
      <c r="C2895" t="s">
        <v>2595</v>
      </c>
      <c r="D2895" t="s">
        <v>28</v>
      </c>
      <c r="E2895" t="s">
        <v>19</v>
      </c>
      <c r="F2895" t="s">
        <v>20</v>
      </c>
      <c r="G2895" t="s">
        <v>1434</v>
      </c>
      <c r="H2895" s="8">
        <v>3395.34</v>
      </c>
      <c r="I2895" s="8">
        <v>-990.19</v>
      </c>
      <c r="J2895" s="8">
        <v>0.26</v>
      </c>
      <c r="K2895" t="str">
        <f>IF(SalesData[[#This Row],[Profit]]&gt;0,"Profit","Loss")</f>
        <v>Loss</v>
      </c>
      <c r="L2895" s="8">
        <f>SalesData[[#This Row],[Profit]]/SalesData[[#This Row],[Sales]]</f>
        <v>-0.29163206041221201</v>
      </c>
      <c r="M2895" t="str">
        <f>TEXT(SalesData[[#This Row],[Order_Date]],"mmm")</f>
        <v>Aug</v>
      </c>
      <c r="N2895">
        <f>YEAR(SalesData[[#This Row],[Order_Date]])</f>
        <v>2022</v>
      </c>
    </row>
    <row r="2896" spans="1:14" x14ac:dyDescent="0.3">
      <c r="A2896" t="s">
        <v>4192</v>
      </c>
      <c r="B2896" s="1">
        <v>45058</v>
      </c>
      <c r="C2896" t="s">
        <v>847</v>
      </c>
      <c r="D2896" t="s">
        <v>12</v>
      </c>
      <c r="E2896" t="s">
        <v>13</v>
      </c>
      <c r="F2896" t="s">
        <v>14</v>
      </c>
      <c r="G2896" t="s">
        <v>2091</v>
      </c>
      <c r="H2896" s="8">
        <v>3245.43</v>
      </c>
      <c r="I2896" s="8">
        <v>42.69</v>
      </c>
      <c r="J2896" s="8">
        <v>0.1</v>
      </c>
      <c r="K2896" t="str">
        <f>IF(SalesData[[#This Row],[Profit]]&gt;0,"Profit","Loss")</f>
        <v>Profit</v>
      </c>
      <c r="L2896" s="8">
        <f>SalesData[[#This Row],[Profit]]/SalesData[[#This Row],[Sales]]</f>
        <v>1.3153880995738623E-2</v>
      </c>
      <c r="M2896" t="str">
        <f>TEXT(SalesData[[#This Row],[Order_Date]],"mmm")</f>
        <v>May</v>
      </c>
      <c r="N2896">
        <f>YEAR(SalesData[[#This Row],[Order_Date]])</f>
        <v>2023</v>
      </c>
    </row>
    <row r="2897" spans="1:14" x14ac:dyDescent="0.3">
      <c r="A2897" t="s">
        <v>4193</v>
      </c>
      <c r="B2897" s="1">
        <v>44708</v>
      </c>
      <c r="C2897" t="s">
        <v>1562</v>
      </c>
      <c r="D2897" t="s">
        <v>18</v>
      </c>
      <c r="E2897" t="s">
        <v>56</v>
      </c>
      <c r="F2897" t="s">
        <v>73</v>
      </c>
      <c r="G2897" t="s">
        <v>867</v>
      </c>
      <c r="H2897" s="8">
        <v>3757.26</v>
      </c>
      <c r="I2897" s="8">
        <v>444.36</v>
      </c>
      <c r="J2897" s="8">
        <v>0.24</v>
      </c>
      <c r="K2897" t="str">
        <f>IF(SalesData[[#This Row],[Profit]]&gt;0,"Profit","Loss")</f>
        <v>Profit</v>
      </c>
      <c r="L2897" s="8">
        <f>SalesData[[#This Row],[Profit]]/SalesData[[#This Row],[Sales]]</f>
        <v>0.11826703502020089</v>
      </c>
      <c r="M2897" t="str">
        <f>TEXT(SalesData[[#This Row],[Order_Date]],"mmm")</f>
        <v>May</v>
      </c>
      <c r="N2897">
        <f>YEAR(SalesData[[#This Row],[Order_Date]])</f>
        <v>2022</v>
      </c>
    </row>
    <row r="2898" spans="1:14" x14ac:dyDescent="0.3">
      <c r="A2898" t="s">
        <v>4194</v>
      </c>
      <c r="B2898" s="1">
        <v>44721</v>
      </c>
      <c r="C2898" t="s">
        <v>2836</v>
      </c>
      <c r="D2898" t="s">
        <v>28</v>
      </c>
      <c r="E2898" t="s">
        <v>19</v>
      </c>
      <c r="F2898" t="s">
        <v>20</v>
      </c>
      <c r="G2898" t="s">
        <v>178</v>
      </c>
      <c r="H2898" s="8">
        <v>2098.33</v>
      </c>
      <c r="I2898" s="8">
        <v>-327.31</v>
      </c>
      <c r="J2898" s="8">
        <v>0.01</v>
      </c>
      <c r="K2898" t="str">
        <f>IF(SalesData[[#This Row],[Profit]]&gt;0,"Profit","Loss")</f>
        <v>Loss</v>
      </c>
      <c r="L2898" s="8">
        <f>SalesData[[#This Row],[Profit]]/SalesData[[#This Row],[Sales]]</f>
        <v>-0.155985950732249</v>
      </c>
      <c r="M2898" t="str">
        <f>TEXT(SalesData[[#This Row],[Order_Date]],"mmm")</f>
        <v>Jun</v>
      </c>
      <c r="N2898">
        <f>YEAR(SalesData[[#This Row],[Order_Date]])</f>
        <v>2022</v>
      </c>
    </row>
    <row r="2899" spans="1:14" x14ac:dyDescent="0.3">
      <c r="A2899" t="s">
        <v>4195</v>
      </c>
      <c r="B2899" s="1">
        <v>44976</v>
      </c>
      <c r="C2899" t="s">
        <v>1115</v>
      </c>
      <c r="D2899" t="s">
        <v>12</v>
      </c>
      <c r="E2899" t="s">
        <v>56</v>
      </c>
      <c r="F2899" t="s">
        <v>57</v>
      </c>
      <c r="G2899" t="s">
        <v>105</v>
      </c>
      <c r="H2899" s="8">
        <v>994.93</v>
      </c>
      <c r="I2899" s="8">
        <v>-127.42</v>
      </c>
      <c r="J2899" s="8">
        <v>0.27</v>
      </c>
      <c r="K2899" t="str">
        <f>IF(SalesData[[#This Row],[Profit]]&gt;0,"Profit","Loss")</f>
        <v>Loss</v>
      </c>
      <c r="L2899" s="8">
        <f>SalesData[[#This Row],[Profit]]/SalesData[[#This Row],[Sales]]</f>
        <v>-0.12806931140884284</v>
      </c>
      <c r="M2899" t="str">
        <f>TEXT(SalesData[[#This Row],[Order_Date]],"mmm")</f>
        <v>Feb</v>
      </c>
      <c r="N2899">
        <f>YEAR(SalesData[[#This Row],[Order_Date]])</f>
        <v>2023</v>
      </c>
    </row>
    <row r="2900" spans="1:14" x14ac:dyDescent="0.3">
      <c r="A2900" t="s">
        <v>4196</v>
      </c>
      <c r="B2900" s="1">
        <v>44862</v>
      </c>
      <c r="C2900" t="s">
        <v>2876</v>
      </c>
      <c r="D2900" t="s">
        <v>28</v>
      </c>
      <c r="E2900" t="s">
        <v>13</v>
      </c>
      <c r="F2900" t="s">
        <v>36</v>
      </c>
      <c r="G2900" t="s">
        <v>1004</v>
      </c>
      <c r="H2900" s="8">
        <v>3280.22</v>
      </c>
      <c r="I2900" s="8">
        <v>-822.96</v>
      </c>
      <c r="J2900" s="8">
        <v>0.13</v>
      </c>
      <c r="K2900" t="str">
        <f>IF(SalesData[[#This Row],[Profit]]&gt;0,"Profit","Loss")</f>
        <v>Loss</v>
      </c>
      <c r="L2900" s="8">
        <f>SalesData[[#This Row],[Profit]]/SalesData[[#This Row],[Sales]]</f>
        <v>-0.25088561133094733</v>
      </c>
      <c r="M2900" t="str">
        <f>TEXT(SalesData[[#This Row],[Order_Date]],"mmm")</f>
        <v>Oct</v>
      </c>
      <c r="N2900">
        <f>YEAR(SalesData[[#This Row],[Order_Date]])</f>
        <v>2022</v>
      </c>
    </row>
    <row r="2901" spans="1:14" x14ac:dyDescent="0.3">
      <c r="A2901" t="s">
        <v>4197</v>
      </c>
      <c r="B2901" s="1">
        <v>44997</v>
      </c>
      <c r="C2901" t="s">
        <v>2181</v>
      </c>
      <c r="D2901" t="s">
        <v>12</v>
      </c>
      <c r="E2901" t="s">
        <v>56</v>
      </c>
      <c r="F2901" t="s">
        <v>73</v>
      </c>
      <c r="G2901" t="s">
        <v>306</v>
      </c>
      <c r="H2901" s="8">
        <v>1610.86</v>
      </c>
      <c r="I2901" s="8">
        <v>-284.5</v>
      </c>
      <c r="J2901" s="8">
        <v>0.11</v>
      </c>
      <c r="K2901" t="str">
        <f>IF(SalesData[[#This Row],[Profit]]&gt;0,"Profit","Loss")</f>
        <v>Loss</v>
      </c>
      <c r="L2901" s="8">
        <f>SalesData[[#This Row],[Profit]]/SalesData[[#This Row],[Sales]]</f>
        <v>-0.17661373427858412</v>
      </c>
      <c r="M2901" t="str">
        <f>TEXT(SalesData[[#This Row],[Order_Date]],"mmm")</f>
        <v>Mar</v>
      </c>
      <c r="N2901">
        <f>YEAR(SalesData[[#This Row],[Order_Date]])</f>
        <v>2023</v>
      </c>
    </row>
    <row r="2902" spans="1:14" x14ac:dyDescent="0.3">
      <c r="A2902" t="s">
        <v>4198</v>
      </c>
      <c r="B2902" s="1">
        <v>44578</v>
      </c>
      <c r="C2902" t="s">
        <v>2876</v>
      </c>
      <c r="D2902" t="s">
        <v>28</v>
      </c>
      <c r="E2902" t="s">
        <v>13</v>
      </c>
      <c r="F2902" t="s">
        <v>36</v>
      </c>
      <c r="G2902" t="s">
        <v>689</v>
      </c>
      <c r="H2902" s="8">
        <v>3969.89</v>
      </c>
      <c r="I2902" s="8">
        <v>-1043.97</v>
      </c>
      <c r="J2902" s="8">
        <v>0.23</v>
      </c>
      <c r="K2902" t="str">
        <f>IF(SalesData[[#This Row],[Profit]]&gt;0,"Profit","Loss")</f>
        <v>Loss</v>
      </c>
      <c r="L2902" s="8">
        <f>SalesData[[#This Row],[Profit]]/SalesData[[#This Row],[Sales]]</f>
        <v>-0.26297202189481322</v>
      </c>
      <c r="M2902" t="str">
        <f>TEXT(SalesData[[#This Row],[Order_Date]],"mmm")</f>
        <v>Jan</v>
      </c>
      <c r="N2902">
        <f>YEAR(SalesData[[#This Row],[Order_Date]])</f>
        <v>2022</v>
      </c>
    </row>
    <row r="2903" spans="1:14" x14ac:dyDescent="0.3">
      <c r="A2903" t="s">
        <v>4199</v>
      </c>
      <c r="B2903" s="1">
        <v>44683</v>
      </c>
      <c r="C2903" t="s">
        <v>506</v>
      </c>
      <c r="D2903" t="s">
        <v>28</v>
      </c>
      <c r="E2903" t="s">
        <v>13</v>
      </c>
      <c r="F2903" t="s">
        <v>36</v>
      </c>
      <c r="G2903" t="s">
        <v>598</v>
      </c>
      <c r="H2903" s="8">
        <v>4217.96</v>
      </c>
      <c r="I2903" s="8">
        <v>-598.65</v>
      </c>
      <c r="J2903" s="8">
        <v>0.27</v>
      </c>
      <c r="K2903" t="str">
        <f>IF(SalesData[[#This Row],[Profit]]&gt;0,"Profit","Loss")</f>
        <v>Loss</v>
      </c>
      <c r="L2903" s="8">
        <f>SalesData[[#This Row],[Profit]]/SalesData[[#This Row],[Sales]]</f>
        <v>-0.14192879970412237</v>
      </c>
      <c r="M2903" t="str">
        <f>TEXT(SalesData[[#This Row],[Order_Date]],"mmm")</f>
        <v>May</v>
      </c>
      <c r="N2903">
        <f>YEAR(SalesData[[#This Row],[Order_Date]])</f>
        <v>2022</v>
      </c>
    </row>
    <row r="2904" spans="1:14" x14ac:dyDescent="0.3">
      <c r="A2904" t="s">
        <v>4200</v>
      </c>
      <c r="B2904" s="1">
        <v>44717</v>
      </c>
      <c r="C2904" t="s">
        <v>3006</v>
      </c>
      <c r="D2904" t="s">
        <v>18</v>
      </c>
      <c r="E2904" t="s">
        <v>56</v>
      </c>
      <c r="F2904" t="s">
        <v>73</v>
      </c>
      <c r="G2904" t="s">
        <v>2869</v>
      </c>
      <c r="H2904" s="8">
        <v>1910.25</v>
      </c>
      <c r="I2904" s="8">
        <v>-458.38</v>
      </c>
      <c r="J2904" s="8">
        <v>0.28000000000000003</v>
      </c>
      <c r="K2904" t="str">
        <f>IF(SalesData[[#This Row],[Profit]]&gt;0,"Profit","Loss")</f>
        <v>Loss</v>
      </c>
      <c r="L2904" s="8">
        <f>SalesData[[#This Row],[Profit]]/SalesData[[#This Row],[Sales]]</f>
        <v>-0.23995812066483443</v>
      </c>
      <c r="M2904" t="str">
        <f>TEXT(SalesData[[#This Row],[Order_Date]],"mmm")</f>
        <v>Jun</v>
      </c>
      <c r="N2904">
        <f>YEAR(SalesData[[#This Row],[Order_Date]])</f>
        <v>2022</v>
      </c>
    </row>
    <row r="2905" spans="1:14" x14ac:dyDescent="0.3">
      <c r="A2905" t="s">
        <v>4201</v>
      </c>
      <c r="B2905" s="1">
        <v>45201</v>
      </c>
      <c r="C2905" t="s">
        <v>63</v>
      </c>
      <c r="D2905" t="s">
        <v>28</v>
      </c>
      <c r="E2905" t="s">
        <v>19</v>
      </c>
      <c r="F2905" t="s">
        <v>20</v>
      </c>
      <c r="G2905" t="s">
        <v>190</v>
      </c>
      <c r="H2905" s="8">
        <v>1967.68</v>
      </c>
      <c r="I2905" s="8">
        <v>-152.32</v>
      </c>
      <c r="J2905" s="8">
        <v>0.24</v>
      </c>
      <c r="K2905" t="str">
        <f>IF(SalesData[[#This Row],[Profit]]&gt;0,"Profit","Loss")</f>
        <v>Loss</v>
      </c>
      <c r="L2905" s="8">
        <f>SalesData[[#This Row],[Profit]]/SalesData[[#This Row],[Sales]]</f>
        <v>-7.7410961131891359E-2</v>
      </c>
      <c r="M2905" t="str">
        <f>TEXT(SalesData[[#This Row],[Order_Date]],"mmm")</f>
        <v>Oct</v>
      </c>
      <c r="N2905">
        <f>YEAR(SalesData[[#This Row],[Order_Date]])</f>
        <v>2023</v>
      </c>
    </row>
    <row r="2906" spans="1:14" x14ac:dyDescent="0.3">
      <c r="A2906" t="s">
        <v>4202</v>
      </c>
      <c r="B2906" s="1">
        <v>45058</v>
      </c>
      <c r="C2906" t="s">
        <v>802</v>
      </c>
      <c r="D2906" t="s">
        <v>18</v>
      </c>
      <c r="E2906" t="s">
        <v>13</v>
      </c>
      <c r="F2906" t="s">
        <v>14</v>
      </c>
      <c r="G2906" t="s">
        <v>900</v>
      </c>
      <c r="H2906" s="8">
        <v>733.8</v>
      </c>
      <c r="I2906" s="8">
        <v>-21.89</v>
      </c>
      <c r="J2906" s="8">
        <v>0.17</v>
      </c>
      <c r="K2906" t="str">
        <f>IF(SalesData[[#This Row],[Profit]]&gt;0,"Profit","Loss")</f>
        <v>Loss</v>
      </c>
      <c r="L2906" s="8">
        <f>SalesData[[#This Row],[Profit]]/SalesData[[#This Row],[Sales]]</f>
        <v>-2.9831016625783593E-2</v>
      </c>
      <c r="M2906" t="str">
        <f>TEXT(SalesData[[#This Row],[Order_Date]],"mmm")</f>
        <v>May</v>
      </c>
      <c r="N2906">
        <f>YEAR(SalesData[[#This Row],[Order_Date]])</f>
        <v>2023</v>
      </c>
    </row>
    <row r="2907" spans="1:14" x14ac:dyDescent="0.3">
      <c r="A2907" t="s">
        <v>4203</v>
      </c>
      <c r="B2907" s="1">
        <v>44750</v>
      </c>
      <c r="C2907" t="s">
        <v>937</v>
      </c>
      <c r="D2907" t="s">
        <v>28</v>
      </c>
      <c r="E2907" t="s">
        <v>13</v>
      </c>
      <c r="F2907" t="s">
        <v>14</v>
      </c>
      <c r="G2907" t="s">
        <v>239</v>
      </c>
      <c r="H2907" s="8">
        <v>4761.45</v>
      </c>
      <c r="I2907" s="8">
        <v>260.27</v>
      </c>
      <c r="J2907" s="8">
        <v>0.06</v>
      </c>
      <c r="K2907" t="str">
        <f>IF(SalesData[[#This Row],[Profit]]&gt;0,"Profit","Loss")</f>
        <v>Profit</v>
      </c>
      <c r="L2907" s="8">
        <f>SalesData[[#This Row],[Profit]]/SalesData[[#This Row],[Sales]]</f>
        <v>5.4661920213380379E-2</v>
      </c>
      <c r="M2907" t="str">
        <f>TEXT(SalesData[[#This Row],[Order_Date]],"mmm")</f>
        <v>Jul</v>
      </c>
      <c r="N2907">
        <f>YEAR(SalesData[[#This Row],[Order_Date]])</f>
        <v>2022</v>
      </c>
    </row>
    <row r="2908" spans="1:14" x14ac:dyDescent="0.3">
      <c r="A2908" t="s">
        <v>4204</v>
      </c>
      <c r="B2908" s="1">
        <v>45026</v>
      </c>
      <c r="C2908" t="s">
        <v>1112</v>
      </c>
      <c r="D2908" t="s">
        <v>28</v>
      </c>
      <c r="E2908" t="s">
        <v>13</v>
      </c>
      <c r="F2908" t="s">
        <v>14</v>
      </c>
      <c r="G2908" t="s">
        <v>1038</v>
      </c>
      <c r="H2908" s="8">
        <v>154.29</v>
      </c>
      <c r="I2908" s="8">
        <v>-44.19</v>
      </c>
      <c r="J2908" s="8">
        <v>0.13</v>
      </c>
      <c r="K2908" t="str">
        <f>IF(SalesData[[#This Row],[Profit]]&gt;0,"Profit","Loss")</f>
        <v>Loss</v>
      </c>
      <c r="L2908" s="8">
        <f>SalesData[[#This Row],[Profit]]/SalesData[[#This Row],[Sales]]</f>
        <v>-0.28640871086914255</v>
      </c>
      <c r="M2908" t="str">
        <f>TEXT(SalesData[[#This Row],[Order_Date]],"mmm")</f>
        <v>Apr</v>
      </c>
      <c r="N2908">
        <f>YEAR(SalesData[[#This Row],[Order_Date]])</f>
        <v>2023</v>
      </c>
    </row>
    <row r="2909" spans="1:14" x14ac:dyDescent="0.3">
      <c r="A2909" t="s">
        <v>4205</v>
      </c>
      <c r="B2909" s="1">
        <v>45177</v>
      </c>
      <c r="C2909" t="s">
        <v>1915</v>
      </c>
      <c r="D2909" t="s">
        <v>18</v>
      </c>
      <c r="E2909" t="s">
        <v>56</v>
      </c>
      <c r="F2909" t="s">
        <v>95</v>
      </c>
      <c r="G2909" t="s">
        <v>89</v>
      </c>
      <c r="H2909" s="8">
        <v>1947.08</v>
      </c>
      <c r="I2909" s="8">
        <v>88.02</v>
      </c>
      <c r="J2909" s="8">
        <v>0.3</v>
      </c>
      <c r="K2909" t="str">
        <f>IF(SalesData[[#This Row],[Profit]]&gt;0,"Profit","Loss")</f>
        <v>Profit</v>
      </c>
      <c r="L2909" s="8">
        <f>SalesData[[#This Row],[Profit]]/SalesData[[#This Row],[Sales]]</f>
        <v>4.5206154857530254E-2</v>
      </c>
      <c r="M2909" t="str">
        <f>TEXT(SalesData[[#This Row],[Order_Date]],"mmm")</f>
        <v>Sep</v>
      </c>
      <c r="N2909">
        <f>YEAR(SalesData[[#This Row],[Order_Date]])</f>
        <v>2023</v>
      </c>
    </row>
    <row r="2910" spans="1:14" x14ac:dyDescent="0.3">
      <c r="A2910" t="s">
        <v>4206</v>
      </c>
      <c r="B2910" s="1">
        <v>44890</v>
      </c>
      <c r="C2910" t="s">
        <v>2100</v>
      </c>
      <c r="D2910" t="s">
        <v>28</v>
      </c>
      <c r="E2910" t="s">
        <v>13</v>
      </c>
      <c r="F2910" t="s">
        <v>24</v>
      </c>
      <c r="G2910" t="s">
        <v>99</v>
      </c>
      <c r="H2910" s="8">
        <v>3976.52</v>
      </c>
      <c r="I2910" s="8">
        <v>-1078.56</v>
      </c>
      <c r="J2910" s="8">
        <v>0.22</v>
      </c>
      <c r="K2910" t="str">
        <f>IF(SalesData[[#This Row],[Profit]]&gt;0,"Profit","Loss")</f>
        <v>Loss</v>
      </c>
      <c r="L2910" s="8">
        <f>SalesData[[#This Row],[Profit]]/SalesData[[#This Row],[Sales]]</f>
        <v>-0.2712321326184704</v>
      </c>
      <c r="M2910" t="str">
        <f>TEXT(SalesData[[#This Row],[Order_Date]],"mmm")</f>
        <v>Nov</v>
      </c>
      <c r="N2910">
        <f>YEAR(SalesData[[#This Row],[Order_Date]])</f>
        <v>2022</v>
      </c>
    </row>
    <row r="2911" spans="1:14" x14ac:dyDescent="0.3">
      <c r="A2911" t="s">
        <v>4207</v>
      </c>
      <c r="B2911" s="1">
        <v>44753</v>
      </c>
      <c r="C2911" t="s">
        <v>1796</v>
      </c>
      <c r="D2911" t="s">
        <v>28</v>
      </c>
      <c r="E2911" t="s">
        <v>19</v>
      </c>
      <c r="F2911" t="s">
        <v>141</v>
      </c>
      <c r="G2911" t="s">
        <v>1234</v>
      </c>
      <c r="H2911" s="8">
        <v>2622.36</v>
      </c>
      <c r="I2911" s="8">
        <v>-365.65</v>
      </c>
      <c r="J2911" s="8">
        <v>0.21</v>
      </c>
      <c r="K2911" t="str">
        <f>IF(SalesData[[#This Row],[Profit]]&gt;0,"Profit","Loss")</f>
        <v>Loss</v>
      </c>
      <c r="L2911" s="8">
        <f>SalesData[[#This Row],[Profit]]/SalesData[[#This Row],[Sales]]</f>
        <v>-0.139435470339694</v>
      </c>
      <c r="M2911" t="str">
        <f>TEXT(SalesData[[#This Row],[Order_Date]],"mmm")</f>
        <v>Jul</v>
      </c>
      <c r="N2911">
        <f>YEAR(SalesData[[#This Row],[Order_Date]])</f>
        <v>2022</v>
      </c>
    </row>
    <row r="2912" spans="1:14" x14ac:dyDescent="0.3">
      <c r="A2912" t="s">
        <v>4208</v>
      </c>
      <c r="B2912" s="1">
        <v>44819</v>
      </c>
      <c r="C2912" t="s">
        <v>4209</v>
      </c>
      <c r="D2912" t="s">
        <v>18</v>
      </c>
      <c r="E2912" t="s">
        <v>19</v>
      </c>
      <c r="F2912" t="s">
        <v>20</v>
      </c>
      <c r="G2912" t="s">
        <v>1483</v>
      </c>
      <c r="H2912" s="8">
        <v>1310.5899999999999</v>
      </c>
      <c r="I2912" s="8">
        <v>-433.39</v>
      </c>
      <c r="J2912" s="8">
        <v>0.16</v>
      </c>
      <c r="K2912" t="str">
        <f>IF(SalesData[[#This Row],[Profit]]&gt;0,"Profit","Loss")</f>
        <v>Loss</v>
      </c>
      <c r="L2912" s="8">
        <f>SalesData[[#This Row],[Profit]]/SalesData[[#This Row],[Sales]]</f>
        <v>-0.33068312744641726</v>
      </c>
      <c r="M2912" t="str">
        <f>TEXT(SalesData[[#This Row],[Order_Date]],"mmm")</f>
        <v>Sep</v>
      </c>
      <c r="N2912">
        <f>YEAR(SalesData[[#This Row],[Order_Date]])</f>
        <v>2022</v>
      </c>
    </row>
    <row r="2913" spans="1:14" x14ac:dyDescent="0.3">
      <c r="A2913" t="s">
        <v>4210</v>
      </c>
      <c r="B2913" s="1">
        <v>45175</v>
      </c>
      <c r="C2913" t="s">
        <v>1985</v>
      </c>
      <c r="D2913" t="s">
        <v>18</v>
      </c>
      <c r="E2913" t="s">
        <v>19</v>
      </c>
      <c r="F2913" t="s">
        <v>20</v>
      </c>
      <c r="G2913" t="s">
        <v>1400</v>
      </c>
      <c r="H2913" s="8">
        <v>3055.3</v>
      </c>
      <c r="I2913" s="8">
        <v>506.05</v>
      </c>
      <c r="J2913" s="8">
        <v>0.22</v>
      </c>
      <c r="K2913" t="str">
        <f>IF(SalesData[[#This Row],[Profit]]&gt;0,"Profit","Loss")</f>
        <v>Profit</v>
      </c>
      <c r="L2913" s="8">
        <f>SalesData[[#This Row],[Profit]]/SalesData[[#This Row],[Sales]]</f>
        <v>0.16563021634536707</v>
      </c>
      <c r="M2913" t="str">
        <f>TEXT(SalesData[[#This Row],[Order_Date]],"mmm")</f>
        <v>Sep</v>
      </c>
      <c r="N2913">
        <f>YEAR(SalesData[[#This Row],[Order_Date]])</f>
        <v>2023</v>
      </c>
    </row>
    <row r="2914" spans="1:14" x14ac:dyDescent="0.3">
      <c r="A2914" t="s">
        <v>4211</v>
      </c>
      <c r="B2914" s="1">
        <v>44612</v>
      </c>
      <c r="C2914" t="s">
        <v>4212</v>
      </c>
      <c r="D2914" t="s">
        <v>28</v>
      </c>
      <c r="E2914" t="s">
        <v>19</v>
      </c>
      <c r="F2914" t="s">
        <v>20</v>
      </c>
      <c r="G2914" t="s">
        <v>882</v>
      </c>
      <c r="H2914" s="8">
        <v>243.72</v>
      </c>
      <c r="I2914" s="8">
        <v>-72.2</v>
      </c>
      <c r="J2914" s="8">
        <v>0.27</v>
      </c>
      <c r="K2914" t="str">
        <f>IF(SalesData[[#This Row],[Profit]]&gt;0,"Profit","Loss")</f>
        <v>Loss</v>
      </c>
      <c r="L2914" s="8">
        <f>SalesData[[#This Row],[Profit]]/SalesData[[#This Row],[Sales]]</f>
        <v>-0.29624158870835388</v>
      </c>
      <c r="M2914" t="str">
        <f>TEXT(SalesData[[#This Row],[Order_Date]],"mmm")</f>
        <v>Feb</v>
      </c>
      <c r="N2914">
        <f>YEAR(SalesData[[#This Row],[Order_Date]])</f>
        <v>2022</v>
      </c>
    </row>
    <row r="2915" spans="1:14" x14ac:dyDescent="0.3">
      <c r="A2915" t="s">
        <v>4213</v>
      </c>
      <c r="B2915" s="1">
        <v>44874</v>
      </c>
      <c r="C2915" t="s">
        <v>691</v>
      </c>
      <c r="D2915" t="s">
        <v>18</v>
      </c>
      <c r="E2915" t="s">
        <v>19</v>
      </c>
      <c r="F2915" t="s">
        <v>20</v>
      </c>
      <c r="G2915" t="s">
        <v>2339</v>
      </c>
      <c r="H2915" s="8">
        <v>4216.37</v>
      </c>
      <c r="I2915" s="8">
        <v>617.01</v>
      </c>
      <c r="J2915" s="8">
        <v>0.22</v>
      </c>
      <c r="K2915" t="str">
        <f>IF(SalesData[[#This Row],[Profit]]&gt;0,"Profit","Loss")</f>
        <v>Profit</v>
      </c>
      <c r="L2915" s="8">
        <f>SalesData[[#This Row],[Profit]]/SalesData[[#This Row],[Sales]]</f>
        <v>0.14633677784444912</v>
      </c>
      <c r="M2915" t="str">
        <f>TEXT(SalesData[[#This Row],[Order_Date]],"mmm")</f>
        <v>Nov</v>
      </c>
      <c r="N2915">
        <f>YEAR(SalesData[[#This Row],[Order_Date]])</f>
        <v>2022</v>
      </c>
    </row>
    <row r="2916" spans="1:14" x14ac:dyDescent="0.3">
      <c r="A2916" t="s">
        <v>4214</v>
      </c>
      <c r="B2916" s="1">
        <v>44683</v>
      </c>
      <c r="C2916" t="s">
        <v>1262</v>
      </c>
      <c r="D2916" t="s">
        <v>18</v>
      </c>
      <c r="E2916" t="s">
        <v>56</v>
      </c>
      <c r="F2916" t="s">
        <v>95</v>
      </c>
      <c r="G2916" t="s">
        <v>2426</v>
      </c>
      <c r="H2916" s="8">
        <v>3682.34</v>
      </c>
      <c r="I2916" s="8">
        <v>-881.42</v>
      </c>
      <c r="J2916" s="8">
        <v>0.17</v>
      </c>
      <c r="K2916" t="str">
        <f>IF(SalesData[[#This Row],[Profit]]&gt;0,"Profit","Loss")</f>
        <v>Loss</v>
      </c>
      <c r="L2916" s="8">
        <f>SalesData[[#This Row],[Profit]]/SalesData[[#This Row],[Sales]]</f>
        <v>-0.23936410000162939</v>
      </c>
      <c r="M2916" t="str">
        <f>TEXT(SalesData[[#This Row],[Order_Date]],"mmm")</f>
        <v>May</v>
      </c>
      <c r="N2916">
        <f>YEAR(SalesData[[#This Row],[Order_Date]])</f>
        <v>2022</v>
      </c>
    </row>
    <row r="2917" spans="1:14" x14ac:dyDescent="0.3">
      <c r="A2917" t="s">
        <v>4215</v>
      </c>
      <c r="B2917" s="1">
        <v>45043</v>
      </c>
      <c r="C2917" t="s">
        <v>835</v>
      </c>
      <c r="D2917" t="s">
        <v>12</v>
      </c>
      <c r="E2917" t="s">
        <v>13</v>
      </c>
      <c r="F2917" t="s">
        <v>36</v>
      </c>
      <c r="G2917" t="s">
        <v>15</v>
      </c>
      <c r="H2917" s="8">
        <v>1674.85</v>
      </c>
      <c r="I2917" s="8">
        <v>60.58</v>
      </c>
      <c r="J2917" s="8">
        <v>0.27</v>
      </c>
      <c r="K2917" t="str">
        <f>IF(SalesData[[#This Row],[Profit]]&gt;0,"Profit","Loss")</f>
        <v>Profit</v>
      </c>
      <c r="L2917" s="8">
        <f>SalesData[[#This Row],[Profit]]/SalesData[[#This Row],[Sales]]</f>
        <v>3.617040331970027E-2</v>
      </c>
      <c r="M2917" t="str">
        <f>TEXT(SalesData[[#This Row],[Order_Date]],"mmm")</f>
        <v>Apr</v>
      </c>
      <c r="N2917">
        <f>YEAR(SalesData[[#This Row],[Order_Date]])</f>
        <v>2023</v>
      </c>
    </row>
    <row r="2918" spans="1:14" x14ac:dyDescent="0.3">
      <c r="A2918" t="s">
        <v>4216</v>
      </c>
      <c r="B2918" s="1">
        <v>44866</v>
      </c>
      <c r="C2918" t="s">
        <v>2971</v>
      </c>
      <c r="D2918" t="s">
        <v>18</v>
      </c>
      <c r="E2918" t="s">
        <v>13</v>
      </c>
      <c r="F2918" t="s">
        <v>24</v>
      </c>
      <c r="G2918" t="s">
        <v>789</v>
      </c>
      <c r="H2918" s="8">
        <v>2230.42</v>
      </c>
      <c r="I2918" s="8">
        <v>229.33</v>
      </c>
      <c r="J2918" s="8">
        <v>0.1</v>
      </c>
      <c r="K2918" t="str">
        <f>IF(SalesData[[#This Row],[Profit]]&gt;0,"Profit","Loss")</f>
        <v>Profit</v>
      </c>
      <c r="L2918" s="8">
        <f>SalesData[[#This Row],[Profit]]/SalesData[[#This Row],[Sales]]</f>
        <v>0.10281919997130586</v>
      </c>
      <c r="M2918" t="str">
        <f>TEXT(SalesData[[#This Row],[Order_Date]],"mmm")</f>
        <v>Nov</v>
      </c>
      <c r="N2918">
        <f>YEAR(SalesData[[#This Row],[Order_Date]])</f>
        <v>2022</v>
      </c>
    </row>
    <row r="2919" spans="1:14" x14ac:dyDescent="0.3">
      <c r="A2919" t="s">
        <v>4217</v>
      </c>
      <c r="B2919" s="1">
        <v>45093</v>
      </c>
      <c r="C2919" t="s">
        <v>1792</v>
      </c>
      <c r="D2919" t="s">
        <v>18</v>
      </c>
      <c r="E2919" t="s">
        <v>56</v>
      </c>
      <c r="F2919" t="s">
        <v>95</v>
      </c>
      <c r="G2919" t="s">
        <v>2853</v>
      </c>
      <c r="H2919" s="8">
        <v>3143.32</v>
      </c>
      <c r="I2919" s="8">
        <v>-1003.35</v>
      </c>
      <c r="J2919" s="8">
        <v>0.21</v>
      </c>
      <c r="K2919" t="str">
        <f>IF(SalesData[[#This Row],[Profit]]&gt;0,"Profit","Loss")</f>
        <v>Loss</v>
      </c>
      <c r="L2919" s="8">
        <f>SalesData[[#This Row],[Profit]]/SalesData[[#This Row],[Sales]]</f>
        <v>-0.31920071771248232</v>
      </c>
      <c r="M2919" t="str">
        <f>TEXT(SalesData[[#This Row],[Order_Date]],"mmm")</f>
        <v>Jun</v>
      </c>
      <c r="N2919">
        <f>YEAR(SalesData[[#This Row],[Order_Date]])</f>
        <v>2023</v>
      </c>
    </row>
    <row r="2920" spans="1:14" x14ac:dyDescent="0.3">
      <c r="A2920" t="s">
        <v>4218</v>
      </c>
      <c r="B2920" s="1">
        <v>45185</v>
      </c>
      <c r="C2920" t="s">
        <v>2232</v>
      </c>
      <c r="D2920" t="s">
        <v>40</v>
      </c>
      <c r="E2920" t="s">
        <v>56</v>
      </c>
      <c r="F2920" t="s">
        <v>57</v>
      </c>
      <c r="G2920" t="s">
        <v>1358</v>
      </c>
      <c r="H2920" s="8">
        <v>2894.12</v>
      </c>
      <c r="I2920" s="8">
        <v>-272.12</v>
      </c>
      <c r="J2920" s="8">
        <v>0.15</v>
      </c>
      <c r="K2920" t="str">
        <f>IF(SalesData[[#This Row],[Profit]]&gt;0,"Profit","Loss")</f>
        <v>Loss</v>
      </c>
      <c r="L2920" s="8">
        <f>SalesData[[#This Row],[Profit]]/SalesData[[#This Row],[Sales]]</f>
        <v>-9.4025126808839996E-2</v>
      </c>
      <c r="M2920" t="str">
        <f>TEXT(SalesData[[#This Row],[Order_Date]],"mmm")</f>
        <v>Sep</v>
      </c>
      <c r="N2920">
        <f>YEAR(SalesData[[#This Row],[Order_Date]])</f>
        <v>2023</v>
      </c>
    </row>
    <row r="2921" spans="1:14" x14ac:dyDescent="0.3">
      <c r="A2921" t="s">
        <v>4219</v>
      </c>
      <c r="B2921" s="1">
        <v>45120</v>
      </c>
      <c r="C2921" t="s">
        <v>4220</v>
      </c>
      <c r="D2921" t="s">
        <v>40</v>
      </c>
      <c r="E2921" t="s">
        <v>13</v>
      </c>
      <c r="F2921" t="s">
        <v>36</v>
      </c>
      <c r="G2921" t="s">
        <v>651</v>
      </c>
      <c r="H2921" s="8">
        <v>713</v>
      </c>
      <c r="I2921" s="8">
        <v>59.96</v>
      </c>
      <c r="J2921" s="8">
        <v>0.28000000000000003</v>
      </c>
      <c r="K2921" t="str">
        <f>IF(SalesData[[#This Row],[Profit]]&gt;0,"Profit","Loss")</f>
        <v>Profit</v>
      </c>
      <c r="L2921" s="8">
        <f>SalesData[[#This Row],[Profit]]/SalesData[[#This Row],[Sales]]</f>
        <v>8.4095371669004215E-2</v>
      </c>
      <c r="M2921" t="str">
        <f>TEXT(SalesData[[#This Row],[Order_Date]],"mmm")</f>
        <v>Jul</v>
      </c>
      <c r="N2921">
        <f>YEAR(SalesData[[#This Row],[Order_Date]])</f>
        <v>2023</v>
      </c>
    </row>
    <row r="2922" spans="1:14" x14ac:dyDescent="0.3">
      <c r="A2922" t="s">
        <v>4221</v>
      </c>
      <c r="B2922" s="1">
        <v>44813</v>
      </c>
      <c r="C2922" t="s">
        <v>2881</v>
      </c>
      <c r="D2922" t="s">
        <v>12</v>
      </c>
      <c r="E2922" t="s">
        <v>13</v>
      </c>
      <c r="F2922" t="s">
        <v>14</v>
      </c>
      <c r="G2922" t="s">
        <v>744</v>
      </c>
      <c r="H2922" s="8">
        <v>4408.8</v>
      </c>
      <c r="I2922" s="8">
        <v>728.9</v>
      </c>
      <c r="J2922" s="8">
        <v>0.03</v>
      </c>
      <c r="K2922" t="str">
        <f>IF(SalesData[[#This Row],[Profit]]&gt;0,"Profit","Loss")</f>
        <v>Profit</v>
      </c>
      <c r="L2922" s="8">
        <f>SalesData[[#This Row],[Profit]]/SalesData[[#This Row],[Sales]]</f>
        <v>0.16532843404100889</v>
      </c>
      <c r="M2922" t="str">
        <f>TEXT(SalesData[[#This Row],[Order_Date]],"mmm")</f>
        <v>Sep</v>
      </c>
      <c r="N2922">
        <f>YEAR(SalesData[[#This Row],[Order_Date]])</f>
        <v>2022</v>
      </c>
    </row>
    <row r="2923" spans="1:14" x14ac:dyDescent="0.3">
      <c r="A2923" t="s">
        <v>4222</v>
      </c>
      <c r="B2923" s="1">
        <v>44903</v>
      </c>
      <c r="C2923" t="s">
        <v>1225</v>
      </c>
      <c r="D2923" t="s">
        <v>18</v>
      </c>
      <c r="E2923" t="s">
        <v>13</v>
      </c>
      <c r="F2923" t="s">
        <v>36</v>
      </c>
      <c r="G2923" t="s">
        <v>1295</v>
      </c>
      <c r="H2923" s="8">
        <v>2104.3000000000002</v>
      </c>
      <c r="I2923" s="8">
        <v>-466.38</v>
      </c>
      <c r="J2923" s="8">
        <v>0.28000000000000003</v>
      </c>
      <c r="K2923" t="str">
        <f>IF(SalesData[[#This Row],[Profit]]&gt;0,"Profit","Loss")</f>
        <v>Loss</v>
      </c>
      <c r="L2923" s="8">
        <f>SalesData[[#This Row],[Profit]]/SalesData[[#This Row],[Sales]]</f>
        <v>-0.22163189659269114</v>
      </c>
      <c r="M2923" t="str">
        <f>TEXT(SalesData[[#This Row],[Order_Date]],"mmm")</f>
        <v>Dec</v>
      </c>
      <c r="N2923">
        <f>YEAR(SalesData[[#This Row],[Order_Date]])</f>
        <v>2022</v>
      </c>
    </row>
    <row r="2924" spans="1:14" x14ac:dyDescent="0.3">
      <c r="A2924" t="s">
        <v>4223</v>
      </c>
      <c r="B2924" s="1">
        <v>44568</v>
      </c>
      <c r="C2924" t="s">
        <v>1591</v>
      </c>
      <c r="D2924" t="s">
        <v>18</v>
      </c>
      <c r="E2924" t="s">
        <v>13</v>
      </c>
      <c r="F2924" t="s">
        <v>24</v>
      </c>
      <c r="G2924" t="s">
        <v>2899</v>
      </c>
      <c r="H2924" s="8">
        <v>3245.58</v>
      </c>
      <c r="I2924" s="8">
        <v>258.82</v>
      </c>
      <c r="J2924" s="8">
        <v>0.23</v>
      </c>
      <c r="K2924" t="str">
        <f>IF(SalesData[[#This Row],[Profit]]&gt;0,"Profit","Loss")</f>
        <v>Profit</v>
      </c>
      <c r="L2924" s="8">
        <f>SalesData[[#This Row],[Profit]]/SalesData[[#This Row],[Sales]]</f>
        <v>7.9745376789356601E-2</v>
      </c>
      <c r="M2924" t="str">
        <f>TEXT(SalesData[[#This Row],[Order_Date]],"mmm")</f>
        <v>Jan</v>
      </c>
      <c r="N2924">
        <f>YEAR(SalesData[[#This Row],[Order_Date]])</f>
        <v>2022</v>
      </c>
    </row>
    <row r="2925" spans="1:14" x14ac:dyDescent="0.3">
      <c r="A2925" t="s">
        <v>4224</v>
      </c>
      <c r="B2925" s="1">
        <v>44636</v>
      </c>
      <c r="C2925" t="s">
        <v>2533</v>
      </c>
      <c r="D2925" t="s">
        <v>18</v>
      </c>
      <c r="E2925" t="s">
        <v>19</v>
      </c>
      <c r="F2925" t="s">
        <v>29</v>
      </c>
      <c r="G2925" t="s">
        <v>1313</v>
      </c>
      <c r="H2925" s="8">
        <v>1362.37</v>
      </c>
      <c r="I2925" s="8">
        <v>-298.64</v>
      </c>
      <c r="J2925" s="8">
        <v>0.21</v>
      </c>
      <c r="K2925" t="str">
        <f>IF(SalesData[[#This Row],[Profit]]&gt;0,"Profit","Loss")</f>
        <v>Loss</v>
      </c>
      <c r="L2925" s="8">
        <f>SalesData[[#This Row],[Profit]]/SalesData[[#This Row],[Sales]]</f>
        <v>-0.21920623619134302</v>
      </c>
      <c r="M2925" t="str">
        <f>TEXT(SalesData[[#This Row],[Order_Date]],"mmm")</f>
        <v>Mar</v>
      </c>
      <c r="N2925">
        <f>YEAR(SalesData[[#This Row],[Order_Date]])</f>
        <v>2022</v>
      </c>
    </row>
    <row r="2926" spans="1:14" x14ac:dyDescent="0.3">
      <c r="A2926" t="s">
        <v>4225</v>
      </c>
      <c r="B2926" s="1">
        <v>45070</v>
      </c>
      <c r="C2926" t="s">
        <v>888</v>
      </c>
      <c r="D2926" t="s">
        <v>28</v>
      </c>
      <c r="E2926" t="s">
        <v>13</v>
      </c>
      <c r="F2926" t="s">
        <v>24</v>
      </c>
      <c r="G2926" t="s">
        <v>2546</v>
      </c>
      <c r="H2926" s="8">
        <v>1647.17</v>
      </c>
      <c r="I2926" s="8">
        <v>-514.51</v>
      </c>
      <c r="J2926" s="8">
        <v>0.12</v>
      </c>
      <c r="K2926" t="str">
        <f>IF(SalesData[[#This Row],[Profit]]&gt;0,"Profit","Loss")</f>
        <v>Loss</v>
      </c>
      <c r="L2926" s="8">
        <f>SalesData[[#This Row],[Profit]]/SalesData[[#This Row],[Sales]]</f>
        <v>-0.31235998712944019</v>
      </c>
      <c r="M2926" t="str">
        <f>TEXT(SalesData[[#This Row],[Order_Date]],"mmm")</f>
        <v>May</v>
      </c>
      <c r="N2926">
        <f>YEAR(SalesData[[#This Row],[Order_Date]])</f>
        <v>2023</v>
      </c>
    </row>
    <row r="2927" spans="1:14" x14ac:dyDescent="0.3">
      <c r="A2927" t="s">
        <v>4226</v>
      </c>
      <c r="B2927" s="1">
        <v>44793</v>
      </c>
      <c r="C2927" t="s">
        <v>2634</v>
      </c>
      <c r="D2927" t="s">
        <v>12</v>
      </c>
      <c r="E2927" t="s">
        <v>13</v>
      </c>
      <c r="F2927" t="s">
        <v>14</v>
      </c>
      <c r="G2927" t="s">
        <v>1295</v>
      </c>
      <c r="H2927" s="8">
        <v>459.05</v>
      </c>
      <c r="I2927" s="8">
        <v>-133.22999999999999</v>
      </c>
      <c r="J2927" s="8">
        <v>0.3</v>
      </c>
      <c r="K2927" t="str">
        <f>IF(SalesData[[#This Row],[Profit]]&gt;0,"Profit","Loss")</f>
        <v>Loss</v>
      </c>
      <c r="L2927" s="8">
        <f>SalesData[[#This Row],[Profit]]/SalesData[[#This Row],[Sales]]</f>
        <v>-0.29022982245942702</v>
      </c>
      <c r="M2927" t="str">
        <f>TEXT(SalesData[[#This Row],[Order_Date]],"mmm")</f>
        <v>Aug</v>
      </c>
      <c r="N2927">
        <f>YEAR(SalesData[[#This Row],[Order_Date]])</f>
        <v>2022</v>
      </c>
    </row>
    <row r="2928" spans="1:14" x14ac:dyDescent="0.3">
      <c r="A2928" t="s">
        <v>4227</v>
      </c>
      <c r="B2928" s="1">
        <v>45198</v>
      </c>
      <c r="C2928" t="s">
        <v>4228</v>
      </c>
      <c r="D2928" t="s">
        <v>12</v>
      </c>
      <c r="E2928" t="s">
        <v>13</v>
      </c>
      <c r="F2928" t="s">
        <v>24</v>
      </c>
      <c r="G2928" t="s">
        <v>15</v>
      </c>
      <c r="H2928" s="8">
        <v>978.76</v>
      </c>
      <c r="I2928" s="8">
        <v>202.61</v>
      </c>
      <c r="J2928" s="8">
        <v>0.01</v>
      </c>
      <c r="K2928" t="str">
        <f>IF(SalesData[[#This Row],[Profit]]&gt;0,"Profit","Loss")</f>
        <v>Profit</v>
      </c>
      <c r="L2928" s="8">
        <f>SalesData[[#This Row],[Profit]]/SalesData[[#This Row],[Sales]]</f>
        <v>0.20700682496219708</v>
      </c>
      <c r="M2928" t="str">
        <f>TEXT(SalesData[[#This Row],[Order_Date]],"mmm")</f>
        <v>Sep</v>
      </c>
      <c r="N2928">
        <f>YEAR(SalesData[[#This Row],[Order_Date]])</f>
        <v>2023</v>
      </c>
    </row>
    <row r="2929" spans="1:14" x14ac:dyDescent="0.3">
      <c r="A2929" t="s">
        <v>4229</v>
      </c>
      <c r="B2929" s="1">
        <v>44867</v>
      </c>
      <c r="C2929" t="s">
        <v>1049</v>
      </c>
      <c r="D2929" t="s">
        <v>18</v>
      </c>
      <c r="E2929" t="s">
        <v>56</v>
      </c>
      <c r="F2929" t="s">
        <v>73</v>
      </c>
      <c r="G2929" t="s">
        <v>734</v>
      </c>
      <c r="H2929" s="8">
        <v>2472.9699999999998</v>
      </c>
      <c r="I2929" s="8">
        <v>-583.15</v>
      </c>
      <c r="J2929" s="8">
        <v>0.06</v>
      </c>
      <c r="K2929" t="str">
        <f>IF(SalesData[[#This Row],[Profit]]&gt;0,"Profit","Loss")</f>
        <v>Loss</v>
      </c>
      <c r="L2929" s="8">
        <f>SalesData[[#This Row],[Profit]]/SalesData[[#This Row],[Sales]]</f>
        <v>-0.23580957310440484</v>
      </c>
      <c r="M2929" t="str">
        <f>TEXT(SalesData[[#This Row],[Order_Date]],"mmm")</f>
        <v>Nov</v>
      </c>
      <c r="N2929">
        <f>YEAR(SalesData[[#This Row],[Order_Date]])</f>
        <v>2022</v>
      </c>
    </row>
    <row r="2930" spans="1:14" x14ac:dyDescent="0.3">
      <c r="A2930" t="s">
        <v>4230</v>
      </c>
      <c r="B2930" s="1">
        <v>44562</v>
      </c>
      <c r="C2930" t="s">
        <v>617</v>
      </c>
      <c r="D2930" t="s">
        <v>40</v>
      </c>
      <c r="E2930" t="s">
        <v>19</v>
      </c>
      <c r="F2930" t="s">
        <v>29</v>
      </c>
      <c r="G2930" t="s">
        <v>1818</v>
      </c>
      <c r="H2930" s="8">
        <v>1447.8</v>
      </c>
      <c r="I2930" s="8">
        <v>-0.04</v>
      </c>
      <c r="J2930" s="8">
        <v>0.13</v>
      </c>
      <c r="K2930" t="str">
        <f>IF(SalesData[[#This Row],[Profit]]&gt;0,"Profit","Loss")</f>
        <v>Loss</v>
      </c>
      <c r="L2930" s="8">
        <f>SalesData[[#This Row],[Profit]]/SalesData[[#This Row],[Sales]]</f>
        <v>-2.762812543168946E-5</v>
      </c>
      <c r="M2930" t="str">
        <f>TEXT(SalesData[[#This Row],[Order_Date]],"mmm")</f>
        <v>Jan</v>
      </c>
      <c r="N2930">
        <f>YEAR(SalesData[[#This Row],[Order_Date]])</f>
        <v>2022</v>
      </c>
    </row>
    <row r="2931" spans="1:14" x14ac:dyDescent="0.3">
      <c r="A2931" t="s">
        <v>4231</v>
      </c>
      <c r="B2931" s="1">
        <v>44693</v>
      </c>
      <c r="C2931" t="s">
        <v>1874</v>
      </c>
      <c r="D2931" t="s">
        <v>18</v>
      </c>
      <c r="E2931" t="s">
        <v>19</v>
      </c>
      <c r="F2931" t="s">
        <v>20</v>
      </c>
      <c r="G2931" t="s">
        <v>128</v>
      </c>
      <c r="H2931" s="8">
        <v>2275.2600000000002</v>
      </c>
      <c r="I2931" s="8">
        <v>-547</v>
      </c>
      <c r="J2931" s="8">
        <v>0.28999999999999998</v>
      </c>
      <c r="K2931" t="str">
        <f>IF(SalesData[[#This Row],[Profit]]&gt;0,"Profit","Loss")</f>
        <v>Loss</v>
      </c>
      <c r="L2931" s="8">
        <f>SalesData[[#This Row],[Profit]]/SalesData[[#This Row],[Sales]]</f>
        <v>-0.24041208477272924</v>
      </c>
      <c r="M2931" t="str">
        <f>TEXT(SalesData[[#This Row],[Order_Date]],"mmm")</f>
        <v>May</v>
      </c>
      <c r="N2931">
        <f>YEAR(SalesData[[#This Row],[Order_Date]])</f>
        <v>2022</v>
      </c>
    </row>
    <row r="2932" spans="1:14" x14ac:dyDescent="0.3">
      <c r="A2932" t="s">
        <v>4232</v>
      </c>
      <c r="B2932" s="1">
        <v>45184</v>
      </c>
      <c r="C2932" t="s">
        <v>302</v>
      </c>
      <c r="D2932" t="s">
        <v>28</v>
      </c>
      <c r="E2932" t="s">
        <v>56</v>
      </c>
      <c r="F2932" t="s">
        <v>57</v>
      </c>
      <c r="G2932" t="s">
        <v>1434</v>
      </c>
      <c r="H2932" s="8">
        <v>3489.96</v>
      </c>
      <c r="I2932" s="8">
        <v>-513.67999999999995</v>
      </c>
      <c r="J2932" s="8">
        <v>0.14000000000000001</v>
      </c>
      <c r="K2932" t="str">
        <f>IF(SalesData[[#This Row],[Profit]]&gt;0,"Profit","Loss")</f>
        <v>Loss</v>
      </c>
      <c r="L2932" s="8">
        <f>SalesData[[#This Row],[Profit]]/SalesData[[#This Row],[Sales]]</f>
        <v>-0.14718793338605599</v>
      </c>
      <c r="M2932" t="str">
        <f>TEXT(SalesData[[#This Row],[Order_Date]],"mmm")</f>
        <v>Sep</v>
      </c>
      <c r="N2932">
        <f>YEAR(SalesData[[#This Row],[Order_Date]])</f>
        <v>2023</v>
      </c>
    </row>
    <row r="2933" spans="1:14" x14ac:dyDescent="0.3">
      <c r="A2933" t="s">
        <v>4233</v>
      </c>
      <c r="B2933" s="1">
        <v>45056</v>
      </c>
      <c r="C2933" t="s">
        <v>2679</v>
      </c>
      <c r="D2933" t="s">
        <v>18</v>
      </c>
      <c r="E2933" t="s">
        <v>56</v>
      </c>
      <c r="F2933" t="s">
        <v>73</v>
      </c>
      <c r="G2933" t="s">
        <v>3009</v>
      </c>
      <c r="H2933" s="8">
        <v>2831.08</v>
      </c>
      <c r="I2933" s="8">
        <v>-610.47</v>
      </c>
      <c r="J2933" s="8">
        <v>0.23</v>
      </c>
      <c r="K2933" t="str">
        <f>IF(SalesData[[#This Row],[Profit]]&gt;0,"Profit","Loss")</f>
        <v>Loss</v>
      </c>
      <c r="L2933" s="8">
        <f>SalesData[[#This Row],[Profit]]/SalesData[[#This Row],[Sales]]</f>
        <v>-0.2156314904559391</v>
      </c>
      <c r="M2933" t="str">
        <f>TEXT(SalesData[[#This Row],[Order_Date]],"mmm")</f>
        <v>May</v>
      </c>
      <c r="N2933">
        <f>YEAR(SalesData[[#This Row],[Order_Date]])</f>
        <v>2023</v>
      </c>
    </row>
    <row r="2934" spans="1:14" x14ac:dyDescent="0.3">
      <c r="A2934" t="s">
        <v>4234</v>
      </c>
      <c r="B2934" s="1">
        <v>44922</v>
      </c>
      <c r="C2934" t="s">
        <v>1603</v>
      </c>
      <c r="D2934" t="s">
        <v>18</v>
      </c>
      <c r="E2934" t="s">
        <v>13</v>
      </c>
      <c r="F2934" t="s">
        <v>14</v>
      </c>
      <c r="G2934" t="s">
        <v>64</v>
      </c>
      <c r="H2934" s="8">
        <v>4333</v>
      </c>
      <c r="I2934" s="8">
        <v>-1442.57</v>
      </c>
      <c r="J2934" s="8">
        <v>0.18</v>
      </c>
      <c r="K2934" t="str">
        <f>IF(SalesData[[#This Row],[Profit]]&gt;0,"Profit","Loss")</f>
        <v>Loss</v>
      </c>
      <c r="L2934" s="8">
        <f>SalesData[[#This Row],[Profit]]/SalesData[[#This Row],[Sales]]</f>
        <v>-0.3329263789522271</v>
      </c>
      <c r="M2934" t="str">
        <f>TEXT(SalesData[[#This Row],[Order_Date]],"mmm")</f>
        <v>Dec</v>
      </c>
      <c r="N2934">
        <f>YEAR(SalesData[[#This Row],[Order_Date]])</f>
        <v>2022</v>
      </c>
    </row>
    <row r="2935" spans="1:14" x14ac:dyDescent="0.3">
      <c r="A2935" t="s">
        <v>4235</v>
      </c>
      <c r="B2935" s="1">
        <v>45083</v>
      </c>
      <c r="C2935" t="s">
        <v>996</v>
      </c>
      <c r="D2935" t="s">
        <v>40</v>
      </c>
      <c r="E2935" t="s">
        <v>19</v>
      </c>
      <c r="F2935" t="s">
        <v>20</v>
      </c>
      <c r="G2935" t="s">
        <v>752</v>
      </c>
      <c r="H2935" s="8">
        <v>3064.59</v>
      </c>
      <c r="I2935" s="8">
        <v>787.21</v>
      </c>
      <c r="J2935" s="8">
        <v>0.02</v>
      </c>
      <c r="K2935" t="str">
        <f>IF(SalesData[[#This Row],[Profit]]&gt;0,"Profit","Loss")</f>
        <v>Profit</v>
      </c>
      <c r="L2935" s="8">
        <f>SalesData[[#This Row],[Profit]]/SalesData[[#This Row],[Sales]]</f>
        <v>0.25687286064367498</v>
      </c>
      <c r="M2935" t="str">
        <f>TEXT(SalesData[[#This Row],[Order_Date]],"mmm")</f>
        <v>Jun</v>
      </c>
      <c r="N2935">
        <f>YEAR(SalesData[[#This Row],[Order_Date]])</f>
        <v>2023</v>
      </c>
    </row>
    <row r="2936" spans="1:14" x14ac:dyDescent="0.3">
      <c r="A2936" t="s">
        <v>4236</v>
      </c>
      <c r="B2936" s="1">
        <v>45024</v>
      </c>
      <c r="C2936" t="s">
        <v>1291</v>
      </c>
      <c r="D2936" t="s">
        <v>40</v>
      </c>
      <c r="E2936" t="s">
        <v>13</v>
      </c>
      <c r="F2936" t="s">
        <v>24</v>
      </c>
      <c r="G2936" t="s">
        <v>694</v>
      </c>
      <c r="H2936" s="8">
        <v>487.36</v>
      </c>
      <c r="I2936" s="8">
        <v>-176.78</v>
      </c>
      <c r="J2936" s="8">
        <v>0.22</v>
      </c>
      <c r="K2936" t="str">
        <f>IF(SalesData[[#This Row],[Profit]]&gt;0,"Profit","Loss")</f>
        <v>Loss</v>
      </c>
      <c r="L2936" s="8">
        <f>SalesData[[#This Row],[Profit]]/SalesData[[#This Row],[Sales]]</f>
        <v>-0.36272980958634271</v>
      </c>
      <c r="M2936" t="str">
        <f>TEXT(SalesData[[#This Row],[Order_Date]],"mmm")</f>
        <v>Apr</v>
      </c>
      <c r="N2936">
        <f>YEAR(SalesData[[#This Row],[Order_Date]])</f>
        <v>2023</v>
      </c>
    </row>
    <row r="2937" spans="1:14" x14ac:dyDescent="0.3">
      <c r="A2937" t="s">
        <v>4237</v>
      </c>
      <c r="B2937" s="1">
        <v>44969</v>
      </c>
      <c r="C2937" t="s">
        <v>2061</v>
      </c>
      <c r="D2937" t="s">
        <v>28</v>
      </c>
      <c r="E2937" t="s">
        <v>13</v>
      </c>
      <c r="F2937" t="s">
        <v>36</v>
      </c>
      <c r="G2937" t="s">
        <v>282</v>
      </c>
      <c r="H2937" s="8">
        <v>3378.48</v>
      </c>
      <c r="I2937" s="8">
        <v>438.67</v>
      </c>
      <c r="J2937" s="8">
        <v>7.0000000000000007E-2</v>
      </c>
      <c r="K2937" t="str">
        <f>IF(SalesData[[#This Row],[Profit]]&gt;0,"Profit","Loss")</f>
        <v>Profit</v>
      </c>
      <c r="L2937" s="8">
        <f>SalesData[[#This Row],[Profit]]/SalesData[[#This Row],[Sales]]</f>
        <v>0.12984241434017665</v>
      </c>
      <c r="M2937" t="str">
        <f>TEXT(SalesData[[#This Row],[Order_Date]],"mmm")</f>
        <v>Feb</v>
      </c>
      <c r="N2937">
        <f>YEAR(SalesData[[#This Row],[Order_Date]])</f>
        <v>2023</v>
      </c>
    </row>
    <row r="2938" spans="1:14" x14ac:dyDescent="0.3">
      <c r="A2938" t="s">
        <v>4238</v>
      </c>
      <c r="B2938" s="1">
        <v>44574</v>
      </c>
      <c r="C2938" t="s">
        <v>3694</v>
      </c>
      <c r="D2938" t="s">
        <v>40</v>
      </c>
      <c r="E2938" t="s">
        <v>19</v>
      </c>
      <c r="F2938" t="s">
        <v>20</v>
      </c>
      <c r="G2938" t="s">
        <v>3726</v>
      </c>
      <c r="H2938" s="8">
        <v>347.83</v>
      </c>
      <c r="I2938" s="8">
        <v>-18.260000000000002</v>
      </c>
      <c r="J2938" s="8">
        <v>0</v>
      </c>
      <c r="K2938" t="str">
        <f>IF(SalesData[[#This Row],[Profit]]&gt;0,"Profit","Loss")</f>
        <v>Loss</v>
      </c>
      <c r="L2938" s="8">
        <f>SalesData[[#This Row],[Profit]]/SalesData[[#This Row],[Sales]]</f>
        <v>-5.2496909409769144E-2</v>
      </c>
      <c r="M2938" t="str">
        <f>TEXT(SalesData[[#This Row],[Order_Date]],"mmm")</f>
        <v>Jan</v>
      </c>
      <c r="N2938">
        <f>YEAR(SalesData[[#This Row],[Order_Date]])</f>
        <v>2022</v>
      </c>
    </row>
    <row r="2939" spans="1:14" x14ac:dyDescent="0.3">
      <c r="A2939" t="s">
        <v>4239</v>
      </c>
      <c r="B2939" s="1">
        <v>44816</v>
      </c>
      <c r="C2939" t="s">
        <v>1310</v>
      </c>
      <c r="D2939" t="s">
        <v>18</v>
      </c>
      <c r="E2939" t="s">
        <v>19</v>
      </c>
      <c r="F2939" t="s">
        <v>20</v>
      </c>
      <c r="G2939" t="s">
        <v>2091</v>
      </c>
      <c r="H2939" s="8">
        <v>2743.92</v>
      </c>
      <c r="I2939" s="8">
        <v>265.27</v>
      </c>
      <c r="J2939" s="8">
        <v>0.3</v>
      </c>
      <c r="K2939" t="str">
        <f>IF(SalesData[[#This Row],[Profit]]&gt;0,"Profit","Loss")</f>
        <v>Profit</v>
      </c>
      <c r="L2939" s="8">
        <f>SalesData[[#This Row],[Profit]]/SalesData[[#This Row],[Sales]]</f>
        <v>9.6675559054199819E-2</v>
      </c>
      <c r="M2939" t="str">
        <f>TEXT(SalesData[[#This Row],[Order_Date]],"mmm")</f>
        <v>Sep</v>
      </c>
      <c r="N2939">
        <f>YEAR(SalesData[[#This Row],[Order_Date]])</f>
        <v>2022</v>
      </c>
    </row>
    <row r="2940" spans="1:14" x14ac:dyDescent="0.3">
      <c r="A2940" t="s">
        <v>4240</v>
      </c>
      <c r="B2940" s="1">
        <v>44726</v>
      </c>
      <c r="C2940" t="s">
        <v>2148</v>
      </c>
      <c r="D2940" t="s">
        <v>12</v>
      </c>
      <c r="E2940" t="s">
        <v>56</v>
      </c>
      <c r="F2940" t="s">
        <v>73</v>
      </c>
      <c r="G2940" t="s">
        <v>1709</v>
      </c>
      <c r="H2940" s="8">
        <v>218.25</v>
      </c>
      <c r="I2940" s="8">
        <v>-6.64</v>
      </c>
      <c r="J2940" s="8">
        <v>0.06</v>
      </c>
      <c r="K2940" t="str">
        <f>IF(SalesData[[#This Row],[Profit]]&gt;0,"Profit","Loss")</f>
        <v>Loss</v>
      </c>
      <c r="L2940" s="8">
        <f>SalesData[[#This Row],[Profit]]/SalesData[[#This Row],[Sales]]</f>
        <v>-3.0423825887743412E-2</v>
      </c>
      <c r="M2940" t="str">
        <f>TEXT(SalesData[[#This Row],[Order_Date]],"mmm")</f>
        <v>Jun</v>
      </c>
      <c r="N2940">
        <f>YEAR(SalesData[[#This Row],[Order_Date]])</f>
        <v>2022</v>
      </c>
    </row>
    <row r="2941" spans="1:14" x14ac:dyDescent="0.3">
      <c r="A2941" t="s">
        <v>4241</v>
      </c>
      <c r="B2941" s="1">
        <v>44847</v>
      </c>
      <c r="C2941" t="s">
        <v>2881</v>
      </c>
      <c r="D2941" t="s">
        <v>12</v>
      </c>
      <c r="E2941" t="s">
        <v>13</v>
      </c>
      <c r="F2941" t="s">
        <v>36</v>
      </c>
      <c r="G2941" t="s">
        <v>803</v>
      </c>
      <c r="H2941" s="8">
        <v>4585.16</v>
      </c>
      <c r="I2941" s="8">
        <v>-552.03</v>
      </c>
      <c r="J2941" s="8">
        <v>0.16</v>
      </c>
      <c r="K2941" t="str">
        <f>IF(SalesData[[#This Row],[Profit]]&gt;0,"Profit","Loss")</f>
        <v>Loss</v>
      </c>
      <c r="L2941" s="8">
        <f>SalesData[[#This Row],[Profit]]/SalesData[[#This Row],[Sales]]</f>
        <v>-0.12039492624030568</v>
      </c>
      <c r="M2941" t="str">
        <f>TEXT(SalesData[[#This Row],[Order_Date]],"mmm")</f>
        <v>Oct</v>
      </c>
      <c r="N2941">
        <f>YEAR(SalesData[[#This Row],[Order_Date]])</f>
        <v>2022</v>
      </c>
    </row>
    <row r="2942" spans="1:14" x14ac:dyDescent="0.3">
      <c r="A2942" t="s">
        <v>4242</v>
      </c>
      <c r="B2942" s="1">
        <v>45184</v>
      </c>
      <c r="C2942" t="s">
        <v>1494</v>
      </c>
      <c r="D2942" t="s">
        <v>40</v>
      </c>
      <c r="E2942" t="s">
        <v>19</v>
      </c>
      <c r="F2942" t="s">
        <v>141</v>
      </c>
      <c r="G2942" t="s">
        <v>392</v>
      </c>
      <c r="H2942" s="8">
        <v>2748.38</v>
      </c>
      <c r="I2942" s="8">
        <v>-156.61000000000001</v>
      </c>
      <c r="J2942" s="8">
        <v>0.05</v>
      </c>
      <c r="K2942" t="str">
        <f>IF(SalesData[[#This Row],[Profit]]&gt;0,"Profit","Loss")</f>
        <v>Loss</v>
      </c>
      <c r="L2942" s="8">
        <f>SalesData[[#This Row],[Profit]]/SalesData[[#This Row],[Sales]]</f>
        <v>-5.6982658875410243E-2</v>
      </c>
      <c r="M2942" t="str">
        <f>TEXT(SalesData[[#This Row],[Order_Date]],"mmm")</f>
        <v>Sep</v>
      </c>
      <c r="N2942">
        <f>YEAR(SalesData[[#This Row],[Order_Date]])</f>
        <v>2023</v>
      </c>
    </row>
    <row r="2943" spans="1:14" x14ac:dyDescent="0.3">
      <c r="A2943" t="s">
        <v>4243</v>
      </c>
      <c r="B2943" s="1">
        <v>44770</v>
      </c>
      <c r="C2943" t="s">
        <v>805</v>
      </c>
      <c r="D2943" t="s">
        <v>18</v>
      </c>
      <c r="E2943" t="s">
        <v>19</v>
      </c>
      <c r="F2943" t="s">
        <v>29</v>
      </c>
      <c r="G2943" t="s">
        <v>878</v>
      </c>
      <c r="H2943" s="8">
        <v>3491.04</v>
      </c>
      <c r="I2943" s="8">
        <v>-998.48</v>
      </c>
      <c r="J2943" s="8">
        <v>0.21</v>
      </c>
      <c r="K2943" t="str">
        <f>IF(SalesData[[#This Row],[Profit]]&gt;0,"Profit","Loss")</f>
        <v>Loss</v>
      </c>
      <c r="L2943" s="8">
        <f>SalesData[[#This Row],[Profit]]/SalesData[[#This Row],[Sales]]</f>
        <v>-0.28601219120949634</v>
      </c>
      <c r="M2943" t="str">
        <f>TEXT(SalesData[[#This Row],[Order_Date]],"mmm")</f>
        <v>Jul</v>
      </c>
      <c r="N2943">
        <f>YEAR(SalesData[[#This Row],[Order_Date]])</f>
        <v>2022</v>
      </c>
    </row>
    <row r="2944" spans="1:14" x14ac:dyDescent="0.3">
      <c r="A2944" t="s">
        <v>4244</v>
      </c>
      <c r="B2944" s="1">
        <v>45041</v>
      </c>
      <c r="C2944" t="s">
        <v>127</v>
      </c>
      <c r="D2944" t="s">
        <v>40</v>
      </c>
      <c r="E2944" t="s">
        <v>13</v>
      </c>
      <c r="F2944" t="s">
        <v>36</v>
      </c>
      <c r="G2944" t="s">
        <v>119</v>
      </c>
      <c r="H2944" s="8">
        <v>747.54</v>
      </c>
      <c r="I2944" s="8">
        <v>-79.3</v>
      </c>
      <c r="J2944" s="8">
        <v>0.02</v>
      </c>
      <c r="K2944" t="str">
        <f>IF(SalesData[[#This Row],[Profit]]&gt;0,"Profit","Loss")</f>
        <v>Loss</v>
      </c>
      <c r="L2944" s="8">
        <f>SalesData[[#This Row],[Profit]]/SalesData[[#This Row],[Sales]]</f>
        <v>-0.10608127993150868</v>
      </c>
      <c r="M2944" t="str">
        <f>TEXT(SalesData[[#This Row],[Order_Date]],"mmm")</f>
        <v>Apr</v>
      </c>
      <c r="N2944">
        <f>YEAR(SalesData[[#This Row],[Order_Date]])</f>
        <v>2023</v>
      </c>
    </row>
    <row r="2945" spans="1:14" x14ac:dyDescent="0.3">
      <c r="A2945" t="s">
        <v>4245</v>
      </c>
      <c r="B2945" s="1">
        <v>45004</v>
      </c>
      <c r="C2945" t="s">
        <v>1959</v>
      </c>
      <c r="D2945" t="s">
        <v>12</v>
      </c>
      <c r="E2945" t="s">
        <v>56</v>
      </c>
      <c r="F2945" t="s">
        <v>73</v>
      </c>
      <c r="G2945" t="s">
        <v>515</v>
      </c>
      <c r="H2945" s="8">
        <v>4548.63</v>
      </c>
      <c r="I2945" s="8">
        <v>-57.98</v>
      </c>
      <c r="J2945" s="8">
        <v>0.27</v>
      </c>
      <c r="K2945" t="str">
        <f>IF(SalesData[[#This Row],[Profit]]&gt;0,"Profit","Loss")</f>
        <v>Loss</v>
      </c>
      <c r="L2945" s="8">
        <f>SalesData[[#This Row],[Profit]]/SalesData[[#This Row],[Sales]]</f>
        <v>-1.2746695158762087E-2</v>
      </c>
      <c r="M2945" t="str">
        <f>TEXT(SalesData[[#This Row],[Order_Date]],"mmm")</f>
        <v>Mar</v>
      </c>
      <c r="N2945">
        <f>YEAR(SalesData[[#This Row],[Order_Date]])</f>
        <v>2023</v>
      </c>
    </row>
    <row r="2946" spans="1:14" x14ac:dyDescent="0.3">
      <c r="A2946" t="s">
        <v>4246</v>
      </c>
      <c r="B2946" s="1">
        <v>44734</v>
      </c>
      <c r="C2946" t="s">
        <v>2924</v>
      </c>
      <c r="D2946" t="s">
        <v>12</v>
      </c>
      <c r="E2946" t="s">
        <v>13</v>
      </c>
      <c r="F2946" t="s">
        <v>24</v>
      </c>
      <c r="G2946" t="s">
        <v>862</v>
      </c>
      <c r="H2946" s="8">
        <v>2836.11</v>
      </c>
      <c r="I2946" s="8">
        <v>-1345.63</v>
      </c>
      <c r="J2946" s="8">
        <v>0.3</v>
      </c>
      <c r="K2946" t="str">
        <f>IF(SalesData[[#This Row],[Profit]]&gt;0,"Profit","Loss")</f>
        <v>Loss</v>
      </c>
      <c r="L2946" s="8">
        <f>SalesData[[#This Row],[Profit]]/SalesData[[#This Row],[Sales]]</f>
        <v>-0.47446326129804556</v>
      </c>
      <c r="M2946" t="str">
        <f>TEXT(SalesData[[#This Row],[Order_Date]],"mmm")</f>
        <v>Jun</v>
      </c>
      <c r="N2946">
        <f>YEAR(SalesData[[#This Row],[Order_Date]])</f>
        <v>2022</v>
      </c>
    </row>
    <row r="2947" spans="1:14" x14ac:dyDescent="0.3">
      <c r="A2947" t="s">
        <v>4247</v>
      </c>
      <c r="B2947" s="1">
        <v>45206</v>
      </c>
      <c r="C2947" t="s">
        <v>4248</v>
      </c>
      <c r="D2947" t="s">
        <v>18</v>
      </c>
      <c r="E2947" t="s">
        <v>13</v>
      </c>
      <c r="F2947" t="s">
        <v>24</v>
      </c>
      <c r="G2947" t="s">
        <v>33</v>
      </c>
      <c r="H2947" s="8">
        <v>554.02</v>
      </c>
      <c r="I2947" s="8">
        <v>24.04</v>
      </c>
      <c r="J2947" s="8">
        <v>0.25</v>
      </c>
      <c r="K2947" t="str">
        <f>IF(SalesData[[#This Row],[Profit]]&gt;0,"Profit","Loss")</f>
        <v>Profit</v>
      </c>
      <c r="L2947" s="8">
        <f>SalesData[[#This Row],[Profit]]/SalesData[[#This Row],[Sales]]</f>
        <v>4.3391935309194614E-2</v>
      </c>
      <c r="M2947" t="str">
        <f>TEXT(SalesData[[#This Row],[Order_Date]],"mmm")</f>
        <v>Oct</v>
      </c>
      <c r="N2947">
        <f>YEAR(SalesData[[#This Row],[Order_Date]])</f>
        <v>2023</v>
      </c>
    </row>
    <row r="2948" spans="1:14" x14ac:dyDescent="0.3">
      <c r="A2948" t="s">
        <v>4249</v>
      </c>
      <c r="B2948" s="1">
        <v>44949</v>
      </c>
      <c r="C2948" t="s">
        <v>353</v>
      </c>
      <c r="D2948" t="s">
        <v>12</v>
      </c>
      <c r="E2948" t="s">
        <v>56</v>
      </c>
      <c r="F2948" t="s">
        <v>57</v>
      </c>
      <c r="G2948" t="s">
        <v>1980</v>
      </c>
      <c r="H2948" s="8">
        <v>3435.67</v>
      </c>
      <c r="I2948" s="8">
        <v>56.53</v>
      </c>
      <c r="J2948" s="8">
        <v>0.27</v>
      </c>
      <c r="K2948" t="str">
        <f>IF(SalesData[[#This Row],[Profit]]&gt;0,"Profit","Loss")</f>
        <v>Profit</v>
      </c>
      <c r="L2948" s="8">
        <f>SalesData[[#This Row],[Profit]]/SalesData[[#This Row],[Sales]]</f>
        <v>1.6453850340690461E-2</v>
      </c>
      <c r="M2948" t="str">
        <f>TEXT(SalesData[[#This Row],[Order_Date]],"mmm")</f>
        <v>Jan</v>
      </c>
      <c r="N2948">
        <f>YEAR(SalesData[[#This Row],[Order_Date]])</f>
        <v>2023</v>
      </c>
    </row>
    <row r="2949" spans="1:14" x14ac:dyDescent="0.3">
      <c r="A2949" t="s">
        <v>4250</v>
      </c>
      <c r="B2949" s="1">
        <v>44970</v>
      </c>
      <c r="C2949" t="s">
        <v>567</v>
      </c>
      <c r="D2949" t="s">
        <v>18</v>
      </c>
      <c r="E2949" t="s">
        <v>13</v>
      </c>
      <c r="F2949" t="s">
        <v>36</v>
      </c>
      <c r="G2949" t="s">
        <v>867</v>
      </c>
      <c r="H2949" s="8">
        <v>2812.37</v>
      </c>
      <c r="I2949" s="8">
        <v>-461.94</v>
      </c>
      <c r="J2949" s="8">
        <v>0.17</v>
      </c>
      <c r="K2949" t="str">
        <f>IF(SalesData[[#This Row],[Profit]]&gt;0,"Profit","Loss")</f>
        <v>Loss</v>
      </c>
      <c r="L2949" s="8">
        <f>SalesData[[#This Row],[Profit]]/SalesData[[#This Row],[Sales]]</f>
        <v>-0.16425292546855499</v>
      </c>
      <c r="M2949" t="str">
        <f>TEXT(SalesData[[#This Row],[Order_Date]],"mmm")</f>
        <v>Feb</v>
      </c>
      <c r="N2949">
        <f>YEAR(SalesData[[#This Row],[Order_Date]])</f>
        <v>2023</v>
      </c>
    </row>
    <row r="2950" spans="1:14" x14ac:dyDescent="0.3">
      <c r="A2950" t="s">
        <v>4251</v>
      </c>
      <c r="B2950" s="1">
        <v>45027</v>
      </c>
      <c r="C2950" t="s">
        <v>361</v>
      </c>
      <c r="D2950" t="s">
        <v>18</v>
      </c>
      <c r="E2950" t="s">
        <v>56</v>
      </c>
      <c r="F2950" t="s">
        <v>57</v>
      </c>
      <c r="G2950" t="s">
        <v>1046</v>
      </c>
      <c r="H2950" s="8">
        <v>3010.6</v>
      </c>
      <c r="I2950" s="8">
        <v>-430.03</v>
      </c>
      <c r="J2950" s="8">
        <v>0.12</v>
      </c>
      <c r="K2950" t="str">
        <f>IF(SalesData[[#This Row],[Profit]]&gt;0,"Profit","Loss")</f>
        <v>Loss</v>
      </c>
      <c r="L2950" s="8">
        <f>SalesData[[#This Row],[Profit]]/SalesData[[#This Row],[Sales]]</f>
        <v>-0.1428386368165814</v>
      </c>
      <c r="M2950" t="str">
        <f>TEXT(SalesData[[#This Row],[Order_Date]],"mmm")</f>
        <v>Apr</v>
      </c>
      <c r="N2950">
        <f>YEAR(SalesData[[#This Row],[Order_Date]])</f>
        <v>2023</v>
      </c>
    </row>
    <row r="2951" spans="1:14" x14ac:dyDescent="0.3">
      <c r="A2951" t="s">
        <v>4252</v>
      </c>
      <c r="B2951" s="1">
        <v>45049</v>
      </c>
      <c r="C2951" t="s">
        <v>2264</v>
      </c>
      <c r="D2951" t="s">
        <v>40</v>
      </c>
      <c r="E2951" t="s">
        <v>56</v>
      </c>
      <c r="F2951" t="s">
        <v>95</v>
      </c>
      <c r="G2951" t="s">
        <v>178</v>
      </c>
      <c r="H2951" s="8">
        <v>1206.8599999999999</v>
      </c>
      <c r="I2951" s="8">
        <v>-76.19</v>
      </c>
      <c r="J2951" s="8">
        <v>0.27</v>
      </c>
      <c r="K2951" t="str">
        <f>IF(SalesData[[#This Row],[Profit]]&gt;0,"Profit","Loss")</f>
        <v>Loss</v>
      </c>
      <c r="L2951" s="8">
        <f>SalesData[[#This Row],[Profit]]/SalesData[[#This Row],[Sales]]</f>
        <v>-6.313076910329285E-2</v>
      </c>
      <c r="M2951" t="str">
        <f>TEXT(SalesData[[#This Row],[Order_Date]],"mmm")</f>
        <v>May</v>
      </c>
      <c r="N2951">
        <f>YEAR(SalesData[[#This Row],[Order_Date]])</f>
        <v>2023</v>
      </c>
    </row>
    <row r="2952" spans="1:14" x14ac:dyDescent="0.3">
      <c r="A2952" t="s">
        <v>4253</v>
      </c>
      <c r="B2952" s="1">
        <v>44620</v>
      </c>
      <c r="C2952" t="s">
        <v>3490</v>
      </c>
      <c r="D2952" t="s">
        <v>18</v>
      </c>
      <c r="E2952" t="s">
        <v>13</v>
      </c>
      <c r="F2952" t="s">
        <v>36</v>
      </c>
      <c r="G2952" t="s">
        <v>1355</v>
      </c>
      <c r="H2952" s="8">
        <v>1551.7</v>
      </c>
      <c r="I2952" s="8">
        <v>240.74</v>
      </c>
      <c r="J2952" s="8">
        <v>0.22</v>
      </c>
      <c r="K2952" t="str">
        <f>IF(SalesData[[#This Row],[Profit]]&gt;0,"Profit","Loss")</f>
        <v>Profit</v>
      </c>
      <c r="L2952" s="8">
        <f>SalesData[[#This Row],[Profit]]/SalesData[[#This Row],[Sales]]</f>
        <v>0.15514596893729457</v>
      </c>
      <c r="M2952" t="str">
        <f>TEXT(SalesData[[#This Row],[Order_Date]],"mmm")</f>
        <v>Feb</v>
      </c>
      <c r="N2952">
        <f>YEAR(SalesData[[#This Row],[Order_Date]])</f>
        <v>2022</v>
      </c>
    </row>
    <row r="2953" spans="1:14" x14ac:dyDescent="0.3">
      <c r="A2953" t="s">
        <v>4254</v>
      </c>
      <c r="B2953" s="1">
        <v>44637</v>
      </c>
      <c r="C2953" t="s">
        <v>890</v>
      </c>
      <c r="D2953" t="s">
        <v>40</v>
      </c>
      <c r="E2953" t="s">
        <v>13</v>
      </c>
      <c r="F2953" t="s">
        <v>14</v>
      </c>
      <c r="G2953" t="s">
        <v>966</v>
      </c>
      <c r="H2953" s="8">
        <v>491.65</v>
      </c>
      <c r="I2953" s="8">
        <v>-126.08</v>
      </c>
      <c r="J2953" s="8">
        <v>0.23</v>
      </c>
      <c r="K2953" t="str">
        <f>IF(SalesData[[#This Row],[Profit]]&gt;0,"Profit","Loss")</f>
        <v>Loss</v>
      </c>
      <c r="L2953" s="8">
        <f>SalesData[[#This Row],[Profit]]/SalesData[[#This Row],[Sales]]</f>
        <v>-0.25644259127428048</v>
      </c>
      <c r="M2953" t="str">
        <f>TEXT(SalesData[[#This Row],[Order_Date]],"mmm")</f>
        <v>Mar</v>
      </c>
      <c r="N2953">
        <f>YEAR(SalesData[[#This Row],[Order_Date]])</f>
        <v>2022</v>
      </c>
    </row>
    <row r="2954" spans="1:14" x14ac:dyDescent="0.3">
      <c r="A2954" t="s">
        <v>4255</v>
      </c>
      <c r="B2954" s="1">
        <v>44958</v>
      </c>
      <c r="C2954" t="s">
        <v>2301</v>
      </c>
      <c r="D2954" t="s">
        <v>18</v>
      </c>
      <c r="E2954" t="s">
        <v>56</v>
      </c>
      <c r="F2954" t="s">
        <v>73</v>
      </c>
      <c r="G2954" t="s">
        <v>163</v>
      </c>
      <c r="H2954" s="8">
        <v>1434.27</v>
      </c>
      <c r="I2954" s="8">
        <v>-241.6</v>
      </c>
      <c r="J2954" s="8">
        <v>0.26</v>
      </c>
      <c r="K2954" t="str">
        <f>IF(SalesData[[#This Row],[Profit]]&gt;0,"Profit","Loss")</f>
        <v>Loss</v>
      </c>
      <c r="L2954" s="8">
        <f>SalesData[[#This Row],[Profit]]/SalesData[[#This Row],[Sales]]</f>
        <v>-0.16844806068592386</v>
      </c>
      <c r="M2954" t="str">
        <f>TEXT(SalesData[[#This Row],[Order_Date]],"mmm")</f>
        <v>Feb</v>
      </c>
      <c r="N2954">
        <f>YEAR(SalesData[[#This Row],[Order_Date]])</f>
        <v>2023</v>
      </c>
    </row>
    <row r="2955" spans="1:14" x14ac:dyDescent="0.3">
      <c r="A2955" t="s">
        <v>4256</v>
      </c>
      <c r="B2955" s="1">
        <v>44564</v>
      </c>
      <c r="C2955" t="s">
        <v>1457</v>
      </c>
      <c r="D2955" t="s">
        <v>18</v>
      </c>
      <c r="E2955" t="s">
        <v>19</v>
      </c>
      <c r="F2955" t="s">
        <v>20</v>
      </c>
      <c r="G2955" t="s">
        <v>1825</v>
      </c>
      <c r="H2955" s="8">
        <v>1316.17</v>
      </c>
      <c r="I2955" s="8">
        <v>-84.59</v>
      </c>
      <c r="J2955" s="8">
        <v>0.21</v>
      </c>
      <c r="K2955" t="str">
        <f>IF(SalesData[[#This Row],[Profit]]&gt;0,"Profit","Loss")</f>
        <v>Loss</v>
      </c>
      <c r="L2955" s="8">
        <f>SalesData[[#This Row],[Profit]]/SalesData[[#This Row],[Sales]]</f>
        <v>-6.426981317003122E-2</v>
      </c>
      <c r="M2955" t="str">
        <f>TEXT(SalesData[[#This Row],[Order_Date]],"mmm")</f>
        <v>Jan</v>
      </c>
      <c r="N2955">
        <f>YEAR(SalesData[[#This Row],[Order_Date]])</f>
        <v>2022</v>
      </c>
    </row>
    <row r="2956" spans="1:14" x14ac:dyDescent="0.3">
      <c r="A2956" t="s">
        <v>4257</v>
      </c>
      <c r="B2956" s="1">
        <v>44578</v>
      </c>
      <c r="C2956" t="s">
        <v>1158</v>
      </c>
      <c r="D2956" t="s">
        <v>40</v>
      </c>
      <c r="E2956" t="s">
        <v>56</v>
      </c>
      <c r="F2956" t="s">
        <v>57</v>
      </c>
      <c r="G2956" t="s">
        <v>2141</v>
      </c>
      <c r="H2956" s="8">
        <v>3770.3</v>
      </c>
      <c r="I2956" s="8">
        <v>379.94</v>
      </c>
      <c r="J2956" s="8">
        <v>0.02</v>
      </c>
      <c r="K2956" t="str">
        <f>IF(SalesData[[#This Row],[Profit]]&gt;0,"Profit","Loss")</f>
        <v>Profit</v>
      </c>
      <c r="L2956" s="8">
        <f>SalesData[[#This Row],[Profit]]/SalesData[[#This Row],[Sales]]</f>
        <v>0.10077182187093865</v>
      </c>
      <c r="M2956" t="str">
        <f>TEXT(SalesData[[#This Row],[Order_Date]],"mmm")</f>
        <v>Jan</v>
      </c>
      <c r="N2956">
        <f>YEAR(SalesData[[#This Row],[Order_Date]])</f>
        <v>2022</v>
      </c>
    </row>
    <row r="2957" spans="1:14" x14ac:dyDescent="0.3">
      <c r="A2957" t="s">
        <v>4258</v>
      </c>
      <c r="B2957" s="1">
        <v>44611</v>
      </c>
      <c r="C2957" t="s">
        <v>91</v>
      </c>
      <c r="D2957" t="s">
        <v>12</v>
      </c>
      <c r="E2957" t="s">
        <v>13</v>
      </c>
      <c r="F2957" t="s">
        <v>36</v>
      </c>
      <c r="G2957" t="s">
        <v>1546</v>
      </c>
      <c r="H2957" s="8">
        <v>129.09</v>
      </c>
      <c r="I2957" s="8">
        <v>-20.63</v>
      </c>
      <c r="J2957" s="8">
        <v>0.27</v>
      </c>
      <c r="K2957" t="str">
        <f>IF(SalesData[[#This Row],[Profit]]&gt;0,"Profit","Loss")</f>
        <v>Loss</v>
      </c>
      <c r="L2957" s="8">
        <f>SalesData[[#This Row],[Profit]]/SalesData[[#This Row],[Sales]]</f>
        <v>-0.15981098458439846</v>
      </c>
      <c r="M2957" t="str">
        <f>TEXT(SalesData[[#This Row],[Order_Date]],"mmm")</f>
        <v>Feb</v>
      </c>
      <c r="N2957">
        <f>YEAR(SalesData[[#This Row],[Order_Date]])</f>
        <v>2022</v>
      </c>
    </row>
    <row r="2958" spans="1:14" x14ac:dyDescent="0.3">
      <c r="A2958" t="s">
        <v>4259</v>
      </c>
      <c r="B2958" s="1">
        <v>44941</v>
      </c>
      <c r="C2958" t="s">
        <v>1728</v>
      </c>
      <c r="D2958" t="s">
        <v>18</v>
      </c>
      <c r="E2958" t="s">
        <v>56</v>
      </c>
      <c r="F2958" t="s">
        <v>57</v>
      </c>
      <c r="G2958" t="s">
        <v>1216</v>
      </c>
      <c r="H2958" s="8">
        <v>2041.51</v>
      </c>
      <c r="I2958" s="8">
        <v>464.53</v>
      </c>
      <c r="J2958" s="8">
        <v>7.0000000000000007E-2</v>
      </c>
      <c r="K2958" t="str">
        <f>IF(SalesData[[#This Row],[Profit]]&gt;0,"Profit","Loss")</f>
        <v>Profit</v>
      </c>
      <c r="L2958" s="8">
        <f>SalesData[[#This Row],[Profit]]/SalesData[[#This Row],[Sales]]</f>
        <v>0.227542358352396</v>
      </c>
      <c r="M2958" t="str">
        <f>TEXT(SalesData[[#This Row],[Order_Date]],"mmm")</f>
        <v>Jan</v>
      </c>
      <c r="N2958">
        <f>YEAR(SalesData[[#This Row],[Order_Date]])</f>
        <v>2023</v>
      </c>
    </row>
    <row r="2959" spans="1:14" x14ac:dyDescent="0.3">
      <c r="A2959" t="s">
        <v>4260</v>
      </c>
      <c r="B2959" s="1">
        <v>44570</v>
      </c>
      <c r="C2959" t="s">
        <v>1127</v>
      </c>
      <c r="D2959" t="s">
        <v>12</v>
      </c>
      <c r="E2959" t="s">
        <v>13</v>
      </c>
      <c r="F2959" t="s">
        <v>24</v>
      </c>
      <c r="G2959" t="s">
        <v>1198</v>
      </c>
      <c r="H2959" s="8">
        <v>529.88</v>
      </c>
      <c r="I2959" s="8">
        <v>-122.09</v>
      </c>
      <c r="J2959" s="8">
        <v>0.19</v>
      </c>
      <c r="K2959" t="str">
        <f>IF(SalesData[[#This Row],[Profit]]&gt;0,"Profit","Loss")</f>
        <v>Loss</v>
      </c>
      <c r="L2959" s="8">
        <f>SalesData[[#This Row],[Profit]]/SalesData[[#This Row],[Sales]]</f>
        <v>-0.23041065901713598</v>
      </c>
      <c r="M2959" t="str">
        <f>TEXT(SalesData[[#This Row],[Order_Date]],"mmm")</f>
        <v>Jan</v>
      </c>
      <c r="N2959">
        <f>YEAR(SalesData[[#This Row],[Order_Date]])</f>
        <v>2022</v>
      </c>
    </row>
    <row r="2960" spans="1:14" x14ac:dyDescent="0.3">
      <c r="A2960" t="s">
        <v>4261</v>
      </c>
      <c r="B2960" s="1">
        <v>44804</v>
      </c>
      <c r="C2960" t="s">
        <v>1675</v>
      </c>
      <c r="D2960" t="s">
        <v>12</v>
      </c>
      <c r="E2960" t="s">
        <v>56</v>
      </c>
      <c r="F2960" t="s">
        <v>73</v>
      </c>
      <c r="G2960" t="s">
        <v>1592</v>
      </c>
      <c r="H2960" s="8">
        <v>314.63</v>
      </c>
      <c r="I2960" s="8">
        <v>-44.38</v>
      </c>
      <c r="J2960" s="8">
        <v>0.04</v>
      </c>
      <c r="K2960" t="str">
        <f>IF(SalesData[[#This Row],[Profit]]&gt;0,"Profit","Loss")</f>
        <v>Loss</v>
      </c>
      <c r="L2960" s="8">
        <f>SalesData[[#This Row],[Profit]]/SalesData[[#This Row],[Sales]]</f>
        <v>-0.14105457203699584</v>
      </c>
      <c r="M2960" t="str">
        <f>TEXT(SalesData[[#This Row],[Order_Date]],"mmm")</f>
        <v>Aug</v>
      </c>
      <c r="N2960">
        <f>YEAR(SalesData[[#This Row],[Order_Date]])</f>
        <v>2022</v>
      </c>
    </row>
    <row r="2961" spans="1:14" x14ac:dyDescent="0.3">
      <c r="A2961" t="s">
        <v>4262</v>
      </c>
      <c r="B2961" s="1">
        <v>44766</v>
      </c>
      <c r="C2961" t="s">
        <v>2148</v>
      </c>
      <c r="D2961" t="s">
        <v>28</v>
      </c>
      <c r="E2961" t="s">
        <v>19</v>
      </c>
      <c r="F2961" t="s">
        <v>20</v>
      </c>
      <c r="G2961" t="s">
        <v>1295</v>
      </c>
      <c r="H2961" s="8">
        <v>214.2</v>
      </c>
      <c r="I2961" s="8">
        <v>-39.659999999999997</v>
      </c>
      <c r="J2961" s="8">
        <v>0.08</v>
      </c>
      <c r="K2961" t="str">
        <f>IF(SalesData[[#This Row],[Profit]]&gt;0,"Profit","Loss")</f>
        <v>Loss</v>
      </c>
      <c r="L2961" s="8">
        <f>SalesData[[#This Row],[Profit]]/SalesData[[#This Row],[Sales]]</f>
        <v>-0.18515406162464984</v>
      </c>
      <c r="M2961" t="str">
        <f>TEXT(SalesData[[#This Row],[Order_Date]],"mmm")</f>
        <v>Jul</v>
      </c>
      <c r="N2961">
        <f>YEAR(SalesData[[#This Row],[Order_Date]])</f>
        <v>2022</v>
      </c>
    </row>
    <row r="2962" spans="1:14" x14ac:dyDescent="0.3">
      <c r="A2962" t="s">
        <v>4263</v>
      </c>
      <c r="B2962" s="1">
        <v>44676</v>
      </c>
      <c r="C2962" t="s">
        <v>1614</v>
      </c>
      <c r="D2962" t="s">
        <v>18</v>
      </c>
      <c r="E2962" t="s">
        <v>19</v>
      </c>
      <c r="F2962" t="s">
        <v>141</v>
      </c>
      <c r="G2962" t="s">
        <v>108</v>
      </c>
      <c r="H2962" s="8">
        <v>2390.71</v>
      </c>
      <c r="I2962" s="8">
        <v>-576.74</v>
      </c>
      <c r="J2962" s="8">
        <v>0.18</v>
      </c>
      <c r="K2962" t="str">
        <f>IF(SalesData[[#This Row],[Profit]]&gt;0,"Profit","Loss")</f>
        <v>Loss</v>
      </c>
      <c r="L2962" s="8">
        <f>SalesData[[#This Row],[Profit]]/SalesData[[#This Row],[Sales]]</f>
        <v>-0.24124214145588549</v>
      </c>
      <c r="M2962" t="str">
        <f>TEXT(SalesData[[#This Row],[Order_Date]],"mmm")</f>
        <v>Apr</v>
      </c>
      <c r="N2962">
        <f>YEAR(SalesData[[#This Row],[Order_Date]])</f>
        <v>2022</v>
      </c>
    </row>
    <row r="2963" spans="1:14" x14ac:dyDescent="0.3">
      <c r="A2963" t="s">
        <v>4264</v>
      </c>
      <c r="B2963" s="1">
        <v>44698</v>
      </c>
      <c r="C2963" t="s">
        <v>2693</v>
      </c>
      <c r="D2963" t="s">
        <v>40</v>
      </c>
      <c r="E2963" t="s">
        <v>19</v>
      </c>
      <c r="F2963" t="s">
        <v>20</v>
      </c>
      <c r="G2963" t="s">
        <v>202</v>
      </c>
      <c r="H2963" s="8">
        <v>342.74</v>
      </c>
      <c r="I2963" s="8">
        <v>-52.02</v>
      </c>
      <c r="J2963" s="8">
        <v>0.21</v>
      </c>
      <c r="K2963" t="str">
        <f>IF(SalesData[[#This Row],[Profit]]&gt;0,"Profit","Loss")</f>
        <v>Loss</v>
      </c>
      <c r="L2963" s="8">
        <f>SalesData[[#This Row],[Profit]]/SalesData[[#This Row],[Sales]]</f>
        <v>-0.15177685709284006</v>
      </c>
      <c r="M2963" t="str">
        <f>TEXT(SalesData[[#This Row],[Order_Date]],"mmm")</f>
        <v>May</v>
      </c>
      <c r="N2963">
        <f>YEAR(SalesData[[#This Row],[Order_Date]])</f>
        <v>2022</v>
      </c>
    </row>
    <row r="2964" spans="1:14" x14ac:dyDescent="0.3">
      <c r="A2964" t="s">
        <v>4265</v>
      </c>
      <c r="B2964" s="1">
        <v>45207</v>
      </c>
      <c r="C2964" t="s">
        <v>3195</v>
      </c>
      <c r="D2964" t="s">
        <v>18</v>
      </c>
      <c r="E2964" t="s">
        <v>19</v>
      </c>
      <c r="F2964" t="s">
        <v>29</v>
      </c>
      <c r="G2964" t="s">
        <v>981</v>
      </c>
      <c r="H2964" s="8">
        <v>3341.77</v>
      </c>
      <c r="I2964" s="8">
        <v>-387.6</v>
      </c>
      <c r="J2964" s="8">
        <v>0.08</v>
      </c>
      <c r="K2964" t="str">
        <f>IF(SalesData[[#This Row],[Profit]]&gt;0,"Profit","Loss")</f>
        <v>Loss</v>
      </c>
      <c r="L2964" s="8">
        <f>SalesData[[#This Row],[Profit]]/SalesData[[#This Row],[Sales]]</f>
        <v>-0.11598643832460044</v>
      </c>
      <c r="M2964" t="str">
        <f>TEXT(SalesData[[#This Row],[Order_Date]],"mmm")</f>
        <v>Oct</v>
      </c>
      <c r="N2964">
        <f>YEAR(SalesData[[#This Row],[Order_Date]])</f>
        <v>2023</v>
      </c>
    </row>
    <row r="2965" spans="1:14" x14ac:dyDescent="0.3">
      <c r="A2965" t="s">
        <v>4266</v>
      </c>
      <c r="B2965" s="1">
        <v>44854</v>
      </c>
      <c r="C2965" t="s">
        <v>2065</v>
      </c>
      <c r="D2965" t="s">
        <v>18</v>
      </c>
      <c r="E2965" t="s">
        <v>19</v>
      </c>
      <c r="F2965" t="s">
        <v>29</v>
      </c>
      <c r="G2965" t="s">
        <v>92</v>
      </c>
      <c r="H2965" s="8">
        <v>3761.12</v>
      </c>
      <c r="I2965" s="8">
        <v>-1207.6600000000001</v>
      </c>
      <c r="J2965" s="8">
        <v>0.28999999999999998</v>
      </c>
      <c r="K2965" t="str">
        <f>IF(SalesData[[#This Row],[Profit]]&gt;0,"Profit","Loss")</f>
        <v>Loss</v>
      </c>
      <c r="L2965" s="8">
        <f>SalesData[[#This Row],[Profit]]/SalesData[[#This Row],[Sales]]</f>
        <v>-0.32109052622623052</v>
      </c>
      <c r="M2965" t="str">
        <f>TEXT(SalesData[[#This Row],[Order_Date]],"mmm")</f>
        <v>Oct</v>
      </c>
      <c r="N2965">
        <f>YEAR(SalesData[[#This Row],[Order_Date]])</f>
        <v>2022</v>
      </c>
    </row>
    <row r="2966" spans="1:14" x14ac:dyDescent="0.3">
      <c r="A2966" t="s">
        <v>4267</v>
      </c>
      <c r="B2966" s="1">
        <v>45123</v>
      </c>
      <c r="C2966" t="s">
        <v>204</v>
      </c>
      <c r="D2966" t="s">
        <v>28</v>
      </c>
      <c r="E2966" t="s">
        <v>56</v>
      </c>
      <c r="F2966" t="s">
        <v>57</v>
      </c>
      <c r="G2966" t="s">
        <v>1712</v>
      </c>
      <c r="H2966" s="8">
        <v>2831.45</v>
      </c>
      <c r="I2966" s="8">
        <v>-899.08</v>
      </c>
      <c r="J2966" s="8">
        <v>0.19</v>
      </c>
      <c r="K2966" t="str">
        <f>IF(SalesData[[#This Row],[Profit]]&gt;0,"Profit","Loss")</f>
        <v>Loss</v>
      </c>
      <c r="L2966" s="8">
        <f>SalesData[[#This Row],[Profit]]/SalesData[[#This Row],[Sales]]</f>
        <v>-0.31753341927281081</v>
      </c>
      <c r="M2966" t="str">
        <f>TEXT(SalesData[[#This Row],[Order_Date]],"mmm")</f>
        <v>Jul</v>
      </c>
      <c r="N2966">
        <f>YEAR(SalesData[[#This Row],[Order_Date]])</f>
        <v>2023</v>
      </c>
    </row>
    <row r="2967" spans="1:14" x14ac:dyDescent="0.3">
      <c r="A2967" t="s">
        <v>4268</v>
      </c>
      <c r="B2967" s="1">
        <v>44851</v>
      </c>
      <c r="C2967" t="s">
        <v>1499</v>
      </c>
      <c r="D2967" t="s">
        <v>40</v>
      </c>
      <c r="E2967" t="s">
        <v>13</v>
      </c>
      <c r="F2967" t="s">
        <v>36</v>
      </c>
      <c r="G2967" t="s">
        <v>1402</v>
      </c>
      <c r="H2967" s="8">
        <v>2694.02</v>
      </c>
      <c r="I2967" s="8">
        <v>574.85</v>
      </c>
      <c r="J2967" s="8">
        <v>0.09</v>
      </c>
      <c r="K2967" t="str">
        <f>IF(SalesData[[#This Row],[Profit]]&gt;0,"Profit","Loss")</f>
        <v>Profit</v>
      </c>
      <c r="L2967" s="8">
        <f>SalesData[[#This Row],[Profit]]/SalesData[[#This Row],[Sales]]</f>
        <v>0.21338000460278692</v>
      </c>
      <c r="M2967" t="str">
        <f>TEXT(SalesData[[#This Row],[Order_Date]],"mmm")</f>
        <v>Oct</v>
      </c>
      <c r="N2967">
        <f>YEAR(SalesData[[#This Row],[Order_Date]])</f>
        <v>2022</v>
      </c>
    </row>
    <row r="2968" spans="1:14" x14ac:dyDescent="0.3">
      <c r="A2968" t="s">
        <v>4269</v>
      </c>
      <c r="B2968" s="1">
        <v>44714</v>
      </c>
      <c r="C2968" t="s">
        <v>1816</v>
      </c>
      <c r="D2968" t="s">
        <v>28</v>
      </c>
      <c r="E2968" t="s">
        <v>19</v>
      </c>
      <c r="F2968" t="s">
        <v>20</v>
      </c>
      <c r="G2968" t="s">
        <v>254</v>
      </c>
      <c r="H2968" s="8">
        <v>4348.08</v>
      </c>
      <c r="I2968" s="8">
        <v>136.94999999999999</v>
      </c>
      <c r="J2968" s="8">
        <v>0.18</v>
      </c>
      <c r="K2968" t="str">
        <f>IF(SalesData[[#This Row],[Profit]]&gt;0,"Profit","Loss")</f>
        <v>Profit</v>
      </c>
      <c r="L2968" s="8">
        <f>SalesData[[#This Row],[Profit]]/SalesData[[#This Row],[Sales]]</f>
        <v>3.149666059502125E-2</v>
      </c>
      <c r="M2968" t="str">
        <f>TEXT(SalesData[[#This Row],[Order_Date]],"mmm")</f>
        <v>Jun</v>
      </c>
      <c r="N2968">
        <f>YEAR(SalesData[[#This Row],[Order_Date]])</f>
        <v>2022</v>
      </c>
    </row>
    <row r="2969" spans="1:14" x14ac:dyDescent="0.3">
      <c r="A2969" t="s">
        <v>4270</v>
      </c>
      <c r="B2969" s="1">
        <v>44980</v>
      </c>
      <c r="C2969" t="s">
        <v>278</v>
      </c>
      <c r="D2969" t="s">
        <v>28</v>
      </c>
      <c r="E2969" t="s">
        <v>19</v>
      </c>
      <c r="F2969" t="s">
        <v>20</v>
      </c>
      <c r="G2969" t="s">
        <v>225</v>
      </c>
      <c r="H2969" s="8">
        <v>1643</v>
      </c>
      <c r="I2969" s="8">
        <v>-513.86</v>
      </c>
      <c r="J2969" s="8">
        <v>0.12</v>
      </c>
      <c r="K2969" t="str">
        <f>IF(SalesData[[#This Row],[Profit]]&gt;0,"Profit","Loss")</f>
        <v>Loss</v>
      </c>
      <c r="L2969" s="8">
        <f>SalesData[[#This Row],[Profit]]/SalesData[[#This Row],[Sales]]</f>
        <v>-0.31275715155203898</v>
      </c>
      <c r="M2969" t="str">
        <f>TEXT(SalesData[[#This Row],[Order_Date]],"mmm")</f>
        <v>Feb</v>
      </c>
      <c r="N2969">
        <f>YEAR(SalesData[[#This Row],[Order_Date]])</f>
        <v>2023</v>
      </c>
    </row>
    <row r="2970" spans="1:14" x14ac:dyDescent="0.3">
      <c r="A2970" t="s">
        <v>4271</v>
      </c>
      <c r="B2970" s="1">
        <v>45021</v>
      </c>
      <c r="C2970" t="s">
        <v>46</v>
      </c>
      <c r="D2970" t="s">
        <v>18</v>
      </c>
      <c r="E2970" t="s">
        <v>56</v>
      </c>
      <c r="F2970" t="s">
        <v>95</v>
      </c>
      <c r="G2970" t="s">
        <v>1295</v>
      </c>
      <c r="H2970" s="8">
        <v>2754.63</v>
      </c>
      <c r="I2970" s="8">
        <v>-561.14</v>
      </c>
      <c r="J2970" s="8">
        <v>0.01</v>
      </c>
      <c r="K2970" t="str">
        <f>IF(SalesData[[#This Row],[Profit]]&gt;0,"Profit","Loss")</f>
        <v>Loss</v>
      </c>
      <c r="L2970" s="8">
        <f>SalesData[[#This Row],[Profit]]/SalesData[[#This Row],[Sales]]</f>
        <v>-0.2037079389972519</v>
      </c>
      <c r="M2970" t="str">
        <f>TEXT(SalesData[[#This Row],[Order_Date]],"mmm")</f>
        <v>Apr</v>
      </c>
      <c r="N2970">
        <f>YEAR(SalesData[[#This Row],[Order_Date]])</f>
        <v>2023</v>
      </c>
    </row>
    <row r="2971" spans="1:14" x14ac:dyDescent="0.3">
      <c r="A2971" t="s">
        <v>4272</v>
      </c>
      <c r="B2971" s="1">
        <v>44626</v>
      </c>
      <c r="C2971" t="s">
        <v>394</v>
      </c>
      <c r="D2971" t="s">
        <v>40</v>
      </c>
      <c r="E2971" t="s">
        <v>19</v>
      </c>
      <c r="F2971" t="s">
        <v>29</v>
      </c>
      <c r="G2971" t="s">
        <v>1529</v>
      </c>
      <c r="H2971" s="8">
        <v>178.57</v>
      </c>
      <c r="I2971" s="8">
        <v>39.26</v>
      </c>
      <c r="J2971" s="8">
        <v>0.06</v>
      </c>
      <c r="K2971" t="str">
        <f>IF(SalesData[[#This Row],[Profit]]&gt;0,"Profit","Loss")</f>
        <v>Profit</v>
      </c>
      <c r="L2971" s="8">
        <f>SalesData[[#This Row],[Profit]]/SalesData[[#This Row],[Sales]]</f>
        <v>0.2198577588620709</v>
      </c>
      <c r="M2971" t="str">
        <f>TEXT(SalesData[[#This Row],[Order_Date]],"mmm")</f>
        <v>Mar</v>
      </c>
      <c r="N2971">
        <f>YEAR(SalesData[[#This Row],[Order_Date]])</f>
        <v>2022</v>
      </c>
    </row>
    <row r="2972" spans="1:14" x14ac:dyDescent="0.3">
      <c r="A2972" t="s">
        <v>4273</v>
      </c>
      <c r="B2972" s="1">
        <v>44797</v>
      </c>
      <c r="C2972" t="s">
        <v>2221</v>
      </c>
      <c r="D2972" t="s">
        <v>12</v>
      </c>
      <c r="E2972" t="s">
        <v>56</v>
      </c>
      <c r="F2972" t="s">
        <v>95</v>
      </c>
      <c r="G2972" t="s">
        <v>1091</v>
      </c>
      <c r="H2972" s="8">
        <v>4778.97</v>
      </c>
      <c r="I2972" s="8">
        <v>-1717.03</v>
      </c>
      <c r="J2972" s="8">
        <v>0.2</v>
      </c>
      <c r="K2972" t="str">
        <f>IF(SalesData[[#This Row],[Profit]]&gt;0,"Profit","Loss")</f>
        <v>Loss</v>
      </c>
      <c r="L2972" s="8">
        <f>SalesData[[#This Row],[Profit]]/SalesData[[#This Row],[Sales]]</f>
        <v>-0.3592887170247982</v>
      </c>
      <c r="M2972" t="str">
        <f>TEXT(SalesData[[#This Row],[Order_Date]],"mmm")</f>
        <v>Aug</v>
      </c>
      <c r="N2972">
        <f>YEAR(SalesData[[#This Row],[Order_Date]])</f>
        <v>2022</v>
      </c>
    </row>
    <row r="2973" spans="1:14" x14ac:dyDescent="0.3">
      <c r="A2973" t="s">
        <v>4274</v>
      </c>
      <c r="B2973" s="1">
        <v>45147</v>
      </c>
      <c r="C2973" t="s">
        <v>1082</v>
      </c>
      <c r="D2973" t="s">
        <v>40</v>
      </c>
      <c r="E2973" t="s">
        <v>19</v>
      </c>
      <c r="F2973" t="s">
        <v>20</v>
      </c>
      <c r="G2973" t="s">
        <v>525</v>
      </c>
      <c r="H2973" s="8">
        <v>1648.56</v>
      </c>
      <c r="I2973" s="8">
        <v>158.16</v>
      </c>
      <c r="J2973" s="8">
        <v>0.02</v>
      </c>
      <c r="K2973" t="str">
        <f>IF(SalesData[[#This Row],[Profit]]&gt;0,"Profit","Loss")</f>
        <v>Profit</v>
      </c>
      <c r="L2973" s="8">
        <f>SalesData[[#This Row],[Profit]]/SalesData[[#This Row],[Sales]]</f>
        <v>9.5938273402241953E-2</v>
      </c>
      <c r="M2973" t="str">
        <f>TEXT(SalesData[[#This Row],[Order_Date]],"mmm")</f>
        <v>Aug</v>
      </c>
      <c r="N2973">
        <f>YEAR(SalesData[[#This Row],[Order_Date]])</f>
        <v>2023</v>
      </c>
    </row>
    <row r="2974" spans="1:14" x14ac:dyDescent="0.3">
      <c r="A2974" t="s">
        <v>4275</v>
      </c>
      <c r="B2974" s="1">
        <v>44876</v>
      </c>
      <c r="C2974" t="s">
        <v>186</v>
      </c>
      <c r="D2974" t="s">
        <v>40</v>
      </c>
      <c r="E2974" t="s">
        <v>56</v>
      </c>
      <c r="F2974" t="s">
        <v>95</v>
      </c>
      <c r="G2974" t="s">
        <v>1560</v>
      </c>
      <c r="H2974" s="8">
        <v>1580.89</v>
      </c>
      <c r="I2974" s="8">
        <v>149.30000000000001</v>
      </c>
      <c r="J2974" s="8">
        <v>0.06</v>
      </c>
      <c r="K2974" t="str">
        <f>IF(SalesData[[#This Row],[Profit]]&gt;0,"Profit","Loss")</f>
        <v>Profit</v>
      </c>
      <c r="L2974" s="8">
        <f>SalesData[[#This Row],[Profit]]/SalesData[[#This Row],[Sales]]</f>
        <v>9.4440473404221667E-2</v>
      </c>
      <c r="M2974" t="str">
        <f>TEXT(SalesData[[#This Row],[Order_Date]],"mmm")</f>
        <v>Nov</v>
      </c>
      <c r="N2974">
        <f>YEAR(SalesData[[#This Row],[Order_Date]])</f>
        <v>2022</v>
      </c>
    </row>
    <row r="2975" spans="1:14" x14ac:dyDescent="0.3">
      <c r="A2975" t="s">
        <v>4276</v>
      </c>
      <c r="B2975" s="1">
        <v>44661</v>
      </c>
      <c r="C2975" t="s">
        <v>3063</v>
      </c>
      <c r="D2975" t="s">
        <v>40</v>
      </c>
      <c r="E2975" t="s">
        <v>13</v>
      </c>
      <c r="F2975" t="s">
        <v>36</v>
      </c>
      <c r="G2975" t="s">
        <v>365</v>
      </c>
      <c r="H2975" s="8">
        <v>4846.28</v>
      </c>
      <c r="I2975" s="8">
        <v>-973.04</v>
      </c>
      <c r="J2975" s="8">
        <v>0.22</v>
      </c>
      <c r="K2975" t="str">
        <f>IF(SalesData[[#This Row],[Profit]]&gt;0,"Profit","Loss")</f>
        <v>Loss</v>
      </c>
      <c r="L2975" s="8">
        <f>SalesData[[#This Row],[Profit]]/SalesData[[#This Row],[Sales]]</f>
        <v>-0.2007808050711061</v>
      </c>
      <c r="M2975" t="str">
        <f>TEXT(SalesData[[#This Row],[Order_Date]],"mmm")</f>
        <v>Apr</v>
      </c>
      <c r="N2975">
        <f>YEAR(SalesData[[#This Row],[Order_Date]])</f>
        <v>2022</v>
      </c>
    </row>
    <row r="2976" spans="1:14" x14ac:dyDescent="0.3">
      <c r="A2976" t="s">
        <v>4277</v>
      </c>
      <c r="B2976" s="1">
        <v>44643</v>
      </c>
      <c r="C2976" t="s">
        <v>2049</v>
      </c>
      <c r="D2976" t="s">
        <v>28</v>
      </c>
      <c r="E2976" t="s">
        <v>19</v>
      </c>
      <c r="F2976" t="s">
        <v>141</v>
      </c>
      <c r="G2976" t="s">
        <v>1001</v>
      </c>
      <c r="H2976" s="8">
        <v>366.63</v>
      </c>
      <c r="I2976" s="8">
        <v>-126.9</v>
      </c>
      <c r="J2976" s="8">
        <v>0.22</v>
      </c>
      <c r="K2976" t="str">
        <f>IF(SalesData[[#This Row],[Profit]]&gt;0,"Profit","Loss")</f>
        <v>Loss</v>
      </c>
      <c r="L2976" s="8">
        <f>SalesData[[#This Row],[Profit]]/SalesData[[#This Row],[Sales]]</f>
        <v>-0.34612552164307342</v>
      </c>
      <c r="M2976" t="str">
        <f>TEXT(SalesData[[#This Row],[Order_Date]],"mmm")</f>
        <v>Mar</v>
      </c>
      <c r="N2976">
        <f>YEAR(SalesData[[#This Row],[Order_Date]])</f>
        <v>2022</v>
      </c>
    </row>
    <row r="2977" spans="1:14" x14ac:dyDescent="0.3">
      <c r="A2977" t="s">
        <v>4278</v>
      </c>
      <c r="B2977" s="1">
        <v>44900</v>
      </c>
      <c r="C2977" t="s">
        <v>2392</v>
      </c>
      <c r="D2977" t="s">
        <v>12</v>
      </c>
      <c r="E2977" t="s">
        <v>13</v>
      </c>
      <c r="F2977" t="s">
        <v>36</v>
      </c>
      <c r="G2977" t="s">
        <v>1084</v>
      </c>
      <c r="H2977" s="8">
        <v>4253.3</v>
      </c>
      <c r="I2977" s="8">
        <v>-812.87</v>
      </c>
      <c r="J2977" s="8">
        <v>0.12</v>
      </c>
      <c r="K2977" t="str">
        <f>IF(SalesData[[#This Row],[Profit]]&gt;0,"Profit","Loss")</f>
        <v>Loss</v>
      </c>
      <c r="L2977" s="8">
        <f>SalesData[[#This Row],[Profit]]/SalesData[[#This Row],[Sales]]</f>
        <v>-0.19111513413114523</v>
      </c>
      <c r="M2977" t="str">
        <f>TEXT(SalesData[[#This Row],[Order_Date]],"mmm")</f>
        <v>Dec</v>
      </c>
      <c r="N2977">
        <f>YEAR(SalesData[[#This Row],[Order_Date]])</f>
        <v>2022</v>
      </c>
    </row>
    <row r="2978" spans="1:14" x14ac:dyDescent="0.3">
      <c r="A2978" t="s">
        <v>4279</v>
      </c>
      <c r="B2978" s="1">
        <v>45204</v>
      </c>
      <c r="C2978" t="s">
        <v>1058</v>
      </c>
      <c r="D2978" t="s">
        <v>28</v>
      </c>
      <c r="E2978" t="s">
        <v>56</v>
      </c>
      <c r="F2978" t="s">
        <v>57</v>
      </c>
      <c r="G2978" t="s">
        <v>938</v>
      </c>
      <c r="H2978" s="8">
        <v>4417.42</v>
      </c>
      <c r="I2978" s="8">
        <v>-499.44</v>
      </c>
      <c r="J2978" s="8">
        <v>0.21</v>
      </c>
      <c r="K2978" t="str">
        <f>IF(SalesData[[#This Row],[Profit]]&gt;0,"Profit","Loss")</f>
        <v>Loss</v>
      </c>
      <c r="L2978" s="8">
        <f>SalesData[[#This Row],[Profit]]/SalesData[[#This Row],[Sales]]</f>
        <v>-0.11306147026997659</v>
      </c>
      <c r="M2978" t="str">
        <f>TEXT(SalesData[[#This Row],[Order_Date]],"mmm")</f>
        <v>Oct</v>
      </c>
      <c r="N2978">
        <f>YEAR(SalesData[[#This Row],[Order_Date]])</f>
        <v>2023</v>
      </c>
    </row>
    <row r="2979" spans="1:14" x14ac:dyDescent="0.3">
      <c r="A2979" t="s">
        <v>4280</v>
      </c>
      <c r="B2979" s="1">
        <v>44810</v>
      </c>
      <c r="C2979" t="s">
        <v>493</v>
      </c>
      <c r="D2979" t="s">
        <v>28</v>
      </c>
      <c r="E2979" t="s">
        <v>13</v>
      </c>
      <c r="F2979" t="s">
        <v>14</v>
      </c>
      <c r="G2979" t="s">
        <v>649</v>
      </c>
      <c r="H2979" s="8">
        <v>1933.85</v>
      </c>
      <c r="I2979" s="8">
        <v>238.25</v>
      </c>
      <c r="J2979" s="8">
        <v>0.14000000000000001</v>
      </c>
      <c r="K2979" t="str">
        <f>IF(SalesData[[#This Row],[Profit]]&gt;0,"Profit","Loss")</f>
        <v>Profit</v>
      </c>
      <c r="L2979" s="8">
        <f>SalesData[[#This Row],[Profit]]/SalesData[[#This Row],[Sales]]</f>
        <v>0.12319983452697987</v>
      </c>
      <c r="M2979" t="str">
        <f>TEXT(SalesData[[#This Row],[Order_Date]],"mmm")</f>
        <v>Sep</v>
      </c>
      <c r="N2979">
        <f>YEAR(SalesData[[#This Row],[Order_Date]])</f>
        <v>2022</v>
      </c>
    </row>
    <row r="2980" spans="1:14" x14ac:dyDescent="0.3">
      <c r="A2980" t="s">
        <v>4281</v>
      </c>
      <c r="B2980" s="1">
        <v>45219</v>
      </c>
      <c r="C2980" t="s">
        <v>353</v>
      </c>
      <c r="D2980" t="s">
        <v>18</v>
      </c>
      <c r="E2980" t="s">
        <v>19</v>
      </c>
      <c r="F2980" t="s">
        <v>141</v>
      </c>
      <c r="G2980" t="s">
        <v>971</v>
      </c>
      <c r="H2980" s="8">
        <v>534.64</v>
      </c>
      <c r="I2980" s="8">
        <v>124.74</v>
      </c>
      <c r="J2980" s="8">
        <v>0.08</v>
      </c>
      <c r="K2980" t="str">
        <f>IF(SalesData[[#This Row],[Profit]]&gt;0,"Profit","Loss")</f>
        <v>Profit</v>
      </c>
      <c r="L2980" s="8">
        <f>SalesData[[#This Row],[Profit]]/SalesData[[#This Row],[Sales]]</f>
        <v>0.23331587610354632</v>
      </c>
      <c r="M2980" t="str">
        <f>TEXT(SalesData[[#This Row],[Order_Date]],"mmm")</f>
        <v>Oct</v>
      </c>
      <c r="N2980">
        <f>YEAR(SalesData[[#This Row],[Order_Date]])</f>
        <v>2023</v>
      </c>
    </row>
    <row r="2981" spans="1:14" x14ac:dyDescent="0.3">
      <c r="A2981" t="s">
        <v>4282</v>
      </c>
      <c r="B2981" s="1">
        <v>44709</v>
      </c>
      <c r="C2981" t="s">
        <v>588</v>
      </c>
      <c r="D2981" t="s">
        <v>28</v>
      </c>
      <c r="E2981" t="s">
        <v>56</v>
      </c>
      <c r="F2981" t="s">
        <v>73</v>
      </c>
      <c r="G2981" t="s">
        <v>2398</v>
      </c>
      <c r="H2981" s="8">
        <v>1863.42</v>
      </c>
      <c r="I2981" s="8">
        <v>-409.56</v>
      </c>
      <c r="J2981" s="8">
        <v>0.15</v>
      </c>
      <c r="K2981" t="str">
        <f>IF(SalesData[[#This Row],[Profit]]&gt;0,"Profit","Loss")</f>
        <v>Loss</v>
      </c>
      <c r="L2981" s="8">
        <f>SalesData[[#This Row],[Profit]]/SalesData[[#This Row],[Sales]]</f>
        <v>-0.2197894194545513</v>
      </c>
      <c r="M2981" t="str">
        <f>TEXT(SalesData[[#This Row],[Order_Date]],"mmm")</f>
        <v>May</v>
      </c>
      <c r="N2981">
        <f>YEAR(SalesData[[#This Row],[Order_Date]])</f>
        <v>2022</v>
      </c>
    </row>
    <row r="2982" spans="1:14" x14ac:dyDescent="0.3">
      <c r="A2982" t="s">
        <v>4283</v>
      </c>
      <c r="B2982" s="1">
        <v>44827</v>
      </c>
      <c r="C2982" t="s">
        <v>2245</v>
      </c>
      <c r="D2982" t="s">
        <v>18</v>
      </c>
      <c r="E2982" t="s">
        <v>13</v>
      </c>
      <c r="F2982" t="s">
        <v>14</v>
      </c>
      <c r="G2982" t="s">
        <v>925</v>
      </c>
      <c r="H2982" s="8">
        <v>1130.6300000000001</v>
      </c>
      <c r="I2982" s="8">
        <v>-290.66000000000003</v>
      </c>
      <c r="J2982" s="8">
        <v>0.3</v>
      </c>
      <c r="K2982" t="str">
        <f>IF(SalesData[[#This Row],[Profit]]&gt;0,"Profit","Loss")</f>
        <v>Loss</v>
      </c>
      <c r="L2982" s="8">
        <f>SalesData[[#This Row],[Profit]]/SalesData[[#This Row],[Sales]]</f>
        <v>-0.25707791231437338</v>
      </c>
      <c r="M2982" t="str">
        <f>TEXT(SalesData[[#This Row],[Order_Date]],"mmm")</f>
        <v>Sep</v>
      </c>
      <c r="N2982">
        <f>YEAR(SalesData[[#This Row],[Order_Date]])</f>
        <v>2022</v>
      </c>
    </row>
    <row r="2983" spans="1:14" x14ac:dyDescent="0.3">
      <c r="A2983" t="s">
        <v>4284</v>
      </c>
      <c r="B2983" s="1">
        <v>45033</v>
      </c>
      <c r="C2983" t="s">
        <v>3548</v>
      </c>
      <c r="D2983" t="s">
        <v>18</v>
      </c>
      <c r="E2983" t="s">
        <v>13</v>
      </c>
      <c r="F2983" t="s">
        <v>14</v>
      </c>
      <c r="G2983" t="s">
        <v>2265</v>
      </c>
      <c r="H2983" s="8">
        <v>1678.58</v>
      </c>
      <c r="I2983" s="8">
        <v>99.52</v>
      </c>
      <c r="J2983" s="8">
        <v>0.23</v>
      </c>
      <c r="K2983" t="str">
        <f>IF(SalesData[[#This Row],[Profit]]&gt;0,"Profit","Loss")</f>
        <v>Profit</v>
      </c>
      <c r="L2983" s="8">
        <f>SalesData[[#This Row],[Profit]]/SalesData[[#This Row],[Sales]]</f>
        <v>5.9288207890002262E-2</v>
      </c>
      <c r="M2983" t="str">
        <f>TEXT(SalesData[[#This Row],[Order_Date]],"mmm")</f>
        <v>Apr</v>
      </c>
      <c r="N2983">
        <f>YEAR(SalesData[[#This Row],[Order_Date]])</f>
        <v>2023</v>
      </c>
    </row>
    <row r="2984" spans="1:14" x14ac:dyDescent="0.3">
      <c r="A2984" t="s">
        <v>4285</v>
      </c>
      <c r="B2984" s="1">
        <v>44725</v>
      </c>
      <c r="C2984" t="s">
        <v>2756</v>
      </c>
      <c r="D2984" t="s">
        <v>40</v>
      </c>
      <c r="E2984" t="s">
        <v>56</v>
      </c>
      <c r="F2984" t="s">
        <v>95</v>
      </c>
      <c r="G2984" t="s">
        <v>629</v>
      </c>
      <c r="H2984" s="8">
        <v>2419.65</v>
      </c>
      <c r="I2984" s="8">
        <v>701.29</v>
      </c>
      <c r="J2984" s="8">
        <v>7.0000000000000007E-2</v>
      </c>
      <c r="K2984" t="str">
        <f>IF(SalesData[[#This Row],[Profit]]&gt;0,"Profit","Loss")</f>
        <v>Profit</v>
      </c>
      <c r="L2984" s="8">
        <f>SalesData[[#This Row],[Profit]]/SalesData[[#This Row],[Sales]]</f>
        <v>0.28983117393011382</v>
      </c>
      <c r="M2984" t="str">
        <f>TEXT(SalesData[[#This Row],[Order_Date]],"mmm")</f>
        <v>Jun</v>
      </c>
      <c r="N2984">
        <f>YEAR(SalesData[[#This Row],[Order_Date]])</f>
        <v>2022</v>
      </c>
    </row>
    <row r="2985" spans="1:14" x14ac:dyDescent="0.3">
      <c r="A2985" t="s">
        <v>4286</v>
      </c>
      <c r="B2985" s="1">
        <v>44658</v>
      </c>
      <c r="C2985" t="s">
        <v>845</v>
      </c>
      <c r="D2985" t="s">
        <v>12</v>
      </c>
      <c r="E2985" t="s">
        <v>56</v>
      </c>
      <c r="F2985" t="s">
        <v>57</v>
      </c>
      <c r="G2985" t="s">
        <v>520</v>
      </c>
      <c r="H2985" s="8">
        <v>769.64</v>
      </c>
      <c r="I2985" s="8">
        <v>-305.54000000000002</v>
      </c>
      <c r="J2985" s="8">
        <v>0.21</v>
      </c>
      <c r="K2985" t="str">
        <f>IF(SalesData[[#This Row],[Profit]]&gt;0,"Profit","Loss")</f>
        <v>Loss</v>
      </c>
      <c r="L2985" s="8">
        <f>SalesData[[#This Row],[Profit]]/SalesData[[#This Row],[Sales]]</f>
        <v>-0.39699080089392447</v>
      </c>
      <c r="M2985" t="str">
        <f>TEXT(SalesData[[#This Row],[Order_Date]],"mmm")</f>
        <v>Apr</v>
      </c>
      <c r="N2985">
        <f>YEAR(SalesData[[#This Row],[Order_Date]])</f>
        <v>2022</v>
      </c>
    </row>
    <row r="2986" spans="1:14" x14ac:dyDescent="0.3">
      <c r="A2986" t="s">
        <v>4287</v>
      </c>
      <c r="B2986" s="1">
        <v>44847</v>
      </c>
      <c r="C2986" t="s">
        <v>1834</v>
      </c>
      <c r="D2986" t="s">
        <v>18</v>
      </c>
      <c r="E2986" t="s">
        <v>19</v>
      </c>
      <c r="F2986" t="s">
        <v>141</v>
      </c>
      <c r="G2986" t="s">
        <v>2398</v>
      </c>
      <c r="H2986" s="8">
        <v>1025.5999999999999</v>
      </c>
      <c r="I2986" s="8">
        <v>-333.2</v>
      </c>
      <c r="J2986" s="8">
        <v>0.23</v>
      </c>
      <c r="K2986" t="str">
        <f>IF(SalesData[[#This Row],[Profit]]&gt;0,"Profit","Loss")</f>
        <v>Loss</v>
      </c>
      <c r="L2986" s="8">
        <f>SalesData[[#This Row],[Profit]]/SalesData[[#This Row],[Sales]]</f>
        <v>-0.3248829953198128</v>
      </c>
      <c r="M2986" t="str">
        <f>TEXT(SalesData[[#This Row],[Order_Date]],"mmm")</f>
        <v>Oct</v>
      </c>
      <c r="N2986">
        <f>YEAR(SalesData[[#This Row],[Order_Date]])</f>
        <v>2022</v>
      </c>
    </row>
    <row r="2987" spans="1:14" x14ac:dyDescent="0.3">
      <c r="A2987" t="s">
        <v>4288</v>
      </c>
      <c r="B2987" s="1">
        <v>45184</v>
      </c>
      <c r="C2987" t="s">
        <v>899</v>
      </c>
      <c r="D2987" t="s">
        <v>28</v>
      </c>
      <c r="E2987" t="s">
        <v>19</v>
      </c>
      <c r="F2987" t="s">
        <v>29</v>
      </c>
      <c r="G2987" t="s">
        <v>1044</v>
      </c>
      <c r="H2987" s="8">
        <v>3333.23</v>
      </c>
      <c r="I2987" s="8">
        <v>-216.12</v>
      </c>
      <c r="J2987" s="8">
        <v>0.18</v>
      </c>
      <c r="K2987" t="str">
        <f>IF(SalesData[[#This Row],[Profit]]&gt;0,"Profit","Loss")</f>
        <v>Loss</v>
      </c>
      <c r="L2987" s="8">
        <f>SalesData[[#This Row],[Profit]]/SalesData[[#This Row],[Sales]]</f>
        <v>-6.4838009978309324E-2</v>
      </c>
      <c r="M2987" t="str">
        <f>TEXT(SalesData[[#This Row],[Order_Date]],"mmm")</f>
        <v>Sep</v>
      </c>
      <c r="N2987">
        <f>YEAR(SalesData[[#This Row],[Order_Date]])</f>
        <v>2023</v>
      </c>
    </row>
    <row r="2988" spans="1:14" x14ac:dyDescent="0.3">
      <c r="A2988" t="s">
        <v>4289</v>
      </c>
      <c r="B2988" s="1">
        <v>44960</v>
      </c>
      <c r="C2988" t="s">
        <v>4190</v>
      </c>
      <c r="D2988" t="s">
        <v>28</v>
      </c>
      <c r="E2988" t="s">
        <v>19</v>
      </c>
      <c r="F2988" t="s">
        <v>20</v>
      </c>
      <c r="G2988" t="s">
        <v>2847</v>
      </c>
      <c r="H2988" s="8">
        <v>1708.45</v>
      </c>
      <c r="I2988" s="8">
        <v>-127.69</v>
      </c>
      <c r="J2988" s="8">
        <v>0.08</v>
      </c>
      <c r="K2988" t="str">
        <f>IF(SalesData[[#This Row],[Profit]]&gt;0,"Profit","Loss")</f>
        <v>Loss</v>
      </c>
      <c r="L2988" s="8">
        <f>SalesData[[#This Row],[Profit]]/SalesData[[#This Row],[Sales]]</f>
        <v>-7.4740261640668437E-2</v>
      </c>
      <c r="M2988" t="str">
        <f>TEXT(SalesData[[#This Row],[Order_Date]],"mmm")</f>
        <v>Feb</v>
      </c>
      <c r="N2988">
        <f>YEAR(SalesData[[#This Row],[Order_Date]])</f>
        <v>2023</v>
      </c>
    </row>
    <row r="2989" spans="1:14" x14ac:dyDescent="0.3">
      <c r="A2989" t="s">
        <v>4290</v>
      </c>
      <c r="B2989" s="1">
        <v>44788</v>
      </c>
      <c r="C2989" t="s">
        <v>32</v>
      </c>
      <c r="D2989" t="s">
        <v>12</v>
      </c>
      <c r="E2989" t="s">
        <v>19</v>
      </c>
      <c r="F2989" t="s">
        <v>141</v>
      </c>
      <c r="G2989" t="s">
        <v>1074</v>
      </c>
      <c r="H2989" s="8">
        <v>3479.66</v>
      </c>
      <c r="I2989" s="8">
        <v>-935.88</v>
      </c>
      <c r="J2989" s="8">
        <v>0.19</v>
      </c>
      <c r="K2989" t="str">
        <f>IF(SalesData[[#This Row],[Profit]]&gt;0,"Profit","Loss")</f>
        <v>Loss</v>
      </c>
      <c r="L2989" s="8">
        <f>SalesData[[#This Row],[Profit]]/SalesData[[#This Row],[Sales]]</f>
        <v>-0.2689573119212797</v>
      </c>
      <c r="M2989" t="str">
        <f>TEXT(SalesData[[#This Row],[Order_Date]],"mmm")</f>
        <v>Aug</v>
      </c>
      <c r="N2989">
        <f>YEAR(SalesData[[#This Row],[Order_Date]])</f>
        <v>2022</v>
      </c>
    </row>
    <row r="2990" spans="1:14" x14ac:dyDescent="0.3">
      <c r="A2990" t="s">
        <v>4291</v>
      </c>
      <c r="B2990" s="1">
        <v>44720</v>
      </c>
      <c r="C2990" t="s">
        <v>1244</v>
      </c>
      <c r="D2990" t="s">
        <v>28</v>
      </c>
      <c r="E2990" t="s">
        <v>13</v>
      </c>
      <c r="F2990" t="s">
        <v>36</v>
      </c>
      <c r="G2990" t="s">
        <v>359</v>
      </c>
      <c r="H2990" s="8">
        <v>3964.15</v>
      </c>
      <c r="I2990" s="8">
        <v>-1474.4</v>
      </c>
      <c r="J2990" s="8">
        <v>0.3</v>
      </c>
      <c r="K2990" t="str">
        <f>IF(SalesData[[#This Row],[Profit]]&gt;0,"Profit","Loss")</f>
        <v>Loss</v>
      </c>
      <c r="L2990" s="8">
        <f>SalesData[[#This Row],[Profit]]/SalesData[[#This Row],[Sales]]</f>
        <v>-0.37193345357769009</v>
      </c>
      <c r="M2990" t="str">
        <f>TEXT(SalesData[[#This Row],[Order_Date]],"mmm")</f>
        <v>Jun</v>
      </c>
      <c r="N2990">
        <f>YEAR(SalesData[[#This Row],[Order_Date]])</f>
        <v>2022</v>
      </c>
    </row>
    <row r="2991" spans="1:14" x14ac:dyDescent="0.3">
      <c r="A2991" t="s">
        <v>4292</v>
      </c>
      <c r="B2991" s="1">
        <v>44785</v>
      </c>
      <c r="C2991" t="s">
        <v>3120</v>
      </c>
      <c r="D2991" t="s">
        <v>12</v>
      </c>
      <c r="E2991" t="s">
        <v>13</v>
      </c>
      <c r="F2991" t="s">
        <v>14</v>
      </c>
      <c r="G2991" t="s">
        <v>216</v>
      </c>
      <c r="H2991" s="8">
        <v>4576.6899999999996</v>
      </c>
      <c r="I2991" s="8">
        <v>-318.25</v>
      </c>
      <c r="J2991" s="8">
        <v>0.15</v>
      </c>
      <c r="K2991" t="str">
        <f>IF(SalesData[[#This Row],[Profit]]&gt;0,"Profit","Loss")</f>
        <v>Loss</v>
      </c>
      <c r="L2991" s="8">
        <f>SalesData[[#This Row],[Profit]]/SalesData[[#This Row],[Sales]]</f>
        <v>-6.9537154581149271E-2</v>
      </c>
      <c r="M2991" t="str">
        <f>TEXT(SalesData[[#This Row],[Order_Date]],"mmm")</f>
        <v>Aug</v>
      </c>
      <c r="N2991">
        <f>YEAR(SalesData[[#This Row],[Order_Date]])</f>
        <v>2022</v>
      </c>
    </row>
    <row r="2992" spans="1:14" x14ac:dyDescent="0.3">
      <c r="A2992" t="s">
        <v>4293</v>
      </c>
      <c r="B2992" s="1">
        <v>44867</v>
      </c>
      <c r="C2992" t="s">
        <v>2843</v>
      </c>
      <c r="D2992" t="s">
        <v>28</v>
      </c>
      <c r="E2992" t="s">
        <v>13</v>
      </c>
      <c r="F2992" t="s">
        <v>24</v>
      </c>
      <c r="G2992" t="s">
        <v>1806</v>
      </c>
      <c r="H2992" s="8">
        <v>3529.23</v>
      </c>
      <c r="I2992" s="8">
        <v>102.54</v>
      </c>
      <c r="J2992" s="8">
        <v>0.01</v>
      </c>
      <c r="K2992" t="str">
        <f>IF(SalesData[[#This Row],[Profit]]&gt;0,"Profit","Loss")</f>
        <v>Profit</v>
      </c>
      <c r="L2992" s="8">
        <f>SalesData[[#This Row],[Profit]]/SalesData[[#This Row],[Sales]]</f>
        <v>2.9054496306559791E-2</v>
      </c>
      <c r="M2992" t="str">
        <f>TEXT(SalesData[[#This Row],[Order_Date]],"mmm")</f>
        <v>Nov</v>
      </c>
      <c r="N2992">
        <f>YEAR(SalesData[[#This Row],[Order_Date]])</f>
        <v>2022</v>
      </c>
    </row>
    <row r="2993" spans="1:14" x14ac:dyDescent="0.3">
      <c r="A2993" t="s">
        <v>4294</v>
      </c>
      <c r="B2993" s="1">
        <v>44597</v>
      </c>
      <c r="C2993" t="s">
        <v>550</v>
      </c>
      <c r="D2993" t="s">
        <v>40</v>
      </c>
      <c r="E2993" t="s">
        <v>19</v>
      </c>
      <c r="F2993" t="s">
        <v>20</v>
      </c>
      <c r="G2993" t="s">
        <v>2144</v>
      </c>
      <c r="H2993" s="8">
        <v>1115.94</v>
      </c>
      <c r="I2993" s="8">
        <v>-186.56</v>
      </c>
      <c r="J2993" s="8">
        <v>0.11</v>
      </c>
      <c r="K2993" t="str">
        <f>IF(SalesData[[#This Row],[Profit]]&gt;0,"Profit","Loss")</f>
        <v>Loss</v>
      </c>
      <c r="L2993" s="8">
        <f>SalesData[[#This Row],[Profit]]/SalesData[[#This Row],[Sales]]</f>
        <v>-0.16717744681613705</v>
      </c>
      <c r="M2993" t="str">
        <f>TEXT(SalesData[[#This Row],[Order_Date]],"mmm")</f>
        <v>Feb</v>
      </c>
      <c r="N2993">
        <f>YEAR(SalesData[[#This Row],[Order_Date]])</f>
        <v>2022</v>
      </c>
    </row>
    <row r="2994" spans="1:14" x14ac:dyDescent="0.3">
      <c r="A2994" t="s">
        <v>4295</v>
      </c>
      <c r="B2994" s="1">
        <v>44600</v>
      </c>
      <c r="C2994" t="s">
        <v>46</v>
      </c>
      <c r="D2994" t="s">
        <v>28</v>
      </c>
      <c r="E2994" t="s">
        <v>13</v>
      </c>
      <c r="F2994" t="s">
        <v>24</v>
      </c>
      <c r="G2994" t="s">
        <v>61</v>
      </c>
      <c r="H2994" s="8">
        <v>4001.13</v>
      </c>
      <c r="I2994" s="8">
        <v>-269.68</v>
      </c>
      <c r="J2994" s="8">
        <v>0.04</v>
      </c>
      <c r="K2994" t="str">
        <f>IF(SalesData[[#This Row],[Profit]]&gt;0,"Profit","Loss")</f>
        <v>Loss</v>
      </c>
      <c r="L2994" s="8">
        <f>SalesData[[#This Row],[Profit]]/SalesData[[#This Row],[Sales]]</f>
        <v>-6.7400959229017801E-2</v>
      </c>
      <c r="M2994" t="str">
        <f>TEXT(SalesData[[#This Row],[Order_Date]],"mmm")</f>
        <v>Feb</v>
      </c>
      <c r="N2994">
        <f>YEAR(SalesData[[#This Row],[Order_Date]])</f>
        <v>2022</v>
      </c>
    </row>
    <row r="2995" spans="1:14" x14ac:dyDescent="0.3">
      <c r="A2995" t="s">
        <v>4296</v>
      </c>
      <c r="B2995" s="1">
        <v>44580</v>
      </c>
      <c r="C2995" t="s">
        <v>3760</v>
      </c>
      <c r="D2995" t="s">
        <v>28</v>
      </c>
      <c r="E2995" t="s">
        <v>13</v>
      </c>
      <c r="F2995" t="s">
        <v>36</v>
      </c>
      <c r="G2995" t="s">
        <v>1123</v>
      </c>
      <c r="H2995" s="8">
        <v>3666.83</v>
      </c>
      <c r="I2995" s="8">
        <v>211.34</v>
      </c>
      <c r="J2995" s="8">
        <v>0.04</v>
      </c>
      <c r="K2995" t="str">
        <f>IF(SalesData[[#This Row],[Profit]]&gt;0,"Profit","Loss")</f>
        <v>Profit</v>
      </c>
      <c r="L2995" s="8">
        <f>SalesData[[#This Row],[Profit]]/SalesData[[#This Row],[Sales]]</f>
        <v>5.763561441353976E-2</v>
      </c>
      <c r="M2995" t="str">
        <f>TEXT(SalesData[[#This Row],[Order_Date]],"mmm")</f>
        <v>Jan</v>
      </c>
      <c r="N2995">
        <f>YEAR(SalesData[[#This Row],[Order_Date]])</f>
        <v>2022</v>
      </c>
    </row>
    <row r="2996" spans="1:14" x14ac:dyDescent="0.3">
      <c r="A2996" t="s">
        <v>4297</v>
      </c>
      <c r="B2996" s="1">
        <v>45144</v>
      </c>
      <c r="C2996" t="s">
        <v>1178</v>
      </c>
      <c r="D2996" t="s">
        <v>28</v>
      </c>
      <c r="E2996" t="s">
        <v>19</v>
      </c>
      <c r="F2996" t="s">
        <v>141</v>
      </c>
      <c r="G2996" t="s">
        <v>395</v>
      </c>
      <c r="H2996" s="8">
        <v>918.32</v>
      </c>
      <c r="I2996" s="8">
        <v>-236.35</v>
      </c>
      <c r="J2996" s="8">
        <v>0.14000000000000001</v>
      </c>
      <c r="K2996" t="str">
        <f>IF(SalesData[[#This Row],[Profit]]&gt;0,"Profit","Loss")</f>
        <v>Loss</v>
      </c>
      <c r="L2996" s="8">
        <f>SalesData[[#This Row],[Profit]]/SalesData[[#This Row],[Sales]]</f>
        <v>-0.25737215785347156</v>
      </c>
      <c r="M2996" t="str">
        <f>TEXT(SalesData[[#This Row],[Order_Date]],"mmm")</f>
        <v>Aug</v>
      </c>
      <c r="N2996">
        <f>YEAR(SalesData[[#This Row],[Order_Date]])</f>
        <v>2023</v>
      </c>
    </row>
    <row r="2997" spans="1:14" x14ac:dyDescent="0.3">
      <c r="A2997" t="s">
        <v>4298</v>
      </c>
      <c r="B2997" s="1">
        <v>45082</v>
      </c>
      <c r="C2997" t="s">
        <v>2185</v>
      </c>
      <c r="D2997" t="s">
        <v>40</v>
      </c>
      <c r="E2997" t="s">
        <v>56</v>
      </c>
      <c r="F2997" t="s">
        <v>57</v>
      </c>
      <c r="G2997" t="s">
        <v>2414</v>
      </c>
      <c r="H2997" s="8">
        <v>4229.57</v>
      </c>
      <c r="I2997" s="8">
        <v>-114.61</v>
      </c>
      <c r="J2997" s="8">
        <v>7.0000000000000007E-2</v>
      </c>
      <c r="K2997" t="str">
        <f>IF(SalesData[[#This Row],[Profit]]&gt;0,"Profit","Loss")</f>
        <v>Loss</v>
      </c>
      <c r="L2997" s="8">
        <f>SalesData[[#This Row],[Profit]]/SalesData[[#This Row],[Sales]]</f>
        <v>-2.7097317221372388E-2</v>
      </c>
      <c r="M2997" t="str">
        <f>TEXT(SalesData[[#This Row],[Order_Date]],"mmm")</f>
        <v>Jun</v>
      </c>
      <c r="N2997">
        <f>YEAR(SalesData[[#This Row],[Order_Date]])</f>
        <v>2023</v>
      </c>
    </row>
    <row r="2998" spans="1:14" x14ac:dyDescent="0.3">
      <c r="A2998" t="s">
        <v>4299</v>
      </c>
      <c r="B2998" s="1">
        <v>45020</v>
      </c>
      <c r="C2998" t="s">
        <v>583</v>
      </c>
      <c r="D2998" t="s">
        <v>40</v>
      </c>
      <c r="E2998" t="s">
        <v>19</v>
      </c>
      <c r="F2998" t="s">
        <v>29</v>
      </c>
      <c r="G2998" t="s">
        <v>1165</v>
      </c>
      <c r="H2998" s="8">
        <v>4734.7299999999996</v>
      </c>
      <c r="I2998" s="8">
        <v>-1185.4100000000001</v>
      </c>
      <c r="J2998" s="8">
        <v>0.22</v>
      </c>
      <c r="K2998" t="str">
        <f>IF(SalesData[[#This Row],[Profit]]&gt;0,"Profit","Loss")</f>
        <v>Loss</v>
      </c>
      <c r="L2998" s="8">
        <f>SalesData[[#This Row],[Profit]]/SalesData[[#This Row],[Sales]]</f>
        <v>-0.25036485713018486</v>
      </c>
      <c r="M2998" t="str">
        <f>TEXT(SalesData[[#This Row],[Order_Date]],"mmm")</f>
        <v>Apr</v>
      </c>
      <c r="N2998">
        <f>YEAR(SalesData[[#This Row],[Order_Date]])</f>
        <v>2023</v>
      </c>
    </row>
    <row r="2999" spans="1:14" x14ac:dyDescent="0.3">
      <c r="A2999" t="s">
        <v>4300</v>
      </c>
      <c r="B2999" s="1">
        <v>45163</v>
      </c>
      <c r="C2999" t="s">
        <v>524</v>
      </c>
      <c r="D2999" t="s">
        <v>28</v>
      </c>
      <c r="E2999" t="s">
        <v>19</v>
      </c>
      <c r="F2999" t="s">
        <v>141</v>
      </c>
      <c r="G2999" t="s">
        <v>974</v>
      </c>
      <c r="H2999" s="8">
        <v>2972.37</v>
      </c>
      <c r="I2999" s="8">
        <v>966.58</v>
      </c>
      <c r="J2999" s="8">
        <v>0.03</v>
      </c>
      <c r="K2999" t="str">
        <f>IF(SalesData[[#This Row],[Profit]]&gt;0,"Profit","Loss")</f>
        <v>Profit</v>
      </c>
      <c r="L2999" s="8">
        <f>SalesData[[#This Row],[Profit]]/SalesData[[#This Row],[Sales]]</f>
        <v>0.32518831773971613</v>
      </c>
      <c r="M2999" t="str">
        <f>TEXT(SalesData[[#This Row],[Order_Date]],"mmm")</f>
        <v>Aug</v>
      </c>
      <c r="N2999">
        <f>YEAR(SalesData[[#This Row],[Order_Date]])</f>
        <v>2023</v>
      </c>
    </row>
    <row r="3000" spans="1:14" x14ac:dyDescent="0.3">
      <c r="A3000" t="s">
        <v>4301</v>
      </c>
      <c r="B3000" s="1">
        <v>44641</v>
      </c>
      <c r="C3000" t="s">
        <v>4302</v>
      </c>
      <c r="D3000" t="s">
        <v>28</v>
      </c>
      <c r="E3000" t="s">
        <v>13</v>
      </c>
      <c r="F3000" t="s">
        <v>24</v>
      </c>
      <c r="G3000" t="s">
        <v>1025</v>
      </c>
      <c r="H3000" s="8">
        <v>3569.53</v>
      </c>
      <c r="I3000" s="8">
        <v>-325.20999999999998</v>
      </c>
      <c r="J3000" s="8">
        <v>0.25</v>
      </c>
      <c r="K3000" t="str">
        <f>IF(SalesData[[#This Row],[Profit]]&gt;0,"Profit","Loss")</f>
        <v>Loss</v>
      </c>
      <c r="L3000" s="8">
        <f>SalesData[[#This Row],[Profit]]/SalesData[[#This Row],[Sales]]</f>
        <v>-9.1107232604852734E-2</v>
      </c>
      <c r="M3000" t="str">
        <f>TEXT(SalesData[[#This Row],[Order_Date]],"mmm")</f>
        <v>Mar</v>
      </c>
      <c r="N3000">
        <f>YEAR(SalesData[[#This Row],[Order_Date]])</f>
        <v>2022</v>
      </c>
    </row>
    <row r="3001" spans="1:14" x14ac:dyDescent="0.3">
      <c r="A3001" t="s">
        <v>4303</v>
      </c>
      <c r="B3001" s="1">
        <v>44850</v>
      </c>
      <c r="C3001" t="s">
        <v>2711</v>
      </c>
      <c r="D3001" t="s">
        <v>18</v>
      </c>
      <c r="E3001" t="s">
        <v>13</v>
      </c>
      <c r="F3001" t="s">
        <v>24</v>
      </c>
      <c r="G3001" t="s">
        <v>1592</v>
      </c>
      <c r="H3001" s="8">
        <v>3139.08</v>
      </c>
      <c r="I3001" s="8">
        <v>-319.72000000000003</v>
      </c>
      <c r="J3001" s="8">
        <v>0.09</v>
      </c>
      <c r="K3001" t="str">
        <f>IF(SalesData[[#This Row],[Profit]]&gt;0,"Profit","Loss")</f>
        <v>Loss</v>
      </c>
      <c r="L3001" s="8">
        <f>SalesData[[#This Row],[Profit]]/SalesData[[#This Row],[Sales]]</f>
        <v>-0.10185149789110186</v>
      </c>
      <c r="M3001" t="str">
        <f>TEXT(SalesData[[#This Row],[Order_Date]],"mmm")</f>
        <v>Oct</v>
      </c>
      <c r="N3001">
        <f>YEAR(SalesData[[#This Row],[Order_Date]])</f>
        <v>2022</v>
      </c>
    </row>
  </sheetData>
  <conditionalFormatting sqref="I1:I1048576">
    <cfRule type="cellIs" dxfId="20" priority="1" operator="lessThan">
      <formula>0</formula>
    </cfRule>
  </conditionalFormatting>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43B72E-CE21-42E7-B086-F960A26B9D1F}">
  <dimension ref="A1:O14"/>
  <sheetViews>
    <sheetView workbookViewId="0">
      <selection activeCell="O1" sqref="O1"/>
      <pivotSelection pane="bottomRight" showHeader="1" extendable="1" activeCol="14" previousCol="14" click="1" r:id="rId1">
        <pivotArea dataOnly="0" outline="0" axis="axisValues" fieldPosition="0"/>
      </pivotSelection>
    </sheetView>
  </sheetViews>
  <sheetFormatPr defaultRowHeight="14.4" x14ac:dyDescent="0.3"/>
  <cols>
    <col min="1" max="1" width="12.5546875" bestFit="1" customWidth="1"/>
    <col min="2" max="2" width="11.6640625" style="8" bestFit="1" customWidth="1"/>
    <col min="4" max="4" width="12.5546875" bestFit="1" customWidth="1"/>
    <col min="5" max="5" width="11.6640625" style="8" bestFit="1" customWidth="1"/>
    <col min="6" max="6" width="12.109375" style="8" bestFit="1" customWidth="1"/>
    <col min="8" max="8" width="12.88671875" bestFit="1" customWidth="1"/>
    <col min="9" max="9" width="11.6640625" style="8" bestFit="1" customWidth="1"/>
    <col min="11" max="11" width="12.5546875" bestFit="1" customWidth="1"/>
    <col min="12" max="12" width="11.6640625" style="8" bestFit="1" customWidth="1"/>
    <col min="14" max="14" width="13.109375" bestFit="1" customWidth="1"/>
    <col min="15" max="15" width="12.109375" bestFit="1" customWidth="1"/>
  </cols>
  <sheetData>
    <row r="1" spans="1:15" x14ac:dyDescent="0.3">
      <c r="A1" s="2" t="s">
        <v>4308</v>
      </c>
      <c r="B1" s="8" t="s">
        <v>4322</v>
      </c>
      <c r="D1" s="2" t="s">
        <v>4308</v>
      </c>
      <c r="E1" s="8" t="s">
        <v>4322</v>
      </c>
      <c r="F1" s="8" t="s">
        <v>4324</v>
      </c>
      <c r="H1" s="2" t="s">
        <v>4308</v>
      </c>
      <c r="I1" s="8" t="s">
        <v>4322</v>
      </c>
      <c r="K1" s="2" t="s">
        <v>4308</v>
      </c>
      <c r="L1" s="8" t="s">
        <v>4322</v>
      </c>
      <c r="N1" s="2" t="s">
        <v>4308</v>
      </c>
      <c r="O1" s="8" t="s">
        <v>4324</v>
      </c>
    </row>
    <row r="2" spans="1:15" x14ac:dyDescent="0.3">
      <c r="A2" s="3" t="s">
        <v>4309</v>
      </c>
      <c r="B2" s="8">
        <v>637602.29999999993</v>
      </c>
      <c r="D2" s="3" t="s">
        <v>4323</v>
      </c>
      <c r="E2" s="8">
        <v>4433120.0599999977</v>
      </c>
      <c r="F2" s="8">
        <v>-822180.88000000047</v>
      </c>
      <c r="H2" s="3" t="s">
        <v>446</v>
      </c>
      <c r="I2" s="8">
        <v>30492.769999999997</v>
      </c>
      <c r="K2" s="3" t="s">
        <v>40</v>
      </c>
      <c r="L2" s="8">
        <v>1873446.3500000008</v>
      </c>
      <c r="N2" s="3" t="s">
        <v>56</v>
      </c>
      <c r="O2">
        <v>-122628.74999999997</v>
      </c>
    </row>
    <row r="3" spans="1:15" x14ac:dyDescent="0.3">
      <c r="A3" s="3" t="s">
        <v>4310</v>
      </c>
      <c r="B3" s="8">
        <v>601453.27999999956</v>
      </c>
      <c r="D3" s="3" t="s">
        <v>8</v>
      </c>
      <c r="E3" s="8">
        <v>3175801.5200000028</v>
      </c>
      <c r="F3" s="8">
        <v>442834.73000000051</v>
      </c>
      <c r="H3" s="3" t="s">
        <v>536</v>
      </c>
      <c r="I3" s="8">
        <v>28869.58</v>
      </c>
      <c r="K3" s="3" t="s">
        <v>18</v>
      </c>
      <c r="L3" s="8">
        <v>1976609.9300000009</v>
      </c>
      <c r="N3" s="3" t="s">
        <v>13</v>
      </c>
      <c r="O3">
        <v>-137145.8199999998</v>
      </c>
    </row>
    <row r="4" spans="1:15" x14ac:dyDescent="0.3">
      <c r="A4" s="3" t="s">
        <v>4311</v>
      </c>
      <c r="B4" s="8">
        <v>598817.36999999976</v>
      </c>
      <c r="D4" s="3" t="s">
        <v>4321</v>
      </c>
      <c r="E4" s="8">
        <v>7608921.5800000001</v>
      </c>
      <c r="F4" s="8">
        <v>-379346.14999999997</v>
      </c>
      <c r="H4" s="3" t="s">
        <v>159</v>
      </c>
      <c r="I4" s="8">
        <v>28505.189999999995</v>
      </c>
      <c r="K4" s="3" t="s">
        <v>28</v>
      </c>
      <c r="L4" s="8">
        <v>1863641.1899999988</v>
      </c>
      <c r="N4" s="3" t="s">
        <v>19</v>
      </c>
      <c r="O4">
        <v>-119571.57999999981</v>
      </c>
    </row>
    <row r="5" spans="1:15" x14ac:dyDescent="0.3">
      <c r="A5" s="3" t="s">
        <v>4312</v>
      </c>
      <c r="B5" s="8">
        <v>572437.03</v>
      </c>
      <c r="H5" s="3" t="s">
        <v>221</v>
      </c>
      <c r="I5" s="8">
        <v>26305.719999999998</v>
      </c>
      <c r="K5" s="3" t="s">
        <v>12</v>
      </c>
      <c r="L5" s="8">
        <v>1895224.1099999989</v>
      </c>
      <c r="N5" s="3" t="s">
        <v>4321</v>
      </c>
      <c r="O5">
        <v>-379346.14999999956</v>
      </c>
    </row>
    <row r="6" spans="1:15" x14ac:dyDescent="0.3">
      <c r="A6" s="3" t="s">
        <v>4313</v>
      </c>
      <c r="B6" s="8">
        <v>679727.52</v>
      </c>
      <c r="H6" s="3" t="s">
        <v>1108</v>
      </c>
      <c r="I6" s="8">
        <v>25763.510000000002</v>
      </c>
      <c r="K6" s="3" t="s">
        <v>4321</v>
      </c>
      <c r="L6" s="8">
        <v>7608921.5800000001</v>
      </c>
    </row>
    <row r="7" spans="1:15" x14ac:dyDescent="0.3">
      <c r="A7" s="3" t="s">
        <v>4314</v>
      </c>
      <c r="B7" s="8">
        <v>666686.43999999983</v>
      </c>
      <c r="H7" s="3" t="s">
        <v>364</v>
      </c>
      <c r="I7" s="8">
        <v>25305.82</v>
      </c>
    </row>
    <row r="8" spans="1:15" x14ac:dyDescent="0.3">
      <c r="A8" s="3" t="s">
        <v>4315</v>
      </c>
      <c r="B8" s="8">
        <v>697406.70999999973</v>
      </c>
      <c r="H8" s="3" t="s">
        <v>2047</v>
      </c>
      <c r="I8" s="8">
        <v>25088.36</v>
      </c>
    </row>
    <row r="9" spans="1:15" x14ac:dyDescent="0.3">
      <c r="A9" s="3" t="s">
        <v>4316</v>
      </c>
      <c r="B9" s="8">
        <v>613451.33000000019</v>
      </c>
      <c r="H9" s="3" t="s">
        <v>189</v>
      </c>
      <c r="I9" s="8">
        <v>24996.9</v>
      </c>
    </row>
    <row r="10" spans="1:15" x14ac:dyDescent="0.3">
      <c r="A10" s="3" t="s">
        <v>4317</v>
      </c>
      <c r="B10" s="8">
        <v>548722.63</v>
      </c>
      <c r="H10" s="3" t="s">
        <v>361</v>
      </c>
      <c r="I10" s="8">
        <v>24836.549999999996</v>
      </c>
    </row>
    <row r="11" spans="1:15" x14ac:dyDescent="0.3">
      <c r="A11" s="3" t="s">
        <v>4318</v>
      </c>
      <c r="B11" s="8">
        <v>755867.5200000006</v>
      </c>
      <c r="H11" s="3" t="s">
        <v>79</v>
      </c>
      <c r="I11" s="8">
        <v>24281.750000000007</v>
      </c>
    </row>
    <row r="12" spans="1:15" x14ac:dyDescent="0.3">
      <c r="A12" s="3" t="s">
        <v>4319</v>
      </c>
      <c r="B12" s="8">
        <v>636963.01</v>
      </c>
      <c r="H12" s="3" t="s">
        <v>4321</v>
      </c>
      <c r="I12" s="8">
        <v>264446.15000000002</v>
      </c>
    </row>
    <row r="13" spans="1:15" x14ac:dyDescent="0.3">
      <c r="A13" s="3" t="s">
        <v>4320</v>
      </c>
      <c r="B13" s="8">
        <v>599786.43999999994</v>
      </c>
    </row>
    <row r="14" spans="1:15" x14ac:dyDescent="0.3">
      <c r="A14" s="3" t="s">
        <v>4321</v>
      </c>
      <c r="B14" s="8">
        <v>7608921.5800000001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49320D-682B-453E-A371-94F6579C9FF0}">
  <dimension ref="A1:L6"/>
  <sheetViews>
    <sheetView showGridLines="0" tabSelected="1" workbookViewId="0">
      <selection activeCell="L6" sqref="L6"/>
    </sheetView>
  </sheetViews>
  <sheetFormatPr defaultRowHeight="14.4" x14ac:dyDescent="0.3"/>
  <cols>
    <col min="1" max="1" width="21.88671875" customWidth="1"/>
    <col min="4" max="4" width="19.33203125" customWidth="1"/>
    <col min="8" max="8" width="20.6640625" customWidth="1"/>
    <col min="12" max="12" width="19.33203125" customWidth="1"/>
  </cols>
  <sheetData>
    <row r="1" spans="1:12" ht="27.6" x14ac:dyDescent="0.45">
      <c r="A1" s="7" t="s">
        <v>4325</v>
      </c>
      <c r="B1" s="7"/>
      <c r="C1" s="7"/>
      <c r="D1" s="7"/>
      <c r="E1" s="7"/>
      <c r="F1" s="7"/>
      <c r="G1" s="7"/>
      <c r="H1" s="7"/>
      <c r="I1" s="7"/>
      <c r="J1" s="7"/>
      <c r="K1" s="7"/>
      <c r="L1" s="7"/>
    </row>
    <row r="2" spans="1:12" x14ac:dyDescent="0.3">
      <c r="G2" s="4"/>
    </row>
    <row r="4" spans="1:12" ht="22.8" x14ac:dyDescent="0.4">
      <c r="A4" s="11" t="s">
        <v>4326</v>
      </c>
      <c r="D4" s="6" t="s">
        <v>4327</v>
      </c>
      <c r="H4" s="6" t="s">
        <v>4328</v>
      </c>
      <c r="L4" s="6" t="s">
        <v>4329</v>
      </c>
    </row>
    <row r="5" spans="1:12" x14ac:dyDescent="0.3">
      <c r="D5" s="5"/>
    </row>
    <row r="6" spans="1:12" ht="21" x14ac:dyDescent="0.4">
      <c r="A6" s="10">
        <f>SUM(SalesData[Sales])</f>
        <v>7608921.5800000085</v>
      </c>
      <c r="D6" s="12">
        <f>SUM(SalesData[Profit])</f>
        <v>-379346.14999999973</v>
      </c>
      <c r="H6" s="13">
        <f>SUM(SalesData[Profit])/SUM(SalesData[Sales])</f>
        <v>-4.9855442195265644E-2</v>
      </c>
      <c r="L6" s="9">
        <f>COUNTIF(SalesData[Profit_Category],"Loss")</f>
        <v>1779</v>
      </c>
    </row>
  </sheetData>
  <mergeCells count="1">
    <mergeCell ref="A1:L1"/>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SalesData</vt:lpstr>
      <vt:lpstr>PivotTable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NALINI KARNATI</dc:creator>
  <cp:lastModifiedBy>larnatinalini13@outlook.com</cp:lastModifiedBy>
  <dcterms:created xsi:type="dcterms:W3CDTF">2026-02-18T06:31:29Z</dcterms:created>
  <dcterms:modified xsi:type="dcterms:W3CDTF">2026-02-18T06:44:23Z</dcterms:modified>
</cp:coreProperties>
</file>